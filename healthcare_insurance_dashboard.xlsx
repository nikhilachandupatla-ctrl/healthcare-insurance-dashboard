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3.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santh\OneDrive\Desktop\Data analyst\"/>
    </mc:Choice>
  </mc:AlternateContent>
  <xr:revisionPtr revIDLastSave="0" documentId="13_ncr:1_{7699F572-72F3-49BB-9464-7DAC8E67C698}" xr6:coauthVersionLast="47" xr6:coauthVersionMax="47" xr10:uidLastSave="{00000000-0000-0000-0000-000000000000}"/>
  <bookViews>
    <workbookView xWindow="-108" yWindow="-108" windowWidth="23256" windowHeight="12456" firstSheet="4" activeTab="7" xr2:uid="{F3CEBBFD-BE9B-45BF-B62A-9BC7A59507C9}"/>
  </bookViews>
  <sheets>
    <sheet name="Sheet9" sheetId="11" state="hidden" r:id="rId1"/>
    <sheet name="Detail1" sheetId="22" state="hidden" r:id="rId2"/>
    <sheet name="Sheet17" sheetId="19" state="hidden" r:id="rId3"/>
    <sheet name="Sheet16" sheetId="18" state="hidden" r:id="rId4"/>
    <sheet name="insurance" sheetId="1" r:id="rId5"/>
    <sheet name="KPI and Pivot" sheetId="3" r:id="rId6"/>
    <sheet name="Data Cleaning log" sheetId="8" r:id="rId7"/>
    <sheet name="Data visualiation" sheetId="21" r:id="rId8"/>
  </sheets>
  <definedNames>
    <definedName name="_xlnm._FilterDatabase" localSheetId="4" hidden="1">insurance!$A$1:$G$1338</definedName>
    <definedName name="_xlnm.Print_Area" localSheetId="7">'Data visualiation'!$A$1:$J$25</definedName>
    <definedName name="Slicer_Age_group_Broad">#N/A</definedName>
    <definedName name="Slicer_BMI_category1">#N/A</definedName>
    <definedName name="Slicer_region">#N/A</definedName>
    <definedName name="Slicer_sex">#N/A</definedName>
    <definedName name="Slicer_smoker">#N/A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21" l="1"/>
  <c r="D5" i="21"/>
  <c r="F5" i="21"/>
  <c r="B5" i="21"/>
  <c r="B4" i="3"/>
  <c r="K1338" i="18" a="1"/>
  <c r="J1338" i="18" a="1"/>
  <c r="I1338" i="18" a="1"/>
  <c r="H1338" i="18" a="1"/>
  <c r="K1337" i="18" a="1"/>
  <c r="J1337" i="18" a="1"/>
  <c r="I1337" i="18" a="1"/>
  <c r="H1337" i="18" a="1"/>
  <c r="K1336" i="18" a="1"/>
  <c r="J1336" i="18" a="1"/>
  <c r="I1336" i="18" a="1"/>
  <c r="H1336" i="18" a="1"/>
  <c r="K1335" i="18" a="1"/>
  <c r="J1335" i="18" a="1"/>
  <c r="I1335" i="18" a="1"/>
  <c r="H1335" i="18" a="1"/>
  <c r="K1334" i="18" a="1"/>
  <c r="J1334" i="18" a="1"/>
  <c r="I1334" i="18" a="1"/>
  <c r="H1334" i="18" a="1"/>
  <c r="K1333" i="18" a="1"/>
  <c r="J1333" i="18" a="1"/>
  <c r="I1333" i="18" a="1"/>
  <c r="H1333" i="18" a="1"/>
  <c r="K1332" i="18" a="1"/>
  <c r="J1332" i="18" a="1"/>
  <c r="I1332" i="18" a="1"/>
  <c r="H1332" i="18" a="1"/>
  <c r="K1331" i="18" a="1"/>
  <c r="J1331" i="18" a="1"/>
  <c r="I1331" i="18" a="1"/>
  <c r="H1331" i="18" a="1"/>
  <c r="K1330" i="18" a="1"/>
  <c r="J1330" i="18" a="1"/>
  <c r="I1330" i="18" a="1"/>
  <c r="H1330" i="18" a="1"/>
  <c r="K1329" i="18" a="1"/>
  <c r="J1329" i="18" a="1"/>
  <c r="I1329" i="18" a="1"/>
  <c r="H1329" i="18" a="1"/>
  <c r="K1328" i="18" a="1"/>
  <c r="J1328" i="18" a="1"/>
  <c r="I1328" i="18" a="1"/>
  <c r="H1328" i="18" a="1"/>
  <c r="K1327" i="18" a="1"/>
  <c r="J1327" i="18" a="1"/>
  <c r="I1327" i="18" a="1"/>
  <c r="H1327" i="18" a="1"/>
  <c r="K1326" i="18" a="1"/>
  <c r="J1326" i="18" a="1"/>
  <c r="I1326" i="18" a="1"/>
  <c r="H1326" i="18" a="1"/>
  <c r="K1325" i="18" a="1"/>
  <c r="J1325" i="18" a="1"/>
  <c r="I1325" i="18" a="1"/>
  <c r="H1325" i="18" a="1"/>
  <c r="K1324" i="18" a="1"/>
  <c r="J1324" i="18" a="1"/>
  <c r="I1324" i="18" a="1"/>
  <c r="H1324" i="18" a="1"/>
  <c r="K1323" i="18" a="1"/>
  <c r="J1323" i="18" a="1"/>
  <c r="I1323" i="18" a="1"/>
  <c r="H1323" i="18" a="1"/>
  <c r="K1322" i="18" a="1"/>
  <c r="J1322" i="18" a="1"/>
  <c r="I1322" i="18" a="1"/>
  <c r="H1322" i="18" a="1"/>
  <c r="K1321" i="18" a="1"/>
  <c r="J1321" i="18" a="1"/>
  <c r="I1321" i="18" a="1"/>
  <c r="H1321" i="18" a="1"/>
  <c r="K1320" i="18" a="1"/>
  <c r="J1320" i="18" a="1"/>
  <c r="I1320" i="18" a="1"/>
  <c r="H1320" i="18" a="1"/>
  <c r="K1319" i="18" a="1"/>
  <c r="J1319" i="18" a="1"/>
  <c r="I1319" i="18" a="1"/>
  <c r="H1319" i="18" a="1"/>
  <c r="K1318" i="18" a="1"/>
  <c r="J1318" i="18" a="1"/>
  <c r="I1318" i="18" a="1"/>
  <c r="H1318" i="18" a="1"/>
  <c r="K1317" i="18" a="1"/>
  <c r="J1317" i="18" a="1"/>
  <c r="I1317" i="18" a="1"/>
  <c r="H1317" i="18" a="1"/>
  <c r="K1316" i="18" a="1"/>
  <c r="J1316" i="18" a="1"/>
  <c r="I1316" i="18" a="1"/>
  <c r="H1316" i="18" a="1"/>
  <c r="K1315" i="18" a="1"/>
  <c r="J1315" i="18" a="1"/>
  <c r="I1315" i="18" a="1"/>
  <c r="H1315" i="18" a="1"/>
  <c r="K1314" i="18" a="1"/>
  <c r="J1314" i="18" a="1"/>
  <c r="I1314" i="18" a="1"/>
  <c r="H1314" i="18" a="1"/>
  <c r="K1313" i="18" a="1"/>
  <c r="J1313" i="18" a="1"/>
  <c r="I1313" i="18" a="1"/>
  <c r="H1313" i="18" a="1"/>
  <c r="K1312" i="18" a="1"/>
  <c r="J1312" i="18" a="1"/>
  <c r="I1312" i="18" a="1"/>
  <c r="H1312" i="18" a="1"/>
  <c r="K1311" i="18" a="1"/>
  <c r="J1311" i="18" a="1"/>
  <c r="I1311" i="18" a="1"/>
  <c r="H1311" i="18" a="1"/>
  <c r="K1310" i="18" a="1"/>
  <c r="J1310" i="18" a="1"/>
  <c r="I1310" i="18" a="1"/>
  <c r="H1310" i="18" a="1"/>
  <c r="K1309" i="18" a="1"/>
  <c r="J1309" i="18" a="1"/>
  <c r="I1309" i="18" a="1"/>
  <c r="H1309" i="18" a="1"/>
  <c r="K1308" i="18" a="1"/>
  <c r="J1308" i="18" a="1"/>
  <c r="I1308" i="18" a="1"/>
  <c r="H1308" i="18" a="1"/>
  <c r="K1307" i="18" a="1"/>
  <c r="J1307" i="18" a="1"/>
  <c r="I1307" i="18" a="1"/>
  <c r="H1307" i="18" a="1"/>
  <c r="K1306" i="18" a="1"/>
  <c r="J1306" i="18" a="1"/>
  <c r="I1306" i="18" a="1"/>
  <c r="H1306" i="18" a="1"/>
  <c r="K1305" i="18" a="1"/>
  <c r="J1305" i="18" a="1"/>
  <c r="I1305" i="18" a="1"/>
  <c r="H1305" i="18" a="1"/>
  <c r="K1304" i="18" a="1"/>
  <c r="J1304" i="18" a="1"/>
  <c r="I1304" i="18" a="1"/>
  <c r="H1304" i="18" a="1"/>
  <c r="K1303" i="18" a="1"/>
  <c r="J1303" i="18" a="1"/>
  <c r="I1303" i="18" a="1"/>
  <c r="H1303" i="18" a="1"/>
  <c r="K1302" i="18" a="1"/>
  <c r="J1302" i="18" a="1"/>
  <c r="I1302" i="18" a="1"/>
  <c r="H1302" i="18" a="1"/>
  <c r="K1301" i="18" a="1"/>
  <c r="J1301" i="18" a="1"/>
  <c r="I1301" i="18" a="1"/>
  <c r="H1301" i="18" a="1"/>
  <c r="K1300" i="18" a="1"/>
  <c r="J1300" i="18" a="1"/>
  <c r="I1300" i="18" a="1"/>
  <c r="H1300" i="18" a="1"/>
  <c r="K1299" i="18" a="1"/>
  <c r="J1299" i="18" a="1"/>
  <c r="I1299" i="18" a="1"/>
  <c r="H1299" i="18" a="1"/>
  <c r="K1298" i="18" a="1"/>
  <c r="J1298" i="18" a="1"/>
  <c r="I1298" i="18" a="1"/>
  <c r="H1298" i="18" a="1"/>
  <c r="K1297" i="18" a="1"/>
  <c r="J1297" i="18" a="1"/>
  <c r="I1297" i="18" a="1"/>
  <c r="H1297" i="18" a="1"/>
  <c r="K1296" i="18" a="1"/>
  <c r="J1296" i="18" a="1"/>
  <c r="I1296" i="18" a="1"/>
  <c r="H1296" i="18" a="1"/>
  <c r="K1295" i="18" a="1"/>
  <c r="J1295" i="18" a="1"/>
  <c r="I1295" i="18" a="1"/>
  <c r="H1295" i="18" a="1"/>
  <c r="K1294" i="18" a="1"/>
  <c r="J1294" i="18" a="1"/>
  <c r="I1294" i="18" a="1"/>
  <c r="H1294" i="18" a="1"/>
  <c r="K1293" i="18" a="1"/>
  <c r="J1293" i="18" a="1"/>
  <c r="I1293" i="18" a="1"/>
  <c r="H1293" i="18" a="1"/>
  <c r="K1292" i="18" a="1"/>
  <c r="J1292" i="18" a="1"/>
  <c r="I1292" i="18" a="1"/>
  <c r="H1292" i="18" a="1"/>
  <c r="K1291" i="18" a="1"/>
  <c r="J1291" i="18" a="1"/>
  <c r="I1291" i="18" a="1"/>
  <c r="H1291" i="18" a="1"/>
  <c r="K1290" i="18" a="1"/>
  <c r="J1290" i="18" a="1"/>
  <c r="I1290" i="18" a="1"/>
  <c r="H1290" i="18" a="1"/>
  <c r="K1289" i="18" a="1"/>
  <c r="J1289" i="18" a="1"/>
  <c r="I1289" i="18" a="1"/>
  <c r="H1289" i="18" a="1"/>
  <c r="K1288" i="18" a="1"/>
  <c r="J1288" i="18" a="1"/>
  <c r="I1288" i="18" a="1"/>
  <c r="H1288" i="18" a="1"/>
  <c r="K1287" i="18" a="1"/>
  <c r="J1287" i="18" a="1"/>
  <c r="I1287" i="18" a="1"/>
  <c r="H1287" i="18" a="1"/>
  <c r="K1286" i="18" a="1"/>
  <c r="J1286" i="18" a="1"/>
  <c r="I1286" i="18" a="1"/>
  <c r="H1286" i="18" a="1"/>
  <c r="K1285" i="18" a="1"/>
  <c r="J1285" i="18" a="1"/>
  <c r="I1285" i="18" a="1"/>
  <c r="H1285" i="18" a="1"/>
  <c r="K1284" i="18" a="1"/>
  <c r="J1284" i="18" a="1"/>
  <c r="I1284" i="18" a="1"/>
  <c r="H1284" i="18" a="1"/>
  <c r="K1283" i="18" a="1"/>
  <c r="J1283" i="18" a="1"/>
  <c r="I1283" i="18" a="1"/>
  <c r="H1283" i="18" a="1"/>
  <c r="K1282" i="18" a="1"/>
  <c r="J1282" i="18" a="1"/>
  <c r="I1282" i="18" a="1"/>
  <c r="H1282" i="18" a="1"/>
  <c r="K1281" i="18" a="1"/>
  <c r="J1281" i="18" a="1"/>
  <c r="I1281" i="18" a="1"/>
  <c r="H1281" i="18" a="1"/>
  <c r="K1280" i="18" a="1"/>
  <c r="J1280" i="18" a="1"/>
  <c r="I1280" i="18" a="1"/>
  <c r="H1280" i="18" a="1"/>
  <c r="K1279" i="18" a="1"/>
  <c r="J1279" i="18" a="1"/>
  <c r="I1279" i="18" a="1"/>
  <c r="H1279" i="18" a="1"/>
  <c r="K1278" i="18" a="1"/>
  <c r="J1278" i="18" a="1"/>
  <c r="I1278" i="18" a="1"/>
  <c r="H1278" i="18" a="1"/>
  <c r="K1277" i="18" a="1"/>
  <c r="J1277" i="18" a="1"/>
  <c r="I1277" i="18" a="1"/>
  <c r="H1277" i="18" a="1"/>
  <c r="K1276" i="18" a="1"/>
  <c r="J1276" i="18" a="1"/>
  <c r="I1276" i="18" a="1"/>
  <c r="H1276" i="18" a="1"/>
  <c r="K1275" i="18" a="1"/>
  <c r="J1275" i="18" a="1"/>
  <c r="I1275" i="18" a="1"/>
  <c r="H1275" i="18" a="1"/>
  <c r="K1274" i="18" a="1"/>
  <c r="J1274" i="18" a="1"/>
  <c r="I1274" i="18" a="1"/>
  <c r="H1274" i="18" a="1"/>
  <c r="K1273" i="18" a="1"/>
  <c r="J1273" i="18" a="1"/>
  <c r="I1273" i="18" a="1"/>
  <c r="H1273" i="18" a="1"/>
  <c r="K1272" i="18" a="1"/>
  <c r="J1272" i="18" a="1"/>
  <c r="I1272" i="18" a="1"/>
  <c r="H1272" i="18" a="1"/>
  <c r="K1271" i="18" a="1"/>
  <c r="J1271" i="18" a="1"/>
  <c r="I1271" i="18" a="1"/>
  <c r="H1271" i="18" a="1"/>
  <c r="K1270" i="18" a="1"/>
  <c r="J1270" i="18" a="1"/>
  <c r="I1270" i="18" a="1"/>
  <c r="H1270" i="18" a="1"/>
  <c r="K1269" i="18" a="1"/>
  <c r="J1269" i="18" a="1"/>
  <c r="I1269" i="18" a="1"/>
  <c r="H1269" i="18" a="1"/>
  <c r="K1268" i="18" a="1"/>
  <c r="J1268" i="18" a="1"/>
  <c r="I1268" i="18" a="1"/>
  <c r="H1268" i="18" a="1"/>
  <c r="K1267" i="18" a="1"/>
  <c r="J1267" i="18" a="1"/>
  <c r="I1267" i="18" a="1"/>
  <c r="H1267" i="18" a="1"/>
  <c r="K1266" i="18" a="1"/>
  <c r="J1266" i="18" a="1"/>
  <c r="I1266" i="18" a="1"/>
  <c r="H1266" i="18" a="1"/>
  <c r="K1265" i="18" a="1"/>
  <c r="J1265" i="18" a="1"/>
  <c r="I1265" i="18" a="1"/>
  <c r="H1265" i="18" a="1"/>
  <c r="K1264" i="18" a="1"/>
  <c r="J1264" i="18" a="1"/>
  <c r="I1264" i="18" a="1"/>
  <c r="H1264" i="18" a="1"/>
  <c r="K1263" i="18" a="1"/>
  <c r="J1263" i="18" a="1"/>
  <c r="I1263" i="18" a="1"/>
  <c r="H1263" i="18" a="1"/>
  <c r="K1262" i="18" a="1"/>
  <c r="J1262" i="18" a="1"/>
  <c r="I1262" i="18" a="1"/>
  <c r="H1262" i="18" a="1"/>
  <c r="K1261" i="18" a="1"/>
  <c r="J1261" i="18" a="1"/>
  <c r="I1261" i="18" a="1"/>
  <c r="H1261" i="18" a="1"/>
  <c r="K1260" i="18" a="1"/>
  <c r="J1260" i="18" a="1"/>
  <c r="I1260" i="18" a="1"/>
  <c r="H1260" i="18" a="1"/>
  <c r="K1259" i="18" a="1"/>
  <c r="J1259" i="18" a="1"/>
  <c r="I1259" i="18" a="1"/>
  <c r="H1259" i="18" a="1"/>
  <c r="K1258" i="18" a="1"/>
  <c r="J1258" i="18" a="1"/>
  <c r="I1258" i="18" a="1"/>
  <c r="H1258" i="18" a="1"/>
  <c r="K1257" i="18" a="1"/>
  <c r="J1257" i="18" a="1"/>
  <c r="I1257" i="18" a="1"/>
  <c r="H1257" i="18" a="1"/>
  <c r="K1256" i="18" a="1"/>
  <c r="J1256" i="18" a="1"/>
  <c r="I1256" i="18" a="1"/>
  <c r="H1256" i="18" a="1"/>
  <c r="K1255" i="18" a="1"/>
  <c r="J1255" i="18" a="1"/>
  <c r="I1255" i="18" a="1"/>
  <c r="H1255" i="18" a="1"/>
  <c r="K1254" i="18" a="1"/>
  <c r="J1254" i="18" a="1"/>
  <c r="I1254" i="18" a="1"/>
  <c r="H1254" i="18" a="1"/>
  <c r="K1253" i="18" a="1"/>
  <c r="J1253" i="18" a="1"/>
  <c r="I1253" i="18" a="1"/>
  <c r="H1253" i="18" a="1"/>
  <c r="K1252" i="18" a="1"/>
  <c r="J1252" i="18" a="1"/>
  <c r="I1252" i="18" a="1"/>
  <c r="H1252" i="18" a="1"/>
  <c r="K1251" i="18" a="1"/>
  <c r="J1251" i="18" a="1"/>
  <c r="I1251" i="18" a="1"/>
  <c r="H1251" i="18" a="1"/>
  <c r="K1250" i="18" a="1"/>
  <c r="J1250" i="18" a="1"/>
  <c r="I1250" i="18" a="1"/>
  <c r="H1250" i="18" a="1"/>
  <c r="K1249" i="18" a="1"/>
  <c r="J1249" i="18" a="1"/>
  <c r="I1249" i="18" a="1"/>
  <c r="H1249" i="18" a="1"/>
  <c r="K1248" i="18" a="1"/>
  <c r="J1248" i="18" a="1"/>
  <c r="I1248" i="18" a="1"/>
  <c r="H1248" i="18" a="1"/>
  <c r="K1247" i="18" a="1"/>
  <c r="J1247" i="18" a="1"/>
  <c r="I1247" i="18" a="1"/>
  <c r="H1247" i="18" a="1"/>
  <c r="K1246" i="18" a="1"/>
  <c r="J1246" i="18" a="1"/>
  <c r="I1246" i="18" a="1"/>
  <c r="H1246" i="18" a="1"/>
  <c r="K1245" i="18" a="1"/>
  <c r="J1245" i="18" a="1"/>
  <c r="I1245" i="18" a="1"/>
  <c r="H1245" i="18" a="1"/>
  <c r="K1244" i="18" a="1"/>
  <c r="J1244" i="18" a="1"/>
  <c r="I1244" i="18" a="1"/>
  <c r="H1244" i="18" a="1"/>
  <c r="K1243" i="18" a="1"/>
  <c r="J1243" i="18" a="1"/>
  <c r="I1243" i="18" a="1"/>
  <c r="H1243" i="18" a="1"/>
  <c r="K1242" i="18" a="1"/>
  <c r="J1242" i="18" a="1"/>
  <c r="I1242" i="18" a="1"/>
  <c r="H1242" i="18" a="1"/>
  <c r="K1241" i="18" a="1"/>
  <c r="J1241" i="18" a="1"/>
  <c r="I1241" i="18" a="1"/>
  <c r="H1241" i="18" a="1"/>
  <c r="K1240" i="18" a="1"/>
  <c r="J1240" i="18" a="1"/>
  <c r="I1240" i="18" a="1"/>
  <c r="H1240" i="18" a="1"/>
  <c r="K1239" i="18" a="1"/>
  <c r="J1239" i="18" a="1"/>
  <c r="I1239" i="18" a="1"/>
  <c r="H1239" i="18" a="1"/>
  <c r="K1238" i="18" a="1"/>
  <c r="J1238" i="18" a="1"/>
  <c r="I1238" i="18" a="1"/>
  <c r="H1238" i="18" a="1"/>
  <c r="K1237" i="18" a="1"/>
  <c r="J1237" i="18" a="1"/>
  <c r="I1237" i="18" a="1"/>
  <c r="H1237" i="18" a="1"/>
  <c r="K1236" i="18" a="1"/>
  <c r="J1236" i="18" a="1"/>
  <c r="I1236" i="18" a="1"/>
  <c r="H1236" i="18" a="1"/>
  <c r="K1235" i="18" a="1"/>
  <c r="J1235" i="18" a="1"/>
  <c r="I1235" i="18" a="1"/>
  <c r="H1235" i="18" a="1"/>
  <c r="K1234" i="18" a="1"/>
  <c r="J1234" i="18" a="1"/>
  <c r="I1234" i="18" a="1"/>
  <c r="H1234" i="18" a="1"/>
  <c r="K1233" i="18" a="1"/>
  <c r="J1233" i="18" a="1"/>
  <c r="I1233" i="18" a="1"/>
  <c r="H1233" i="18" a="1"/>
  <c r="K1232" i="18" a="1"/>
  <c r="J1232" i="18" a="1"/>
  <c r="I1232" i="18" a="1"/>
  <c r="H1232" i="18" a="1"/>
  <c r="K1231" i="18" a="1"/>
  <c r="J1231" i="18" a="1"/>
  <c r="I1231" i="18" a="1"/>
  <c r="H1231" i="18" a="1"/>
  <c r="K1230" i="18" a="1"/>
  <c r="J1230" i="18" a="1"/>
  <c r="I1230" i="18" a="1"/>
  <c r="H1230" i="18" a="1"/>
  <c r="K1229" i="18" a="1"/>
  <c r="J1229" i="18" a="1"/>
  <c r="I1229" i="18" a="1"/>
  <c r="H1229" i="18" a="1"/>
  <c r="K1228" i="18" a="1"/>
  <c r="J1228" i="18" a="1"/>
  <c r="I1228" i="18" a="1"/>
  <c r="H1228" i="18" a="1"/>
  <c r="K1227" i="18" a="1"/>
  <c r="J1227" i="18" a="1"/>
  <c r="I1227" i="18" a="1"/>
  <c r="H1227" i="18" a="1"/>
  <c r="K1226" i="18" a="1"/>
  <c r="J1226" i="18" a="1"/>
  <c r="I1226" i="18" a="1"/>
  <c r="H1226" i="18" a="1"/>
  <c r="K1225" i="18" a="1"/>
  <c r="J1225" i="18" a="1"/>
  <c r="I1225" i="18" a="1"/>
  <c r="H1225" i="18" a="1"/>
  <c r="K1224" i="18" a="1"/>
  <c r="J1224" i="18" a="1"/>
  <c r="I1224" i="18" a="1"/>
  <c r="H1224" i="18" a="1"/>
  <c r="K1223" i="18" a="1"/>
  <c r="J1223" i="18" a="1"/>
  <c r="I1223" i="18" a="1"/>
  <c r="H1223" i="18" a="1"/>
  <c r="K1222" i="18" a="1"/>
  <c r="J1222" i="18" a="1"/>
  <c r="I1222" i="18" a="1"/>
  <c r="H1222" i="18" a="1"/>
  <c r="K1221" i="18" a="1"/>
  <c r="J1221" i="18" a="1"/>
  <c r="I1221" i="18" a="1"/>
  <c r="H1221" i="18" a="1"/>
  <c r="K1220" i="18" a="1"/>
  <c r="J1220" i="18" a="1"/>
  <c r="I1220" i="18" a="1"/>
  <c r="H1220" i="18" a="1"/>
  <c r="K1219" i="18" a="1"/>
  <c r="J1219" i="18" a="1"/>
  <c r="I1219" i="18" a="1"/>
  <c r="H1219" i="18" a="1"/>
  <c r="K1218" i="18" a="1"/>
  <c r="J1218" i="18" a="1"/>
  <c r="I1218" i="18" a="1"/>
  <c r="H1218" i="18" a="1"/>
  <c r="K1217" i="18" a="1"/>
  <c r="J1217" i="18" a="1"/>
  <c r="I1217" i="18" a="1"/>
  <c r="H1217" i="18" a="1"/>
  <c r="K1216" i="18" a="1"/>
  <c r="J1216" i="18" a="1"/>
  <c r="I1216" i="18" a="1"/>
  <c r="H1216" i="18" a="1"/>
  <c r="K1215" i="18" a="1"/>
  <c r="J1215" i="18" a="1"/>
  <c r="I1215" i="18" a="1"/>
  <c r="H1215" i="18" a="1"/>
  <c r="K1214" i="18" a="1"/>
  <c r="J1214" i="18" a="1"/>
  <c r="I1214" i="18" a="1"/>
  <c r="H1214" i="18" a="1"/>
  <c r="K1213" i="18" a="1"/>
  <c r="J1213" i="18" a="1"/>
  <c r="I1213" i="18" a="1"/>
  <c r="H1213" i="18" a="1"/>
  <c r="K1212" i="18" a="1"/>
  <c r="J1212" i="18" a="1"/>
  <c r="I1212" i="18" a="1"/>
  <c r="H1212" i="18" a="1"/>
  <c r="K1211" i="18" a="1"/>
  <c r="J1211" i="18" a="1"/>
  <c r="I1211" i="18" a="1"/>
  <c r="H1211" i="18" a="1"/>
  <c r="K1210" i="18" a="1"/>
  <c r="J1210" i="18" a="1"/>
  <c r="I1210" i="18" a="1"/>
  <c r="H1210" i="18" a="1"/>
  <c r="K1209" i="18" a="1"/>
  <c r="J1209" i="18" a="1"/>
  <c r="I1209" i="18" a="1"/>
  <c r="H1209" i="18" a="1"/>
  <c r="K1208" i="18" a="1"/>
  <c r="J1208" i="18" a="1"/>
  <c r="I1208" i="18" a="1"/>
  <c r="H1208" i="18" a="1"/>
  <c r="K1207" i="18" a="1"/>
  <c r="J1207" i="18" a="1"/>
  <c r="I1207" i="18" a="1"/>
  <c r="H1207" i="18" a="1"/>
  <c r="K1206" i="18" a="1"/>
  <c r="J1206" i="18" a="1"/>
  <c r="I1206" i="18" a="1"/>
  <c r="H1206" i="18" a="1"/>
  <c r="K1205" i="18" a="1"/>
  <c r="J1205" i="18" a="1"/>
  <c r="I1205" i="18" a="1"/>
  <c r="H1205" i="18" a="1"/>
  <c r="K1204" i="18" a="1"/>
  <c r="J1204" i="18" a="1"/>
  <c r="I1204" i="18" a="1"/>
  <c r="H1204" i="18" a="1"/>
  <c r="K1203" i="18" a="1"/>
  <c r="J1203" i="18" a="1"/>
  <c r="I1203" i="18" a="1"/>
  <c r="H1203" i="18" a="1"/>
  <c r="K1202" i="18" a="1"/>
  <c r="J1202" i="18" a="1"/>
  <c r="I1202" i="18" a="1"/>
  <c r="H1202" i="18" a="1"/>
  <c r="K1201" i="18" a="1"/>
  <c r="J1201" i="18" a="1"/>
  <c r="I1201" i="18" a="1"/>
  <c r="H1201" i="18" a="1"/>
  <c r="K1200" i="18" a="1"/>
  <c r="J1200" i="18" a="1"/>
  <c r="I1200" i="18" a="1"/>
  <c r="H1200" i="18" a="1"/>
  <c r="K1199" i="18" a="1"/>
  <c r="J1199" i="18" a="1"/>
  <c r="I1199" i="18" a="1"/>
  <c r="H1199" i="18" a="1"/>
  <c r="K1198" i="18" a="1"/>
  <c r="J1198" i="18" a="1"/>
  <c r="I1198" i="18" a="1"/>
  <c r="H1198" i="18" a="1"/>
  <c r="K1197" i="18" a="1"/>
  <c r="J1197" i="18" a="1"/>
  <c r="I1197" i="18" a="1"/>
  <c r="H1197" i="18" a="1"/>
  <c r="K1196" i="18" a="1"/>
  <c r="J1196" i="18" a="1"/>
  <c r="I1196" i="18" a="1"/>
  <c r="H1196" i="18" a="1"/>
  <c r="K1195" i="18" a="1"/>
  <c r="J1195" i="18" a="1"/>
  <c r="I1195" i="18" a="1"/>
  <c r="H1195" i="18" a="1"/>
  <c r="K1194" i="18" a="1"/>
  <c r="J1194" i="18" a="1"/>
  <c r="I1194" i="18" a="1"/>
  <c r="H1194" i="18" a="1"/>
  <c r="K1193" i="18" a="1"/>
  <c r="J1193" i="18" a="1"/>
  <c r="I1193" i="18" a="1"/>
  <c r="H1193" i="18" a="1"/>
  <c r="K1192" i="18" a="1"/>
  <c r="J1192" i="18" a="1"/>
  <c r="I1192" i="18" a="1"/>
  <c r="H1192" i="18" a="1"/>
  <c r="K1191" i="18" a="1"/>
  <c r="J1191" i="18" a="1"/>
  <c r="I1191" i="18" a="1"/>
  <c r="H1191" i="18" a="1"/>
  <c r="K1190" i="18" a="1"/>
  <c r="J1190" i="18" a="1"/>
  <c r="I1190" i="18" a="1"/>
  <c r="H1190" i="18" a="1"/>
  <c r="K1189" i="18" a="1"/>
  <c r="J1189" i="18" a="1"/>
  <c r="I1189" i="18" a="1"/>
  <c r="H1189" i="18" a="1"/>
  <c r="K1188" i="18" a="1"/>
  <c r="J1188" i="18" a="1"/>
  <c r="I1188" i="18" a="1"/>
  <c r="H1188" i="18" a="1"/>
  <c r="K1187" i="18" a="1"/>
  <c r="J1187" i="18" a="1"/>
  <c r="I1187" i="18" a="1"/>
  <c r="H1187" i="18" a="1"/>
  <c r="K1186" i="18" a="1"/>
  <c r="J1186" i="18" a="1"/>
  <c r="I1186" i="18" a="1"/>
  <c r="H1186" i="18" a="1"/>
  <c r="K1185" i="18" a="1"/>
  <c r="J1185" i="18" a="1"/>
  <c r="I1185" i="18" a="1"/>
  <c r="H1185" i="18" a="1"/>
  <c r="K1184" i="18" a="1"/>
  <c r="J1184" i="18" a="1"/>
  <c r="I1184" i="18" a="1"/>
  <c r="H1184" i="18" a="1"/>
  <c r="K1183" i="18" a="1"/>
  <c r="J1183" i="18" a="1"/>
  <c r="I1183" i="18" a="1"/>
  <c r="H1183" i="18" a="1"/>
  <c r="K1182" i="18" a="1"/>
  <c r="J1182" i="18" a="1"/>
  <c r="I1182" i="18" a="1"/>
  <c r="H1182" i="18" a="1"/>
  <c r="K1181" i="18" a="1"/>
  <c r="J1181" i="18" a="1"/>
  <c r="I1181" i="18" a="1"/>
  <c r="H1181" i="18" a="1"/>
  <c r="K1180" i="18" a="1"/>
  <c r="J1180" i="18" a="1"/>
  <c r="I1180" i="18" a="1"/>
  <c r="H1180" i="18" a="1"/>
  <c r="K1179" i="18" a="1"/>
  <c r="J1179" i="18" a="1"/>
  <c r="I1179" i="18" a="1"/>
  <c r="H1179" i="18" a="1"/>
  <c r="K1178" i="18" a="1"/>
  <c r="J1178" i="18" a="1"/>
  <c r="I1178" i="18" a="1"/>
  <c r="H1178" i="18" a="1"/>
  <c r="K1177" i="18" a="1"/>
  <c r="J1177" i="18" a="1"/>
  <c r="I1177" i="18" a="1"/>
  <c r="H1177" i="18" a="1"/>
  <c r="K1176" i="18" a="1"/>
  <c r="J1176" i="18" a="1"/>
  <c r="I1176" i="18" a="1"/>
  <c r="H1176" i="18" a="1"/>
  <c r="K1175" i="18" a="1"/>
  <c r="J1175" i="18" a="1"/>
  <c r="I1175" i="18" a="1"/>
  <c r="H1175" i="18" a="1"/>
  <c r="K1174" i="18" a="1"/>
  <c r="J1174" i="18" a="1"/>
  <c r="I1174" i="18" a="1"/>
  <c r="H1174" i="18" a="1"/>
  <c r="K1173" i="18" a="1"/>
  <c r="J1173" i="18" a="1"/>
  <c r="I1173" i="18" a="1"/>
  <c r="H1173" i="18" a="1"/>
  <c r="K1172" i="18" a="1"/>
  <c r="J1172" i="18" a="1"/>
  <c r="I1172" i="18" a="1"/>
  <c r="H1172" i="18" a="1"/>
  <c r="K1171" i="18" a="1"/>
  <c r="J1171" i="18" a="1"/>
  <c r="I1171" i="18" a="1"/>
  <c r="H1171" i="18" a="1"/>
  <c r="K1170" i="18" a="1"/>
  <c r="J1170" i="18" a="1"/>
  <c r="I1170" i="18" a="1"/>
  <c r="H1170" i="18" a="1"/>
  <c r="K1169" i="18" a="1"/>
  <c r="J1169" i="18" a="1"/>
  <c r="I1169" i="18" a="1"/>
  <c r="H1169" i="18" a="1"/>
  <c r="K1168" i="18" a="1"/>
  <c r="J1168" i="18" a="1"/>
  <c r="I1168" i="18" a="1"/>
  <c r="H1168" i="18" a="1"/>
  <c r="K1167" i="18" a="1"/>
  <c r="J1167" i="18" a="1"/>
  <c r="I1167" i="18" a="1"/>
  <c r="H1167" i="18" a="1"/>
  <c r="K1166" i="18" a="1"/>
  <c r="J1166" i="18" a="1"/>
  <c r="I1166" i="18" a="1"/>
  <c r="H1166" i="18" a="1"/>
  <c r="K1165" i="18" a="1"/>
  <c r="J1165" i="18" a="1"/>
  <c r="I1165" i="18" a="1"/>
  <c r="H1165" i="18" a="1"/>
  <c r="K1164" i="18" a="1"/>
  <c r="J1164" i="18" a="1"/>
  <c r="I1164" i="18" a="1"/>
  <c r="H1164" i="18" a="1"/>
  <c r="K1163" i="18" a="1"/>
  <c r="J1163" i="18" a="1"/>
  <c r="I1163" i="18" a="1"/>
  <c r="H1163" i="18" a="1"/>
  <c r="K1162" i="18" a="1"/>
  <c r="J1162" i="18" a="1"/>
  <c r="I1162" i="18" a="1"/>
  <c r="H1162" i="18" a="1"/>
  <c r="K1161" i="18" a="1"/>
  <c r="J1161" i="18" a="1"/>
  <c r="I1161" i="18" a="1"/>
  <c r="H1161" i="18" a="1"/>
  <c r="K1160" i="18" a="1"/>
  <c r="J1160" i="18" a="1"/>
  <c r="I1160" i="18" a="1"/>
  <c r="H1160" i="18" a="1"/>
  <c r="K1159" i="18" a="1"/>
  <c r="J1159" i="18" a="1"/>
  <c r="I1159" i="18" a="1"/>
  <c r="H1159" i="18" a="1"/>
  <c r="K1158" i="18" a="1"/>
  <c r="J1158" i="18" a="1"/>
  <c r="I1158" i="18" a="1"/>
  <c r="H1158" i="18" a="1"/>
  <c r="K1157" i="18" a="1"/>
  <c r="J1157" i="18" a="1"/>
  <c r="I1157" i="18" a="1"/>
  <c r="H1157" i="18" a="1"/>
  <c r="K1156" i="18" a="1"/>
  <c r="J1156" i="18" a="1"/>
  <c r="I1156" i="18" a="1"/>
  <c r="H1156" i="18" a="1"/>
  <c r="K1155" i="18" a="1"/>
  <c r="J1155" i="18" a="1"/>
  <c r="I1155" i="18" a="1"/>
  <c r="H1155" i="18" a="1"/>
  <c r="K1154" i="18" a="1"/>
  <c r="J1154" i="18" a="1"/>
  <c r="I1154" i="18" a="1"/>
  <c r="H1154" i="18" a="1"/>
  <c r="K1153" i="18" a="1"/>
  <c r="J1153" i="18" a="1"/>
  <c r="I1153" i="18" a="1"/>
  <c r="H1153" i="18" a="1"/>
  <c r="K1152" i="18" a="1"/>
  <c r="J1152" i="18" a="1"/>
  <c r="I1152" i="18" a="1"/>
  <c r="H1152" i="18" a="1"/>
  <c r="K1151" i="18" a="1"/>
  <c r="J1151" i="18" a="1"/>
  <c r="I1151" i="18" a="1"/>
  <c r="H1151" i="18" a="1"/>
  <c r="K1150" i="18" a="1"/>
  <c r="J1150" i="18" a="1"/>
  <c r="I1150" i="18" a="1"/>
  <c r="H1150" i="18" a="1"/>
  <c r="K1149" i="18" a="1"/>
  <c r="J1149" i="18" a="1"/>
  <c r="I1149" i="18" a="1"/>
  <c r="H1149" i="18" a="1"/>
  <c r="K1148" i="18" a="1"/>
  <c r="J1148" i="18" a="1"/>
  <c r="I1148" i="18" a="1"/>
  <c r="H1148" i="18" a="1"/>
  <c r="K1147" i="18" a="1"/>
  <c r="J1147" i="18" a="1"/>
  <c r="I1147" i="18" a="1"/>
  <c r="H1147" i="18" a="1"/>
  <c r="K1146" i="18" a="1"/>
  <c r="J1146" i="18" a="1"/>
  <c r="I1146" i="18" a="1"/>
  <c r="H1146" i="18" a="1"/>
  <c r="K1145" i="18" a="1"/>
  <c r="J1145" i="18" a="1"/>
  <c r="I1145" i="18" a="1"/>
  <c r="H1145" i="18" a="1"/>
  <c r="K1144" i="18" a="1"/>
  <c r="J1144" i="18" a="1"/>
  <c r="I1144" i="18" a="1"/>
  <c r="H1144" i="18" a="1"/>
  <c r="K1143" i="18" a="1"/>
  <c r="J1143" i="18" a="1"/>
  <c r="I1143" i="18" a="1"/>
  <c r="H1143" i="18" a="1"/>
  <c r="K1142" i="18" a="1"/>
  <c r="J1142" i="18" a="1"/>
  <c r="I1142" i="18" a="1"/>
  <c r="H1142" i="18" a="1"/>
  <c r="K1141" i="18" a="1"/>
  <c r="J1141" i="18" a="1"/>
  <c r="I1141" i="18" a="1"/>
  <c r="H1141" i="18" a="1"/>
  <c r="K1140" i="18" a="1"/>
  <c r="J1140" i="18" a="1"/>
  <c r="I1140" i="18" a="1"/>
  <c r="H1140" i="18" a="1"/>
  <c r="K1139" i="18" a="1"/>
  <c r="J1139" i="18" a="1"/>
  <c r="I1139" i="18" a="1"/>
  <c r="H1139" i="18" a="1"/>
  <c r="K1138" i="18" a="1"/>
  <c r="J1138" i="18" a="1"/>
  <c r="I1138" i="18" a="1"/>
  <c r="H1138" i="18" a="1"/>
  <c r="K1137" i="18" a="1"/>
  <c r="J1137" i="18" a="1"/>
  <c r="I1137" i="18" a="1"/>
  <c r="H1137" i="18" a="1"/>
  <c r="K1136" i="18" a="1"/>
  <c r="J1136" i="18" a="1"/>
  <c r="I1136" i="18" a="1"/>
  <c r="H1136" i="18" a="1"/>
  <c r="K1135" i="18" a="1"/>
  <c r="J1135" i="18" a="1"/>
  <c r="I1135" i="18" a="1"/>
  <c r="H1135" i="18" a="1"/>
  <c r="K1134" i="18" a="1"/>
  <c r="J1134" i="18" a="1"/>
  <c r="I1134" i="18" a="1"/>
  <c r="H1134" i="18" a="1"/>
  <c r="K1133" i="18" a="1"/>
  <c r="J1133" i="18" a="1"/>
  <c r="I1133" i="18" a="1"/>
  <c r="H1133" i="18" a="1"/>
  <c r="K1132" i="18" a="1"/>
  <c r="J1132" i="18" a="1"/>
  <c r="I1132" i="18" a="1"/>
  <c r="H1132" i="18" a="1"/>
  <c r="K1131" i="18" a="1"/>
  <c r="J1131" i="18" a="1"/>
  <c r="I1131" i="18" a="1"/>
  <c r="H1131" i="18" a="1"/>
  <c r="K1130" i="18" a="1"/>
  <c r="J1130" i="18" a="1"/>
  <c r="I1130" i="18" a="1"/>
  <c r="H1130" i="18" a="1"/>
  <c r="K1129" i="18" a="1"/>
  <c r="J1129" i="18" a="1"/>
  <c r="I1129" i="18" a="1"/>
  <c r="H1129" i="18" a="1"/>
  <c r="K1128" i="18" a="1"/>
  <c r="J1128" i="18" a="1"/>
  <c r="I1128" i="18" a="1"/>
  <c r="H1128" i="18" a="1"/>
  <c r="K1127" i="18" a="1"/>
  <c r="J1127" i="18" a="1"/>
  <c r="I1127" i="18" a="1"/>
  <c r="H1127" i="18" a="1"/>
  <c r="K1126" i="18" a="1"/>
  <c r="J1126" i="18" a="1"/>
  <c r="I1126" i="18" a="1"/>
  <c r="H1126" i="18" a="1"/>
  <c r="K1125" i="18" a="1"/>
  <c r="J1125" i="18" a="1"/>
  <c r="I1125" i="18" a="1"/>
  <c r="H1125" i="18" a="1"/>
  <c r="K1124" i="18" a="1"/>
  <c r="J1124" i="18" a="1"/>
  <c r="I1124" i="18" a="1"/>
  <c r="H1124" i="18" a="1"/>
  <c r="K1123" i="18" a="1"/>
  <c r="J1123" i="18" a="1"/>
  <c r="I1123" i="18" a="1"/>
  <c r="H1123" i="18" a="1"/>
  <c r="K1122" i="18" a="1"/>
  <c r="J1122" i="18" a="1"/>
  <c r="I1122" i="18" a="1"/>
  <c r="H1122" i="18" a="1"/>
  <c r="K1121" i="18" a="1"/>
  <c r="J1121" i="18" a="1"/>
  <c r="I1121" i="18" a="1"/>
  <c r="H1121" i="18" a="1"/>
  <c r="K1120" i="18" a="1"/>
  <c r="J1120" i="18" a="1"/>
  <c r="I1120" i="18" a="1"/>
  <c r="H1120" i="18" a="1"/>
  <c r="K1119" i="18" a="1"/>
  <c r="J1119" i="18" a="1"/>
  <c r="I1119" i="18" a="1"/>
  <c r="H1119" i="18" a="1"/>
  <c r="K1118" i="18" a="1"/>
  <c r="J1118" i="18" a="1"/>
  <c r="I1118" i="18" a="1"/>
  <c r="H1118" i="18" a="1"/>
  <c r="K1117" i="18" a="1"/>
  <c r="J1117" i="18" a="1"/>
  <c r="I1117" i="18" a="1"/>
  <c r="H1117" i="18" a="1"/>
  <c r="K1116" i="18" a="1"/>
  <c r="J1116" i="18" a="1"/>
  <c r="I1116" i="18" a="1"/>
  <c r="H1116" i="18" a="1"/>
  <c r="K1115" i="18" a="1"/>
  <c r="J1115" i="18" a="1"/>
  <c r="I1115" i="18" a="1"/>
  <c r="H1115" i="18" a="1"/>
  <c r="K1114" i="18" a="1"/>
  <c r="J1114" i="18" a="1"/>
  <c r="I1114" i="18" a="1"/>
  <c r="H1114" i="18" a="1"/>
  <c r="K1113" i="18" a="1"/>
  <c r="J1113" i="18" a="1"/>
  <c r="I1113" i="18" a="1"/>
  <c r="H1113" i="18" a="1"/>
  <c r="K1112" i="18" a="1"/>
  <c r="J1112" i="18" a="1"/>
  <c r="I1112" i="18" a="1"/>
  <c r="H1112" i="18" a="1"/>
  <c r="K1111" i="18" a="1"/>
  <c r="J1111" i="18" a="1"/>
  <c r="I1111" i="18" a="1"/>
  <c r="H1111" i="18" a="1"/>
  <c r="K1110" i="18" a="1"/>
  <c r="J1110" i="18" a="1"/>
  <c r="I1110" i="18" a="1"/>
  <c r="H1110" i="18" a="1"/>
  <c r="K1109" i="18" a="1"/>
  <c r="J1109" i="18" a="1"/>
  <c r="I1109" i="18" a="1"/>
  <c r="H1109" i="18" a="1"/>
  <c r="K1108" i="18" a="1"/>
  <c r="J1108" i="18" a="1"/>
  <c r="I1108" i="18" a="1"/>
  <c r="H1108" i="18" a="1"/>
  <c r="K1107" i="18" a="1"/>
  <c r="J1107" i="18" a="1"/>
  <c r="I1107" i="18" a="1"/>
  <c r="H1107" i="18" a="1"/>
  <c r="K1106" i="18" a="1"/>
  <c r="J1106" i="18" a="1"/>
  <c r="I1106" i="18" a="1"/>
  <c r="H1106" i="18" a="1"/>
  <c r="K1105" i="18" a="1"/>
  <c r="J1105" i="18" a="1"/>
  <c r="I1105" i="18" a="1"/>
  <c r="H1105" i="18" a="1"/>
  <c r="K1104" i="18" a="1"/>
  <c r="J1104" i="18" a="1"/>
  <c r="I1104" i="18" a="1"/>
  <c r="H1104" i="18" a="1"/>
  <c r="K1103" i="18" a="1"/>
  <c r="J1103" i="18" a="1"/>
  <c r="I1103" i="18" a="1"/>
  <c r="H1103" i="18" a="1"/>
  <c r="K1102" i="18" a="1"/>
  <c r="J1102" i="18" a="1"/>
  <c r="I1102" i="18" a="1"/>
  <c r="H1102" i="18" a="1"/>
  <c r="K1101" i="18" a="1"/>
  <c r="J1101" i="18" a="1"/>
  <c r="I1101" i="18" a="1"/>
  <c r="H1101" i="18" a="1"/>
  <c r="K1100" i="18" a="1"/>
  <c r="J1100" i="18" a="1"/>
  <c r="I1100" i="18" a="1"/>
  <c r="H1100" i="18" a="1"/>
  <c r="K1099" i="18" a="1"/>
  <c r="J1099" i="18" a="1"/>
  <c r="I1099" i="18" a="1"/>
  <c r="H1099" i="18" a="1"/>
  <c r="K1098" i="18" a="1"/>
  <c r="J1098" i="18" a="1"/>
  <c r="I1098" i="18" a="1"/>
  <c r="H1098" i="18" a="1"/>
  <c r="K1097" i="18" a="1"/>
  <c r="J1097" i="18" a="1"/>
  <c r="I1097" i="18" a="1"/>
  <c r="H1097" i="18" a="1"/>
  <c r="K1096" i="18" a="1"/>
  <c r="J1096" i="18" a="1"/>
  <c r="I1096" i="18" a="1"/>
  <c r="H1096" i="18" a="1"/>
  <c r="K1095" i="18" a="1"/>
  <c r="J1095" i="18" a="1"/>
  <c r="I1095" i="18" a="1"/>
  <c r="H1095" i="18" a="1"/>
  <c r="K1094" i="18" a="1"/>
  <c r="J1094" i="18" a="1"/>
  <c r="I1094" i="18" a="1"/>
  <c r="H1094" i="18" a="1"/>
  <c r="K1093" i="18" a="1"/>
  <c r="J1093" i="18" a="1"/>
  <c r="I1093" i="18" a="1"/>
  <c r="H1093" i="18" a="1"/>
  <c r="K1092" i="18" a="1"/>
  <c r="J1092" i="18" a="1"/>
  <c r="I1092" i="18" a="1"/>
  <c r="H1092" i="18" a="1"/>
  <c r="K1091" i="18" a="1"/>
  <c r="J1091" i="18" a="1"/>
  <c r="I1091" i="18" a="1"/>
  <c r="H1091" i="18" a="1"/>
  <c r="K1090" i="18" a="1"/>
  <c r="J1090" i="18" a="1"/>
  <c r="I1090" i="18" a="1"/>
  <c r="H1090" i="18" a="1"/>
  <c r="K1089" i="18" a="1"/>
  <c r="J1089" i="18" a="1"/>
  <c r="I1089" i="18" a="1"/>
  <c r="H1089" i="18" a="1"/>
  <c r="K1088" i="18" a="1"/>
  <c r="J1088" i="18" a="1"/>
  <c r="I1088" i="18" a="1"/>
  <c r="H1088" i="18" a="1"/>
  <c r="K1087" i="18" a="1"/>
  <c r="J1087" i="18" a="1"/>
  <c r="I1087" i="18" a="1"/>
  <c r="H1087" i="18" a="1"/>
  <c r="K1086" i="18" a="1"/>
  <c r="J1086" i="18" a="1"/>
  <c r="I1086" i="18" a="1"/>
  <c r="H1086" i="18" a="1"/>
  <c r="K1085" i="18" a="1"/>
  <c r="J1085" i="18" a="1"/>
  <c r="I1085" i="18" a="1"/>
  <c r="H1085" i="18" a="1"/>
  <c r="K1084" i="18" a="1"/>
  <c r="J1084" i="18" a="1"/>
  <c r="I1084" i="18" a="1"/>
  <c r="H1084" i="18" a="1"/>
  <c r="K1083" i="18" a="1"/>
  <c r="J1083" i="18" a="1"/>
  <c r="I1083" i="18" a="1"/>
  <c r="H1083" i="18" a="1"/>
  <c r="K1082" i="18" a="1"/>
  <c r="J1082" i="18" a="1"/>
  <c r="I1082" i="18" a="1"/>
  <c r="H1082" i="18" a="1"/>
  <c r="K1081" i="18" a="1"/>
  <c r="J1081" i="18" a="1"/>
  <c r="I1081" i="18" a="1"/>
  <c r="H1081" i="18" a="1"/>
  <c r="K1080" i="18" a="1"/>
  <c r="J1080" i="18" a="1"/>
  <c r="I1080" i="18" a="1"/>
  <c r="H1080" i="18" a="1"/>
  <c r="K1079" i="18" a="1"/>
  <c r="J1079" i="18" a="1"/>
  <c r="I1079" i="18" a="1"/>
  <c r="H1079" i="18" a="1"/>
  <c r="K1078" i="18" a="1"/>
  <c r="J1078" i="18" a="1"/>
  <c r="I1078" i="18" a="1"/>
  <c r="H1078" i="18" a="1"/>
  <c r="K1077" i="18" a="1"/>
  <c r="J1077" i="18" a="1"/>
  <c r="I1077" i="18" a="1"/>
  <c r="H1077" i="18" a="1"/>
  <c r="K1076" i="18" a="1"/>
  <c r="J1076" i="18" a="1"/>
  <c r="I1076" i="18" a="1"/>
  <c r="H1076" i="18" a="1"/>
  <c r="K1075" i="18" a="1"/>
  <c r="J1075" i="18" a="1"/>
  <c r="I1075" i="18" a="1"/>
  <c r="H1075" i="18" a="1"/>
  <c r="K1074" i="18" a="1"/>
  <c r="J1074" i="18" a="1"/>
  <c r="I1074" i="18" a="1"/>
  <c r="H1074" i="18" a="1"/>
  <c r="K1073" i="18" a="1"/>
  <c r="J1073" i="18" a="1"/>
  <c r="I1073" i="18" a="1"/>
  <c r="H1073" i="18" a="1"/>
  <c r="K1072" i="18" a="1"/>
  <c r="J1072" i="18" a="1"/>
  <c r="I1072" i="18" a="1"/>
  <c r="H1072" i="18" a="1"/>
  <c r="K1071" i="18" a="1"/>
  <c r="J1071" i="18" a="1"/>
  <c r="I1071" i="18" a="1"/>
  <c r="H1071" i="18" a="1"/>
  <c r="K1070" i="18" a="1"/>
  <c r="J1070" i="18" a="1"/>
  <c r="I1070" i="18" a="1"/>
  <c r="H1070" i="18" a="1"/>
  <c r="K1069" i="18" a="1"/>
  <c r="J1069" i="18" a="1"/>
  <c r="I1069" i="18" a="1"/>
  <c r="H1069" i="18" a="1"/>
  <c r="K1068" i="18" a="1"/>
  <c r="J1068" i="18" a="1"/>
  <c r="I1068" i="18" a="1"/>
  <c r="H1068" i="18" a="1"/>
  <c r="K1067" i="18" a="1"/>
  <c r="J1067" i="18" a="1"/>
  <c r="I1067" i="18" a="1"/>
  <c r="H1067" i="18" a="1"/>
  <c r="K1066" i="18" a="1"/>
  <c r="J1066" i="18" a="1"/>
  <c r="I1066" i="18" a="1"/>
  <c r="H1066" i="18" a="1"/>
  <c r="K1065" i="18" a="1"/>
  <c r="J1065" i="18" a="1"/>
  <c r="I1065" i="18" a="1"/>
  <c r="H1065" i="18" a="1"/>
  <c r="K1064" i="18" a="1"/>
  <c r="J1064" i="18" a="1"/>
  <c r="I1064" i="18" a="1"/>
  <c r="H1064" i="18" a="1"/>
  <c r="K1063" i="18" a="1"/>
  <c r="J1063" i="18" a="1"/>
  <c r="I1063" i="18" a="1"/>
  <c r="H1063" i="18" a="1"/>
  <c r="K1062" i="18" a="1"/>
  <c r="J1062" i="18" a="1"/>
  <c r="I1062" i="18" a="1"/>
  <c r="H1062" i="18" a="1"/>
  <c r="K1061" i="18" a="1"/>
  <c r="J1061" i="18" a="1"/>
  <c r="I1061" i="18" a="1"/>
  <c r="H1061" i="18" a="1"/>
  <c r="K1060" i="18" a="1"/>
  <c r="J1060" i="18" a="1"/>
  <c r="I1060" i="18" a="1"/>
  <c r="H1060" i="18" a="1"/>
  <c r="K1059" i="18" a="1"/>
  <c r="J1059" i="18" a="1"/>
  <c r="I1059" i="18" a="1"/>
  <c r="H1059" i="18" a="1"/>
  <c r="K1058" i="18" a="1"/>
  <c r="J1058" i="18" a="1"/>
  <c r="I1058" i="18" a="1"/>
  <c r="H1058" i="18" a="1"/>
  <c r="K1057" i="18" a="1"/>
  <c r="J1057" i="18" a="1"/>
  <c r="I1057" i="18" a="1"/>
  <c r="H1057" i="18" a="1"/>
  <c r="K1056" i="18" a="1"/>
  <c r="J1056" i="18" a="1"/>
  <c r="I1056" i="18" a="1"/>
  <c r="H1056" i="18" a="1"/>
  <c r="K1055" i="18" a="1"/>
  <c r="J1055" i="18" a="1"/>
  <c r="I1055" i="18" a="1"/>
  <c r="H1055" i="18" a="1"/>
  <c r="K1054" i="18" a="1"/>
  <c r="J1054" i="18" a="1"/>
  <c r="I1054" i="18" a="1"/>
  <c r="H1054" i="18" a="1"/>
  <c r="K1053" i="18" a="1"/>
  <c r="J1053" i="18" a="1"/>
  <c r="I1053" i="18" a="1"/>
  <c r="H1053" i="18" a="1"/>
  <c r="K1052" i="18" a="1"/>
  <c r="J1052" i="18" a="1"/>
  <c r="I1052" i="18" a="1"/>
  <c r="H1052" i="18" a="1"/>
  <c r="K1051" i="18" a="1"/>
  <c r="J1051" i="18" a="1"/>
  <c r="I1051" i="18" a="1"/>
  <c r="H1051" i="18" a="1"/>
  <c r="K1050" i="18" a="1"/>
  <c r="J1050" i="18" a="1"/>
  <c r="I1050" i="18" a="1"/>
  <c r="H1050" i="18" a="1"/>
  <c r="K1049" i="18" a="1"/>
  <c r="J1049" i="18" a="1"/>
  <c r="I1049" i="18" a="1"/>
  <c r="H1049" i="18" a="1"/>
  <c r="K1048" i="18" a="1"/>
  <c r="J1048" i="18" a="1"/>
  <c r="I1048" i="18" a="1"/>
  <c r="H1048" i="18" a="1"/>
  <c r="K1047" i="18" a="1"/>
  <c r="J1047" i="18" a="1"/>
  <c r="I1047" i="18" a="1"/>
  <c r="H1047" i="18" a="1"/>
  <c r="K1046" i="18" a="1"/>
  <c r="J1046" i="18" a="1"/>
  <c r="I1046" i="18" a="1"/>
  <c r="H1046" i="18" a="1"/>
  <c r="K1045" i="18" a="1"/>
  <c r="J1045" i="18" a="1"/>
  <c r="I1045" i="18" a="1"/>
  <c r="H1045" i="18" a="1"/>
  <c r="K1044" i="18" a="1"/>
  <c r="J1044" i="18" a="1"/>
  <c r="I1044" i="18" a="1"/>
  <c r="H1044" i="18" a="1"/>
  <c r="K1043" i="18" a="1"/>
  <c r="J1043" i="18" a="1"/>
  <c r="I1043" i="18" a="1"/>
  <c r="H1043" i="18" a="1"/>
  <c r="K1042" i="18" a="1"/>
  <c r="J1042" i="18" a="1"/>
  <c r="I1042" i="18" a="1"/>
  <c r="H1042" i="18" a="1"/>
  <c r="K1041" i="18" a="1"/>
  <c r="J1041" i="18" a="1"/>
  <c r="I1041" i="18" a="1"/>
  <c r="H1041" i="18" a="1"/>
  <c r="K1040" i="18" a="1"/>
  <c r="J1040" i="18" a="1"/>
  <c r="I1040" i="18" a="1"/>
  <c r="H1040" i="18" a="1"/>
  <c r="K1039" i="18" a="1"/>
  <c r="J1039" i="18" a="1"/>
  <c r="I1039" i="18" a="1"/>
  <c r="H1039" i="18" a="1"/>
  <c r="K1038" i="18" a="1"/>
  <c r="J1038" i="18" a="1"/>
  <c r="I1038" i="18" a="1"/>
  <c r="H1038" i="18" a="1"/>
  <c r="K1037" i="18" a="1"/>
  <c r="J1037" i="18" a="1"/>
  <c r="I1037" i="18" a="1"/>
  <c r="H1037" i="18" a="1"/>
  <c r="K1036" i="18" a="1"/>
  <c r="J1036" i="18" a="1"/>
  <c r="I1036" i="18" a="1"/>
  <c r="H1036" i="18" a="1"/>
  <c r="K1035" i="18" a="1"/>
  <c r="J1035" i="18" a="1"/>
  <c r="I1035" i="18" a="1"/>
  <c r="H1035" i="18" a="1"/>
  <c r="K1034" i="18" a="1"/>
  <c r="J1034" i="18" a="1"/>
  <c r="I1034" i="18" a="1"/>
  <c r="H1034" i="18" a="1"/>
  <c r="K1033" i="18" a="1"/>
  <c r="J1033" i="18" a="1"/>
  <c r="I1033" i="18" a="1"/>
  <c r="H1033" i="18" a="1"/>
  <c r="K1032" i="18" a="1"/>
  <c r="J1032" i="18" a="1"/>
  <c r="I1032" i="18" a="1"/>
  <c r="H1032" i="18" a="1"/>
  <c r="K1031" i="18" a="1"/>
  <c r="J1031" i="18" a="1"/>
  <c r="I1031" i="18" a="1"/>
  <c r="H1031" i="18" a="1"/>
  <c r="K1030" i="18" a="1"/>
  <c r="J1030" i="18" a="1"/>
  <c r="I1030" i="18" a="1"/>
  <c r="H1030" i="18" a="1"/>
  <c r="K1029" i="18" a="1"/>
  <c r="J1029" i="18" a="1"/>
  <c r="I1029" i="18" a="1"/>
  <c r="H1029" i="18" a="1"/>
  <c r="K1028" i="18" a="1"/>
  <c r="J1028" i="18" a="1"/>
  <c r="I1028" i="18" a="1"/>
  <c r="H1028" i="18" a="1"/>
  <c r="K1027" i="18" a="1"/>
  <c r="J1027" i="18" a="1"/>
  <c r="I1027" i="18" a="1"/>
  <c r="H1027" i="18" a="1"/>
  <c r="K1026" i="18" a="1"/>
  <c r="J1026" i="18" a="1"/>
  <c r="I1026" i="18" a="1"/>
  <c r="H1026" i="18" a="1"/>
  <c r="K1025" i="18" a="1"/>
  <c r="J1025" i="18" a="1"/>
  <c r="I1025" i="18" a="1"/>
  <c r="H1025" i="18" a="1"/>
  <c r="K1024" i="18" a="1"/>
  <c r="J1024" i="18" a="1"/>
  <c r="I1024" i="18" a="1"/>
  <c r="H1024" i="18" a="1"/>
  <c r="K1023" i="18" a="1"/>
  <c r="J1023" i="18" a="1"/>
  <c r="I1023" i="18" a="1"/>
  <c r="H1023" i="18" a="1"/>
  <c r="K1022" i="18" a="1"/>
  <c r="J1022" i="18" a="1"/>
  <c r="I1022" i="18" a="1"/>
  <c r="H1022" i="18" a="1"/>
  <c r="K1021" i="18" a="1"/>
  <c r="J1021" i="18" a="1"/>
  <c r="I1021" i="18" a="1"/>
  <c r="H1021" i="18" a="1"/>
  <c r="K1020" i="18" a="1"/>
  <c r="J1020" i="18" a="1"/>
  <c r="I1020" i="18" a="1"/>
  <c r="H1020" i="18" a="1"/>
  <c r="K1019" i="18" a="1"/>
  <c r="J1019" i="18" a="1"/>
  <c r="I1019" i="18" a="1"/>
  <c r="H1019" i="18" a="1"/>
  <c r="K1018" i="18" a="1"/>
  <c r="J1018" i="18" a="1"/>
  <c r="I1018" i="18" a="1"/>
  <c r="H1018" i="18" a="1"/>
  <c r="K1017" i="18" a="1"/>
  <c r="J1017" i="18" a="1"/>
  <c r="I1017" i="18" a="1"/>
  <c r="H1017" i="18" a="1"/>
  <c r="K1016" i="18" a="1"/>
  <c r="J1016" i="18" a="1"/>
  <c r="I1016" i="18" a="1"/>
  <c r="H1016" i="18" a="1"/>
  <c r="K1015" i="18" a="1"/>
  <c r="J1015" i="18" a="1"/>
  <c r="I1015" i="18" a="1"/>
  <c r="H1015" i="18" a="1"/>
  <c r="K1014" i="18" a="1"/>
  <c r="J1014" i="18" a="1"/>
  <c r="I1014" i="18" a="1"/>
  <c r="H1014" i="18" a="1"/>
  <c r="K1013" i="18" a="1"/>
  <c r="J1013" i="18" a="1"/>
  <c r="I1013" i="18" a="1"/>
  <c r="H1013" i="18" a="1"/>
  <c r="K1012" i="18" a="1"/>
  <c r="J1012" i="18" a="1"/>
  <c r="I1012" i="18" a="1"/>
  <c r="H1012" i="18" a="1"/>
  <c r="K1011" i="18" a="1"/>
  <c r="J1011" i="18" a="1"/>
  <c r="I1011" i="18" a="1"/>
  <c r="H1011" i="18" a="1"/>
  <c r="K1010" i="18" a="1"/>
  <c r="J1010" i="18" a="1"/>
  <c r="I1010" i="18" a="1"/>
  <c r="H1010" i="18" a="1"/>
  <c r="K1009" i="18" a="1"/>
  <c r="J1009" i="18" a="1"/>
  <c r="I1009" i="18" a="1"/>
  <c r="H1009" i="18" a="1"/>
  <c r="K1008" i="18" a="1"/>
  <c r="J1008" i="18" a="1"/>
  <c r="I1008" i="18" a="1"/>
  <c r="H1008" i="18" a="1"/>
  <c r="K1007" i="18" a="1"/>
  <c r="J1007" i="18" a="1"/>
  <c r="I1007" i="18" a="1"/>
  <c r="H1007" i="18" a="1"/>
  <c r="K1006" i="18" a="1"/>
  <c r="J1006" i="18" a="1"/>
  <c r="I1006" i="18" a="1"/>
  <c r="H1006" i="18" a="1"/>
  <c r="K1005" i="18" a="1"/>
  <c r="J1005" i="18" a="1"/>
  <c r="I1005" i="18" a="1"/>
  <c r="H1005" i="18" a="1"/>
  <c r="K1004" i="18" a="1"/>
  <c r="J1004" i="18" a="1"/>
  <c r="I1004" i="18" a="1"/>
  <c r="H1004" i="18" a="1"/>
  <c r="K1003" i="18" a="1"/>
  <c r="J1003" i="18" a="1"/>
  <c r="I1003" i="18" a="1"/>
  <c r="H1003" i="18" a="1"/>
  <c r="K1002" i="18" a="1"/>
  <c r="J1002" i="18" a="1"/>
  <c r="I1002" i="18" a="1"/>
  <c r="H1002" i="18" a="1"/>
  <c r="K1001" i="18" a="1"/>
  <c r="J1001" i="18" a="1"/>
  <c r="I1001" i="18" a="1"/>
  <c r="H1001" i="18" a="1"/>
  <c r="K1000" i="18" a="1"/>
  <c r="J1000" i="18" a="1"/>
  <c r="I1000" i="18" a="1"/>
  <c r="H1000" i="18" a="1"/>
  <c r="K999" i="18" a="1"/>
  <c r="J999" i="18" a="1"/>
  <c r="I999" i="18" a="1"/>
  <c r="H999" i="18" a="1"/>
  <c r="K998" i="18" a="1"/>
  <c r="J998" i="18" a="1"/>
  <c r="I998" i="18" a="1"/>
  <c r="H998" i="18" a="1"/>
  <c r="K997" i="18" a="1"/>
  <c r="J997" i="18" a="1"/>
  <c r="I997" i="18" a="1"/>
  <c r="H997" i="18" a="1"/>
  <c r="K996" i="18" a="1"/>
  <c r="J996" i="18" a="1"/>
  <c r="I996" i="18" a="1"/>
  <c r="H996" i="18" a="1"/>
  <c r="K995" i="18" a="1"/>
  <c r="J995" i="18" a="1"/>
  <c r="I995" i="18" a="1"/>
  <c r="H995" i="18" a="1"/>
  <c r="K994" i="18" a="1"/>
  <c r="J994" i="18" a="1"/>
  <c r="I994" i="18" a="1"/>
  <c r="H994" i="18" a="1"/>
  <c r="K993" i="18" a="1"/>
  <c r="J993" i="18" a="1"/>
  <c r="I993" i="18" a="1"/>
  <c r="H993" i="18" a="1"/>
  <c r="K992" i="18" a="1"/>
  <c r="J992" i="18" a="1"/>
  <c r="I992" i="18" a="1"/>
  <c r="H992" i="18" a="1"/>
  <c r="K991" i="18" a="1"/>
  <c r="J991" i="18" a="1"/>
  <c r="I991" i="18" a="1"/>
  <c r="H991" i="18" a="1"/>
  <c r="K990" i="18" a="1"/>
  <c r="J990" i="18" a="1"/>
  <c r="I990" i="18" a="1"/>
  <c r="H990" i="18" a="1"/>
  <c r="K989" i="18" a="1"/>
  <c r="J989" i="18" a="1"/>
  <c r="I989" i="18" a="1"/>
  <c r="H989" i="18" a="1"/>
  <c r="K988" i="18" a="1"/>
  <c r="J988" i="18" a="1"/>
  <c r="I988" i="18" a="1"/>
  <c r="H988" i="18" a="1"/>
  <c r="K987" i="18" a="1"/>
  <c r="J987" i="18" a="1"/>
  <c r="I987" i="18" a="1"/>
  <c r="H987" i="18" a="1"/>
  <c r="K986" i="18" a="1"/>
  <c r="J986" i="18" a="1"/>
  <c r="I986" i="18" a="1"/>
  <c r="H986" i="18" a="1"/>
  <c r="K985" i="18" a="1"/>
  <c r="J985" i="18" a="1"/>
  <c r="I985" i="18" a="1"/>
  <c r="H985" i="18" a="1"/>
  <c r="K984" i="18" a="1"/>
  <c r="J984" i="18" a="1"/>
  <c r="I984" i="18" a="1"/>
  <c r="H984" i="18" a="1"/>
  <c r="K983" i="18" a="1"/>
  <c r="J983" i="18" a="1"/>
  <c r="I983" i="18" a="1"/>
  <c r="H983" i="18" a="1"/>
  <c r="K982" i="18" a="1"/>
  <c r="J982" i="18" a="1"/>
  <c r="I982" i="18" a="1"/>
  <c r="H982" i="18" a="1"/>
  <c r="K981" i="18" a="1"/>
  <c r="J981" i="18" a="1"/>
  <c r="I981" i="18" a="1"/>
  <c r="H981" i="18" a="1"/>
  <c r="K980" i="18" a="1"/>
  <c r="J980" i="18" a="1"/>
  <c r="I980" i="18" a="1"/>
  <c r="H980" i="18" a="1"/>
  <c r="K979" i="18" a="1"/>
  <c r="J979" i="18" a="1"/>
  <c r="I979" i="18" a="1"/>
  <c r="H979" i="18" a="1"/>
  <c r="K978" i="18" a="1"/>
  <c r="J978" i="18" a="1"/>
  <c r="I978" i="18" a="1"/>
  <c r="H978" i="18" a="1"/>
  <c r="K977" i="18" a="1"/>
  <c r="J977" i="18" a="1"/>
  <c r="I977" i="18" a="1"/>
  <c r="H977" i="18" a="1"/>
  <c r="K976" i="18" a="1"/>
  <c r="J976" i="18" a="1"/>
  <c r="I976" i="18" a="1"/>
  <c r="H976" i="18" a="1"/>
  <c r="K975" i="18" a="1"/>
  <c r="J975" i="18" a="1"/>
  <c r="I975" i="18" a="1"/>
  <c r="H975" i="18" a="1"/>
  <c r="K974" i="18" a="1"/>
  <c r="J974" i="18" a="1"/>
  <c r="I974" i="18" a="1"/>
  <c r="H974" i="18" a="1"/>
  <c r="K973" i="18" a="1"/>
  <c r="J973" i="18" a="1"/>
  <c r="I973" i="18" a="1"/>
  <c r="H973" i="18" a="1"/>
  <c r="K972" i="18" a="1"/>
  <c r="J972" i="18" a="1"/>
  <c r="I972" i="18" a="1"/>
  <c r="H972" i="18" a="1"/>
  <c r="K971" i="18" a="1"/>
  <c r="J971" i="18" a="1"/>
  <c r="I971" i="18" a="1"/>
  <c r="H971" i="18" a="1"/>
  <c r="K970" i="18" a="1"/>
  <c r="J970" i="18" a="1"/>
  <c r="I970" i="18" a="1"/>
  <c r="H970" i="18" a="1"/>
  <c r="K969" i="18" a="1"/>
  <c r="J969" i="18" a="1"/>
  <c r="I969" i="18" a="1"/>
  <c r="H969" i="18" a="1"/>
  <c r="K968" i="18" a="1"/>
  <c r="J968" i="18" a="1"/>
  <c r="I968" i="18" a="1"/>
  <c r="H968" i="18" a="1"/>
  <c r="K967" i="18" a="1"/>
  <c r="J967" i="18" a="1"/>
  <c r="I967" i="18" a="1"/>
  <c r="H967" i="18" a="1"/>
  <c r="K966" i="18" a="1"/>
  <c r="J966" i="18" a="1"/>
  <c r="I966" i="18" a="1"/>
  <c r="H966" i="18" a="1"/>
  <c r="K965" i="18" a="1"/>
  <c r="J965" i="18" a="1"/>
  <c r="I965" i="18" a="1"/>
  <c r="H965" i="18" a="1"/>
  <c r="K964" i="18" a="1"/>
  <c r="J964" i="18" a="1"/>
  <c r="I964" i="18" a="1"/>
  <c r="H964" i="18" a="1"/>
  <c r="K963" i="18" a="1"/>
  <c r="J963" i="18" a="1"/>
  <c r="I963" i="18" a="1"/>
  <c r="H963" i="18" a="1"/>
  <c r="K962" i="18" a="1"/>
  <c r="J962" i="18" a="1"/>
  <c r="I962" i="18" a="1"/>
  <c r="H962" i="18" a="1"/>
  <c r="K961" i="18" a="1"/>
  <c r="J961" i="18" a="1"/>
  <c r="I961" i="18" a="1"/>
  <c r="H961" i="18" a="1"/>
  <c r="K960" i="18" a="1"/>
  <c r="J960" i="18" a="1"/>
  <c r="I960" i="18" a="1"/>
  <c r="H960" i="18" a="1"/>
  <c r="K959" i="18" a="1"/>
  <c r="J959" i="18" a="1"/>
  <c r="I959" i="18" a="1"/>
  <c r="H959" i="18" a="1"/>
  <c r="K958" i="18" a="1"/>
  <c r="J958" i="18" a="1"/>
  <c r="I958" i="18" a="1"/>
  <c r="H958" i="18" a="1"/>
  <c r="K957" i="18" a="1"/>
  <c r="J957" i="18" a="1"/>
  <c r="I957" i="18" a="1"/>
  <c r="H957" i="18" a="1"/>
  <c r="K956" i="18" a="1"/>
  <c r="J956" i="18" a="1"/>
  <c r="I956" i="18" a="1"/>
  <c r="H956" i="18" a="1"/>
  <c r="K955" i="18" a="1"/>
  <c r="J955" i="18" a="1"/>
  <c r="I955" i="18" a="1"/>
  <c r="H955" i="18" a="1"/>
  <c r="K954" i="18" a="1"/>
  <c r="J954" i="18" a="1"/>
  <c r="I954" i="18" a="1"/>
  <c r="H954" i="18" a="1"/>
  <c r="K953" i="18" a="1"/>
  <c r="J953" i="18" a="1"/>
  <c r="I953" i="18" a="1"/>
  <c r="H953" i="18" a="1"/>
  <c r="K952" i="18" a="1"/>
  <c r="J952" i="18" a="1"/>
  <c r="I952" i="18" a="1"/>
  <c r="H952" i="18" a="1"/>
  <c r="K951" i="18" a="1"/>
  <c r="J951" i="18" a="1"/>
  <c r="I951" i="18" a="1"/>
  <c r="H951" i="18" a="1"/>
  <c r="K950" i="18" a="1"/>
  <c r="J950" i="18" a="1"/>
  <c r="I950" i="18" a="1"/>
  <c r="H950" i="18" a="1"/>
  <c r="K949" i="18" a="1"/>
  <c r="J949" i="18" a="1"/>
  <c r="I949" i="18" a="1"/>
  <c r="H949" i="18" a="1"/>
  <c r="K948" i="18" a="1"/>
  <c r="J948" i="18" a="1"/>
  <c r="I948" i="18" a="1"/>
  <c r="H948" i="18" a="1"/>
  <c r="K947" i="18" a="1"/>
  <c r="J947" i="18" a="1"/>
  <c r="I947" i="18" a="1"/>
  <c r="H947" i="18" a="1"/>
  <c r="K946" i="18" a="1"/>
  <c r="J946" i="18" a="1"/>
  <c r="I946" i="18" a="1"/>
  <c r="H946" i="18" a="1"/>
  <c r="K945" i="18" a="1"/>
  <c r="J945" i="18" a="1"/>
  <c r="I945" i="18" a="1"/>
  <c r="H945" i="18" a="1"/>
  <c r="K944" i="18" a="1"/>
  <c r="J944" i="18" a="1"/>
  <c r="I944" i="18" a="1"/>
  <c r="H944" i="18" a="1"/>
  <c r="K943" i="18" a="1"/>
  <c r="J943" i="18" a="1"/>
  <c r="I943" i="18" a="1"/>
  <c r="H943" i="18" a="1"/>
  <c r="K942" i="18" a="1"/>
  <c r="J942" i="18" a="1"/>
  <c r="I942" i="18" a="1"/>
  <c r="H942" i="18" a="1"/>
  <c r="K941" i="18" a="1"/>
  <c r="J941" i="18" a="1"/>
  <c r="I941" i="18" a="1"/>
  <c r="H941" i="18" a="1"/>
  <c r="K940" i="18" a="1"/>
  <c r="J940" i="18" a="1"/>
  <c r="I940" i="18" a="1"/>
  <c r="H940" i="18" a="1"/>
  <c r="K939" i="18" a="1"/>
  <c r="J939" i="18" a="1"/>
  <c r="I939" i="18" a="1"/>
  <c r="H939" i="18" a="1"/>
  <c r="K938" i="18" a="1"/>
  <c r="J938" i="18" a="1"/>
  <c r="I938" i="18" a="1"/>
  <c r="H938" i="18" a="1"/>
  <c r="K937" i="18" a="1"/>
  <c r="J937" i="18" a="1"/>
  <c r="I937" i="18" a="1"/>
  <c r="H937" i="18" a="1"/>
  <c r="K936" i="18" a="1"/>
  <c r="J936" i="18" a="1"/>
  <c r="I936" i="18" a="1"/>
  <c r="H936" i="18" a="1"/>
  <c r="K935" i="18" a="1"/>
  <c r="J935" i="18" a="1"/>
  <c r="I935" i="18" a="1"/>
  <c r="H935" i="18" a="1"/>
  <c r="K934" i="18" a="1"/>
  <c r="J934" i="18" a="1"/>
  <c r="I934" i="18" a="1"/>
  <c r="H934" i="18" a="1"/>
  <c r="K933" i="18" a="1"/>
  <c r="J933" i="18" a="1"/>
  <c r="I933" i="18" a="1"/>
  <c r="H933" i="18" a="1"/>
  <c r="K932" i="18" a="1"/>
  <c r="J932" i="18" a="1"/>
  <c r="I932" i="18" a="1"/>
  <c r="H932" i="18" a="1"/>
  <c r="K931" i="18" a="1"/>
  <c r="J931" i="18" a="1"/>
  <c r="I931" i="18" a="1"/>
  <c r="H931" i="18" a="1"/>
  <c r="K930" i="18" a="1"/>
  <c r="J930" i="18" a="1"/>
  <c r="I930" i="18" a="1"/>
  <c r="H930" i="18" a="1"/>
  <c r="K929" i="18" a="1"/>
  <c r="J929" i="18" a="1"/>
  <c r="I929" i="18" a="1"/>
  <c r="H929" i="18" a="1"/>
  <c r="K928" i="18" a="1"/>
  <c r="J928" i="18" a="1"/>
  <c r="I928" i="18" a="1"/>
  <c r="H928" i="18" a="1"/>
  <c r="K927" i="18" a="1"/>
  <c r="J927" i="18" a="1"/>
  <c r="I927" i="18" a="1"/>
  <c r="H927" i="18" a="1"/>
  <c r="K926" i="18" a="1"/>
  <c r="J926" i="18" a="1"/>
  <c r="I926" i="18" a="1"/>
  <c r="H926" i="18" a="1"/>
  <c r="K925" i="18" a="1"/>
  <c r="J925" i="18" a="1"/>
  <c r="I925" i="18" a="1"/>
  <c r="H925" i="18" a="1"/>
  <c r="K924" i="18" a="1"/>
  <c r="J924" i="18" a="1"/>
  <c r="I924" i="18" a="1"/>
  <c r="H924" i="18" a="1"/>
  <c r="K923" i="18" a="1"/>
  <c r="J923" i="18" a="1"/>
  <c r="I923" i="18" a="1"/>
  <c r="H923" i="18" a="1"/>
  <c r="K922" i="18" a="1"/>
  <c r="J922" i="18" a="1"/>
  <c r="I922" i="18" a="1"/>
  <c r="H922" i="18" a="1"/>
  <c r="K921" i="18" a="1"/>
  <c r="J921" i="18" a="1"/>
  <c r="I921" i="18" a="1"/>
  <c r="H921" i="18" a="1"/>
  <c r="K920" i="18" a="1"/>
  <c r="J920" i="18" a="1"/>
  <c r="I920" i="18" a="1"/>
  <c r="H920" i="18" a="1"/>
  <c r="K919" i="18" a="1"/>
  <c r="J919" i="18" a="1"/>
  <c r="I919" i="18" a="1"/>
  <c r="H919" i="18" a="1"/>
  <c r="K918" i="18" a="1"/>
  <c r="J918" i="18" a="1"/>
  <c r="I918" i="18" a="1"/>
  <c r="H918" i="18" a="1"/>
  <c r="K917" i="18" a="1"/>
  <c r="J917" i="18" a="1"/>
  <c r="I917" i="18" a="1"/>
  <c r="H917" i="18" a="1"/>
  <c r="K916" i="18" a="1"/>
  <c r="J916" i="18" a="1"/>
  <c r="I916" i="18" a="1"/>
  <c r="H916" i="18" a="1"/>
  <c r="K915" i="18" a="1"/>
  <c r="J915" i="18" a="1"/>
  <c r="I915" i="18" a="1"/>
  <c r="H915" i="18" a="1"/>
  <c r="K914" i="18" a="1"/>
  <c r="J914" i="18" a="1"/>
  <c r="I914" i="18" a="1"/>
  <c r="H914" i="18" a="1"/>
  <c r="K913" i="18" a="1"/>
  <c r="J913" i="18" a="1"/>
  <c r="I913" i="18" a="1"/>
  <c r="H913" i="18" a="1"/>
  <c r="K912" i="18" a="1"/>
  <c r="J912" i="18" a="1"/>
  <c r="I912" i="18" a="1"/>
  <c r="H912" i="18" a="1"/>
  <c r="K911" i="18" a="1"/>
  <c r="J911" i="18" a="1"/>
  <c r="I911" i="18" a="1"/>
  <c r="H911" i="18" a="1"/>
  <c r="K910" i="18" a="1"/>
  <c r="J910" i="18" a="1"/>
  <c r="I910" i="18" a="1"/>
  <c r="H910" i="18" a="1"/>
  <c r="K909" i="18" a="1"/>
  <c r="J909" i="18" a="1"/>
  <c r="I909" i="18" a="1"/>
  <c r="H909" i="18" a="1"/>
  <c r="K908" i="18" a="1"/>
  <c r="J908" i="18" a="1"/>
  <c r="I908" i="18" a="1"/>
  <c r="H908" i="18" a="1"/>
  <c r="K907" i="18" a="1"/>
  <c r="J907" i="18" a="1"/>
  <c r="I907" i="18" a="1"/>
  <c r="H907" i="18" a="1"/>
  <c r="K906" i="18" a="1"/>
  <c r="J906" i="18" a="1"/>
  <c r="I906" i="18" a="1"/>
  <c r="H906" i="18" a="1"/>
  <c r="K905" i="18" a="1"/>
  <c r="J905" i="18" a="1"/>
  <c r="I905" i="18" a="1"/>
  <c r="H905" i="18" a="1"/>
  <c r="K904" i="18" a="1"/>
  <c r="J904" i="18" a="1"/>
  <c r="I904" i="18" a="1"/>
  <c r="H904" i="18" a="1"/>
  <c r="K903" i="18" a="1"/>
  <c r="J903" i="18" a="1"/>
  <c r="I903" i="18" a="1"/>
  <c r="H903" i="18" a="1"/>
  <c r="K902" i="18" a="1"/>
  <c r="J902" i="18" a="1"/>
  <c r="I902" i="18" a="1"/>
  <c r="H902" i="18" a="1"/>
  <c r="K901" i="18" a="1"/>
  <c r="J901" i="18" a="1"/>
  <c r="I901" i="18" a="1"/>
  <c r="H901" i="18" a="1"/>
  <c r="K900" i="18" a="1"/>
  <c r="J900" i="18" a="1"/>
  <c r="I900" i="18" a="1"/>
  <c r="H900" i="18" a="1"/>
  <c r="K899" i="18" a="1"/>
  <c r="J899" i="18" a="1"/>
  <c r="I899" i="18" a="1"/>
  <c r="H899" i="18" a="1"/>
  <c r="K898" i="18" a="1"/>
  <c r="J898" i="18" a="1"/>
  <c r="I898" i="18" a="1"/>
  <c r="H898" i="18" a="1"/>
  <c r="K897" i="18" a="1"/>
  <c r="J897" i="18" a="1"/>
  <c r="I897" i="18" a="1"/>
  <c r="H897" i="18" a="1"/>
  <c r="K896" i="18" a="1"/>
  <c r="J896" i="18" a="1"/>
  <c r="I896" i="18" a="1"/>
  <c r="H896" i="18" a="1"/>
  <c r="K895" i="18" a="1"/>
  <c r="J895" i="18" a="1"/>
  <c r="I895" i="18" a="1"/>
  <c r="H895" i="18" a="1"/>
  <c r="K894" i="18" a="1"/>
  <c r="J894" i="18" a="1"/>
  <c r="I894" i="18" a="1"/>
  <c r="H894" i="18" a="1"/>
  <c r="K893" i="18" a="1"/>
  <c r="J893" i="18" a="1"/>
  <c r="I893" i="18" a="1"/>
  <c r="H893" i="18" a="1"/>
  <c r="K892" i="18" a="1"/>
  <c r="J892" i="18" a="1"/>
  <c r="I892" i="18" a="1"/>
  <c r="H892" i="18" a="1"/>
  <c r="K891" i="18" a="1"/>
  <c r="J891" i="18" a="1"/>
  <c r="I891" i="18" a="1"/>
  <c r="H891" i="18" a="1"/>
  <c r="K890" i="18" a="1"/>
  <c r="J890" i="18" a="1"/>
  <c r="I890" i="18" a="1"/>
  <c r="H890" i="18" a="1"/>
  <c r="K889" i="18" a="1"/>
  <c r="J889" i="18" a="1"/>
  <c r="I889" i="18" a="1"/>
  <c r="H889" i="18" a="1"/>
  <c r="K888" i="18" a="1"/>
  <c r="J888" i="18" a="1"/>
  <c r="I888" i="18" a="1"/>
  <c r="H888" i="18" a="1"/>
  <c r="K887" i="18" a="1"/>
  <c r="J887" i="18" a="1"/>
  <c r="I887" i="18" a="1"/>
  <c r="H887" i="18" a="1"/>
  <c r="K886" i="18" a="1"/>
  <c r="J886" i="18" a="1"/>
  <c r="I886" i="18" a="1"/>
  <c r="H886" i="18" a="1"/>
  <c r="K885" i="18" a="1"/>
  <c r="J885" i="18" a="1"/>
  <c r="I885" i="18" a="1"/>
  <c r="H885" i="18" a="1"/>
  <c r="K884" i="18" a="1"/>
  <c r="J884" i="18" a="1"/>
  <c r="I884" i="18" a="1"/>
  <c r="H884" i="18" a="1"/>
  <c r="K883" i="18" a="1"/>
  <c r="J883" i="18" a="1"/>
  <c r="I883" i="18" a="1"/>
  <c r="H883" i="18" a="1"/>
  <c r="K882" i="18" a="1"/>
  <c r="J882" i="18" a="1"/>
  <c r="I882" i="18" a="1"/>
  <c r="H882" i="18" a="1"/>
  <c r="K881" i="18" a="1"/>
  <c r="J881" i="18" a="1"/>
  <c r="I881" i="18" a="1"/>
  <c r="H881" i="18" a="1"/>
  <c r="K880" i="18" a="1"/>
  <c r="J880" i="18" a="1"/>
  <c r="I880" i="18" a="1"/>
  <c r="H880" i="18" a="1"/>
  <c r="K879" i="18" a="1"/>
  <c r="J879" i="18" a="1"/>
  <c r="I879" i="18" a="1"/>
  <c r="H879" i="18" a="1"/>
  <c r="K878" i="18" a="1"/>
  <c r="J878" i="18" a="1"/>
  <c r="I878" i="18" a="1"/>
  <c r="H878" i="18" a="1"/>
  <c r="K877" i="18" a="1"/>
  <c r="J877" i="18" a="1"/>
  <c r="I877" i="18" a="1"/>
  <c r="H877" i="18" a="1"/>
  <c r="K876" i="18" a="1"/>
  <c r="J876" i="18" a="1"/>
  <c r="I876" i="18" a="1"/>
  <c r="H876" i="18" a="1"/>
  <c r="K875" i="18" a="1"/>
  <c r="J875" i="18" a="1"/>
  <c r="I875" i="18" a="1"/>
  <c r="H875" i="18" a="1"/>
  <c r="K874" i="18" a="1"/>
  <c r="J874" i="18" a="1"/>
  <c r="I874" i="18" a="1"/>
  <c r="H874" i="18" a="1"/>
  <c r="K873" i="18" a="1"/>
  <c r="J873" i="18" a="1"/>
  <c r="I873" i="18" a="1"/>
  <c r="H873" i="18" a="1"/>
  <c r="K872" i="18" a="1"/>
  <c r="J872" i="18" a="1"/>
  <c r="I872" i="18" a="1"/>
  <c r="H872" i="18" a="1"/>
  <c r="K871" i="18" a="1"/>
  <c r="J871" i="18" a="1"/>
  <c r="I871" i="18" a="1"/>
  <c r="H871" i="18" a="1"/>
  <c r="K870" i="18" a="1"/>
  <c r="J870" i="18" a="1"/>
  <c r="I870" i="18" a="1"/>
  <c r="H870" i="18" a="1"/>
  <c r="K869" i="18" a="1"/>
  <c r="J869" i="18" a="1"/>
  <c r="I869" i="18" a="1"/>
  <c r="H869" i="18" a="1"/>
  <c r="K868" i="18" a="1"/>
  <c r="J868" i="18" a="1"/>
  <c r="I868" i="18" a="1"/>
  <c r="H868" i="18" a="1"/>
  <c r="K867" i="18" a="1"/>
  <c r="J867" i="18" a="1"/>
  <c r="I867" i="18" a="1"/>
  <c r="H867" i="18" a="1"/>
  <c r="K866" i="18" a="1"/>
  <c r="J866" i="18" a="1"/>
  <c r="I866" i="18" a="1"/>
  <c r="H866" i="18" a="1"/>
  <c r="K865" i="18" a="1"/>
  <c r="J865" i="18" a="1"/>
  <c r="I865" i="18" a="1"/>
  <c r="H865" i="18" a="1"/>
  <c r="K864" i="18" a="1"/>
  <c r="J864" i="18" a="1"/>
  <c r="I864" i="18" a="1"/>
  <c r="H864" i="18" a="1"/>
  <c r="K863" i="18" a="1"/>
  <c r="J863" i="18" a="1"/>
  <c r="I863" i="18" a="1"/>
  <c r="H863" i="18" a="1"/>
  <c r="K862" i="18" a="1"/>
  <c r="J862" i="18" a="1"/>
  <c r="I862" i="18" a="1"/>
  <c r="H862" i="18" a="1"/>
  <c r="K861" i="18" a="1"/>
  <c r="J861" i="18" a="1"/>
  <c r="I861" i="18" a="1"/>
  <c r="H861" i="18" a="1"/>
  <c r="K860" i="18" a="1"/>
  <c r="J860" i="18" a="1"/>
  <c r="I860" i="18" a="1"/>
  <c r="H860" i="18" a="1"/>
  <c r="K859" i="18" a="1"/>
  <c r="J859" i="18" a="1"/>
  <c r="I859" i="18" a="1"/>
  <c r="H859" i="18" a="1"/>
  <c r="K858" i="18" a="1"/>
  <c r="J858" i="18" a="1"/>
  <c r="I858" i="18" a="1"/>
  <c r="H858" i="18" a="1"/>
  <c r="K857" i="18" a="1"/>
  <c r="J857" i="18" a="1"/>
  <c r="I857" i="18" a="1"/>
  <c r="H857" i="18" a="1"/>
  <c r="K856" i="18" a="1"/>
  <c r="J856" i="18" a="1"/>
  <c r="I856" i="18" a="1"/>
  <c r="H856" i="18" a="1"/>
  <c r="K855" i="18" a="1"/>
  <c r="J855" i="18" a="1"/>
  <c r="I855" i="18" a="1"/>
  <c r="H855" i="18" a="1"/>
  <c r="K854" i="18" a="1"/>
  <c r="J854" i="18" a="1"/>
  <c r="I854" i="18" a="1"/>
  <c r="H854" i="18" a="1"/>
  <c r="K853" i="18" a="1"/>
  <c r="J853" i="18" a="1"/>
  <c r="I853" i="18" a="1"/>
  <c r="H853" i="18" a="1"/>
  <c r="K852" i="18" a="1"/>
  <c r="J852" i="18" a="1"/>
  <c r="I852" i="18" a="1"/>
  <c r="H852" i="18" a="1"/>
  <c r="K851" i="18" a="1"/>
  <c r="J851" i="18" a="1"/>
  <c r="I851" i="18" a="1"/>
  <c r="H851" i="18" a="1"/>
  <c r="K850" i="18" a="1"/>
  <c r="J850" i="18" a="1"/>
  <c r="I850" i="18" a="1"/>
  <c r="H850" i="18" a="1"/>
  <c r="K849" i="18" a="1"/>
  <c r="J849" i="18" a="1"/>
  <c r="I849" i="18" a="1"/>
  <c r="H849" i="18" a="1"/>
  <c r="K848" i="18" a="1"/>
  <c r="J848" i="18" a="1"/>
  <c r="I848" i="18" a="1"/>
  <c r="H848" i="18" a="1"/>
  <c r="K847" i="18" a="1"/>
  <c r="J847" i="18" a="1"/>
  <c r="I847" i="18" a="1"/>
  <c r="H847" i="18" a="1"/>
  <c r="K846" i="18" a="1"/>
  <c r="J846" i="18" a="1"/>
  <c r="I846" i="18" a="1"/>
  <c r="H846" i="18" a="1"/>
  <c r="K845" i="18" a="1"/>
  <c r="J845" i="18" a="1"/>
  <c r="I845" i="18" a="1"/>
  <c r="H845" i="18" a="1"/>
  <c r="K844" i="18" a="1"/>
  <c r="J844" i="18" a="1"/>
  <c r="I844" i="18" a="1"/>
  <c r="H844" i="18" a="1"/>
  <c r="K843" i="18" a="1"/>
  <c r="J843" i="18" a="1"/>
  <c r="I843" i="18" a="1"/>
  <c r="H843" i="18" a="1"/>
  <c r="K842" i="18" a="1"/>
  <c r="J842" i="18" a="1"/>
  <c r="I842" i="18" a="1"/>
  <c r="H842" i="18" a="1"/>
  <c r="K841" i="18" a="1"/>
  <c r="J841" i="18" a="1"/>
  <c r="I841" i="18" a="1"/>
  <c r="H841" i="18" a="1"/>
  <c r="K840" i="18" a="1"/>
  <c r="J840" i="18" a="1"/>
  <c r="I840" i="18" a="1"/>
  <c r="H840" i="18" a="1"/>
  <c r="K839" i="18" a="1"/>
  <c r="J839" i="18" a="1"/>
  <c r="I839" i="18" a="1"/>
  <c r="H839" i="18" a="1"/>
  <c r="K838" i="18" a="1"/>
  <c r="J838" i="18" a="1"/>
  <c r="I838" i="18" a="1"/>
  <c r="H838" i="18" a="1"/>
  <c r="K837" i="18" a="1"/>
  <c r="J837" i="18" a="1"/>
  <c r="I837" i="18" a="1"/>
  <c r="H837" i="18" a="1"/>
  <c r="K836" i="18" a="1"/>
  <c r="J836" i="18" a="1"/>
  <c r="I836" i="18" a="1"/>
  <c r="H836" i="18" a="1"/>
  <c r="K835" i="18" a="1"/>
  <c r="J835" i="18" a="1"/>
  <c r="I835" i="18" a="1"/>
  <c r="H835" i="18" a="1"/>
  <c r="K834" i="18" a="1"/>
  <c r="J834" i="18" a="1"/>
  <c r="I834" i="18" a="1"/>
  <c r="H834" i="18" a="1"/>
  <c r="K833" i="18" a="1"/>
  <c r="J833" i="18" a="1"/>
  <c r="I833" i="18" a="1"/>
  <c r="H833" i="18" a="1"/>
  <c r="K832" i="18" a="1"/>
  <c r="J832" i="18" a="1"/>
  <c r="I832" i="18" a="1"/>
  <c r="H832" i="18" a="1"/>
  <c r="K831" i="18" a="1"/>
  <c r="J831" i="18" a="1"/>
  <c r="I831" i="18" a="1"/>
  <c r="H831" i="18" a="1"/>
  <c r="K830" i="18" a="1"/>
  <c r="J830" i="18" a="1"/>
  <c r="I830" i="18" a="1"/>
  <c r="H830" i="18" a="1"/>
  <c r="K829" i="18" a="1"/>
  <c r="J829" i="18" a="1"/>
  <c r="I829" i="18" a="1"/>
  <c r="H829" i="18" a="1"/>
  <c r="K828" i="18" a="1"/>
  <c r="J828" i="18" a="1"/>
  <c r="I828" i="18" a="1"/>
  <c r="H828" i="18" a="1"/>
  <c r="K827" i="18" a="1"/>
  <c r="J827" i="18" a="1"/>
  <c r="I827" i="18" a="1"/>
  <c r="H827" i="18" a="1"/>
  <c r="K826" i="18" a="1"/>
  <c r="J826" i="18" a="1"/>
  <c r="I826" i="18" a="1"/>
  <c r="H826" i="18" a="1"/>
  <c r="K825" i="18" a="1"/>
  <c r="J825" i="18" a="1"/>
  <c r="I825" i="18" a="1"/>
  <c r="H825" i="18" a="1"/>
  <c r="K824" i="18" a="1"/>
  <c r="J824" i="18" a="1"/>
  <c r="I824" i="18" a="1"/>
  <c r="H824" i="18" a="1"/>
  <c r="K823" i="18" a="1"/>
  <c r="J823" i="18" a="1"/>
  <c r="I823" i="18" a="1"/>
  <c r="H823" i="18" a="1"/>
  <c r="K822" i="18" a="1"/>
  <c r="J822" i="18" a="1"/>
  <c r="I822" i="18" a="1"/>
  <c r="H822" i="18" a="1"/>
  <c r="K821" i="18" a="1"/>
  <c r="J821" i="18" a="1"/>
  <c r="I821" i="18" a="1"/>
  <c r="H821" i="18" a="1"/>
  <c r="K820" i="18" a="1"/>
  <c r="J820" i="18" a="1"/>
  <c r="I820" i="18" a="1"/>
  <c r="H820" i="18" a="1"/>
  <c r="K819" i="18" a="1"/>
  <c r="J819" i="18" a="1"/>
  <c r="I819" i="18" a="1"/>
  <c r="H819" i="18" a="1"/>
  <c r="K818" i="18" a="1"/>
  <c r="J818" i="18" a="1"/>
  <c r="I818" i="18" a="1"/>
  <c r="H818" i="18" a="1"/>
  <c r="K817" i="18" a="1"/>
  <c r="J817" i="18" a="1"/>
  <c r="I817" i="18" a="1"/>
  <c r="H817" i="18" a="1"/>
  <c r="K816" i="18" a="1"/>
  <c r="J816" i="18" a="1"/>
  <c r="I816" i="18" a="1"/>
  <c r="H816" i="18" a="1"/>
  <c r="K815" i="18" a="1"/>
  <c r="J815" i="18" a="1"/>
  <c r="I815" i="18" a="1"/>
  <c r="H815" i="18" a="1"/>
  <c r="K814" i="18" a="1"/>
  <c r="J814" i="18" a="1"/>
  <c r="I814" i="18" a="1"/>
  <c r="H814" i="18" a="1"/>
  <c r="K813" i="18" a="1"/>
  <c r="J813" i="18" a="1"/>
  <c r="I813" i="18" a="1"/>
  <c r="H813" i="18" a="1"/>
  <c r="K812" i="18" a="1"/>
  <c r="J812" i="18" a="1"/>
  <c r="I812" i="18" a="1"/>
  <c r="H812" i="18" a="1"/>
  <c r="K811" i="18" a="1"/>
  <c r="J811" i="18" a="1"/>
  <c r="I811" i="18" a="1"/>
  <c r="H811" i="18" a="1"/>
  <c r="K810" i="18" a="1"/>
  <c r="J810" i="18" a="1"/>
  <c r="I810" i="18" a="1"/>
  <c r="H810" i="18" a="1"/>
  <c r="K809" i="18" a="1"/>
  <c r="J809" i="18" a="1"/>
  <c r="I809" i="18" a="1"/>
  <c r="H809" i="18" a="1"/>
  <c r="K808" i="18" a="1"/>
  <c r="J808" i="18" a="1"/>
  <c r="I808" i="18" a="1"/>
  <c r="H808" i="18" a="1"/>
  <c r="K807" i="18" a="1"/>
  <c r="J807" i="18" a="1"/>
  <c r="I807" i="18" a="1"/>
  <c r="H807" i="18" a="1"/>
  <c r="K806" i="18" a="1"/>
  <c r="J806" i="18" a="1"/>
  <c r="I806" i="18" a="1"/>
  <c r="H806" i="18" a="1"/>
  <c r="K805" i="18" a="1"/>
  <c r="J805" i="18" a="1"/>
  <c r="I805" i="18" a="1"/>
  <c r="H805" i="18" a="1"/>
  <c r="K804" i="18" a="1"/>
  <c r="J804" i="18" a="1"/>
  <c r="I804" i="18" a="1"/>
  <c r="H804" i="18" a="1"/>
  <c r="K803" i="18" a="1"/>
  <c r="J803" i="18" a="1"/>
  <c r="I803" i="18" a="1"/>
  <c r="H803" i="18" a="1"/>
  <c r="K802" i="18" a="1"/>
  <c r="J802" i="18" a="1"/>
  <c r="I802" i="18" a="1"/>
  <c r="H802" i="18" a="1"/>
  <c r="K801" i="18" a="1"/>
  <c r="J801" i="18" a="1"/>
  <c r="I801" i="18" a="1"/>
  <c r="H801" i="18" a="1"/>
  <c r="K800" i="18" a="1"/>
  <c r="J800" i="18" a="1"/>
  <c r="I800" i="18" a="1"/>
  <c r="H800" i="18" a="1"/>
  <c r="K799" i="18" a="1"/>
  <c r="J799" i="18" a="1"/>
  <c r="I799" i="18" a="1"/>
  <c r="H799" i="18" a="1"/>
  <c r="K798" i="18" a="1"/>
  <c r="J798" i="18" a="1"/>
  <c r="I798" i="18" a="1"/>
  <c r="H798" i="18" a="1"/>
  <c r="K797" i="18" a="1"/>
  <c r="J797" i="18" a="1"/>
  <c r="I797" i="18" a="1"/>
  <c r="H797" i="18" a="1"/>
  <c r="K796" i="18" a="1"/>
  <c r="J796" i="18" a="1"/>
  <c r="I796" i="18" a="1"/>
  <c r="H796" i="18" a="1"/>
  <c r="K795" i="18" a="1"/>
  <c r="J795" i="18" a="1"/>
  <c r="I795" i="18" a="1"/>
  <c r="H795" i="18" a="1"/>
  <c r="K794" i="18" a="1"/>
  <c r="J794" i="18" a="1"/>
  <c r="I794" i="18" a="1"/>
  <c r="H794" i="18" a="1"/>
  <c r="K793" i="18" a="1"/>
  <c r="J793" i="18" a="1"/>
  <c r="I793" i="18" a="1"/>
  <c r="H793" i="18" a="1"/>
  <c r="K792" i="18" a="1"/>
  <c r="J792" i="18" a="1"/>
  <c r="I792" i="18" a="1"/>
  <c r="H792" i="18" a="1"/>
  <c r="K791" i="18" a="1"/>
  <c r="J791" i="18" a="1"/>
  <c r="I791" i="18" a="1"/>
  <c r="H791" i="18" a="1"/>
  <c r="K790" i="18" a="1"/>
  <c r="J790" i="18" a="1"/>
  <c r="I790" i="18" a="1"/>
  <c r="H790" i="18" a="1"/>
  <c r="K789" i="18" a="1"/>
  <c r="J789" i="18" a="1"/>
  <c r="I789" i="18" a="1"/>
  <c r="H789" i="18" a="1"/>
  <c r="K788" i="18" a="1"/>
  <c r="J788" i="18" a="1"/>
  <c r="I788" i="18" a="1"/>
  <c r="H788" i="18" a="1"/>
  <c r="K787" i="18" a="1"/>
  <c r="J787" i="18" a="1"/>
  <c r="I787" i="18" a="1"/>
  <c r="H787" i="18" a="1"/>
  <c r="K786" i="18" a="1"/>
  <c r="J786" i="18" a="1"/>
  <c r="I786" i="18" a="1"/>
  <c r="H786" i="18" a="1"/>
  <c r="K785" i="18" a="1"/>
  <c r="J785" i="18" a="1"/>
  <c r="I785" i="18" a="1"/>
  <c r="H785" i="18" a="1"/>
  <c r="K784" i="18" a="1"/>
  <c r="J784" i="18" a="1"/>
  <c r="I784" i="18" a="1"/>
  <c r="H784" i="18" a="1"/>
  <c r="K783" i="18" a="1"/>
  <c r="J783" i="18" a="1"/>
  <c r="I783" i="18" a="1"/>
  <c r="H783" i="18" a="1"/>
  <c r="K782" i="18" a="1"/>
  <c r="J782" i="18" a="1"/>
  <c r="I782" i="18" a="1"/>
  <c r="H782" i="18" a="1"/>
  <c r="K781" i="18" a="1"/>
  <c r="J781" i="18" a="1"/>
  <c r="I781" i="18" a="1"/>
  <c r="H781" i="18" a="1"/>
  <c r="K780" i="18" a="1"/>
  <c r="J780" i="18" a="1"/>
  <c r="I780" i="18" a="1"/>
  <c r="H780" i="18" a="1"/>
  <c r="K779" i="18" a="1"/>
  <c r="J779" i="18" a="1"/>
  <c r="I779" i="18" a="1"/>
  <c r="H779" i="18" a="1"/>
  <c r="K778" i="18" a="1"/>
  <c r="J778" i="18" a="1"/>
  <c r="I778" i="18" a="1"/>
  <c r="H778" i="18" a="1"/>
  <c r="K777" i="18" a="1"/>
  <c r="J777" i="18" a="1"/>
  <c r="I777" i="18" a="1"/>
  <c r="H777" i="18" a="1"/>
  <c r="K776" i="18" a="1"/>
  <c r="J776" i="18" a="1"/>
  <c r="I776" i="18" a="1"/>
  <c r="H776" i="18" a="1"/>
  <c r="K775" i="18" a="1"/>
  <c r="J775" i="18" a="1"/>
  <c r="I775" i="18" a="1"/>
  <c r="H775" i="18" a="1"/>
  <c r="K774" i="18" a="1"/>
  <c r="J774" i="18" a="1"/>
  <c r="I774" i="18" a="1"/>
  <c r="H774" i="18" a="1"/>
  <c r="K773" i="18" a="1"/>
  <c r="J773" i="18" a="1"/>
  <c r="I773" i="18" a="1"/>
  <c r="H773" i="18" a="1"/>
  <c r="K772" i="18" a="1"/>
  <c r="J772" i="18" a="1"/>
  <c r="I772" i="18" a="1"/>
  <c r="H772" i="18" a="1"/>
  <c r="K771" i="18" a="1"/>
  <c r="J771" i="18" a="1"/>
  <c r="I771" i="18" a="1"/>
  <c r="H771" i="18" a="1"/>
  <c r="K770" i="18" a="1"/>
  <c r="J770" i="18" a="1"/>
  <c r="I770" i="18" a="1"/>
  <c r="H770" i="18" a="1"/>
  <c r="K769" i="18" a="1"/>
  <c r="J769" i="18" a="1"/>
  <c r="I769" i="18" a="1"/>
  <c r="H769" i="18" a="1"/>
  <c r="K768" i="18" a="1"/>
  <c r="J768" i="18" a="1"/>
  <c r="I768" i="18" a="1"/>
  <c r="H768" i="18" a="1"/>
  <c r="K767" i="18" a="1"/>
  <c r="J767" i="18" a="1"/>
  <c r="I767" i="18" a="1"/>
  <c r="H767" i="18" a="1"/>
  <c r="K766" i="18" a="1"/>
  <c r="J766" i="18" a="1"/>
  <c r="I766" i="18" a="1"/>
  <c r="H766" i="18" a="1"/>
  <c r="K765" i="18" a="1"/>
  <c r="J765" i="18" a="1"/>
  <c r="I765" i="18" a="1"/>
  <c r="H765" i="18" a="1"/>
  <c r="K764" i="18" a="1"/>
  <c r="J764" i="18" a="1"/>
  <c r="I764" i="18" a="1"/>
  <c r="H764" i="18" a="1"/>
  <c r="K763" i="18" a="1"/>
  <c r="J763" i="18" a="1"/>
  <c r="I763" i="18" a="1"/>
  <c r="H763" i="18" a="1"/>
  <c r="K762" i="18" a="1"/>
  <c r="J762" i="18" a="1"/>
  <c r="I762" i="18" a="1"/>
  <c r="H762" i="18" a="1"/>
  <c r="K761" i="18" a="1"/>
  <c r="J761" i="18" a="1"/>
  <c r="I761" i="18" a="1"/>
  <c r="H761" i="18" a="1"/>
  <c r="K760" i="18" a="1"/>
  <c r="J760" i="18" a="1"/>
  <c r="I760" i="18" a="1"/>
  <c r="H760" i="18" a="1"/>
  <c r="K759" i="18" a="1"/>
  <c r="J759" i="18" a="1"/>
  <c r="I759" i="18" a="1"/>
  <c r="H759" i="18" a="1"/>
  <c r="K758" i="18" a="1"/>
  <c r="J758" i="18" a="1"/>
  <c r="I758" i="18" a="1"/>
  <c r="H758" i="18" a="1"/>
  <c r="K757" i="18" a="1"/>
  <c r="J757" i="18" a="1"/>
  <c r="I757" i="18" a="1"/>
  <c r="H757" i="18" a="1"/>
  <c r="K756" i="18" a="1"/>
  <c r="J756" i="18" a="1"/>
  <c r="I756" i="18" a="1"/>
  <c r="H756" i="18" a="1"/>
  <c r="K755" i="18" a="1"/>
  <c r="J755" i="18" a="1"/>
  <c r="I755" i="18" a="1"/>
  <c r="H755" i="18" a="1"/>
  <c r="K754" i="18" a="1"/>
  <c r="J754" i="18" a="1"/>
  <c r="I754" i="18" a="1"/>
  <c r="H754" i="18" a="1"/>
  <c r="K753" i="18" a="1"/>
  <c r="J753" i="18" a="1"/>
  <c r="I753" i="18" a="1"/>
  <c r="H753" i="18" a="1"/>
  <c r="K752" i="18" a="1"/>
  <c r="J752" i="18" a="1"/>
  <c r="I752" i="18" a="1"/>
  <c r="H752" i="18" a="1"/>
  <c r="K751" i="18" a="1"/>
  <c r="J751" i="18" a="1"/>
  <c r="I751" i="18" a="1"/>
  <c r="H751" i="18" a="1"/>
  <c r="K750" i="18" a="1"/>
  <c r="J750" i="18" a="1"/>
  <c r="I750" i="18" a="1"/>
  <c r="H750" i="18" a="1"/>
  <c r="K749" i="18" a="1"/>
  <c r="J749" i="18" a="1"/>
  <c r="I749" i="18" a="1"/>
  <c r="H749" i="18" a="1"/>
  <c r="K748" i="18" a="1"/>
  <c r="J748" i="18" a="1"/>
  <c r="I748" i="18" a="1"/>
  <c r="H748" i="18" a="1"/>
  <c r="K747" i="18" a="1"/>
  <c r="J747" i="18" a="1"/>
  <c r="I747" i="18" a="1"/>
  <c r="H747" i="18" a="1"/>
  <c r="K746" i="18" a="1"/>
  <c r="J746" i="18" a="1"/>
  <c r="I746" i="18" a="1"/>
  <c r="H746" i="18" a="1"/>
  <c r="K745" i="18" a="1"/>
  <c r="J745" i="18" a="1"/>
  <c r="I745" i="18" a="1"/>
  <c r="H745" i="18" a="1"/>
  <c r="K744" i="18" a="1"/>
  <c r="J744" i="18" a="1"/>
  <c r="I744" i="18" a="1"/>
  <c r="H744" i="18" a="1"/>
  <c r="K743" i="18" a="1"/>
  <c r="J743" i="18" a="1"/>
  <c r="I743" i="18" a="1"/>
  <c r="H743" i="18" a="1"/>
  <c r="K742" i="18" a="1"/>
  <c r="J742" i="18" a="1"/>
  <c r="I742" i="18" a="1"/>
  <c r="H742" i="18" a="1"/>
  <c r="K741" i="18" a="1"/>
  <c r="J741" i="18" a="1"/>
  <c r="I741" i="18" a="1"/>
  <c r="H741" i="18" a="1"/>
  <c r="K740" i="18" a="1"/>
  <c r="J740" i="18" a="1"/>
  <c r="I740" i="18" a="1"/>
  <c r="H740" i="18" a="1"/>
  <c r="K739" i="18" a="1"/>
  <c r="J739" i="18" a="1"/>
  <c r="I739" i="18" a="1"/>
  <c r="H739" i="18" a="1"/>
  <c r="K738" i="18" a="1"/>
  <c r="J738" i="18" a="1"/>
  <c r="I738" i="18" a="1"/>
  <c r="H738" i="18" a="1"/>
  <c r="K737" i="18" a="1"/>
  <c r="J737" i="18" a="1"/>
  <c r="I737" i="18" a="1"/>
  <c r="H737" i="18" a="1"/>
  <c r="K736" i="18" a="1"/>
  <c r="J736" i="18" a="1"/>
  <c r="I736" i="18" a="1"/>
  <c r="H736" i="18" a="1"/>
  <c r="K735" i="18" a="1"/>
  <c r="J735" i="18" a="1"/>
  <c r="I735" i="18" a="1"/>
  <c r="H735" i="18" a="1"/>
  <c r="K734" i="18" a="1"/>
  <c r="J734" i="18" a="1"/>
  <c r="I734" i="18" a="1"/>
  <c r="H734" i="18" a="1"/>
  <c r="K733" i="18" a="1"/>
  <c r="J733" i="18" a="1"/>
  <c r="I733" i="18" a="1"/>
  <c r="H733" i="18" a="1"/>
  <c r="K732" i="18" a="1"/>
  <c r="J732" i="18" a="1"/>
  <c r="I732" i="18" a="1"/>
  <c r="H732" i="18" a="1"/>
  <c r="K731" i="18" a="1"/>
  <c r="J731" i="18" a="1"/>
  <c r="I731" i="18" a="1"/>
  <c r="H731" i="18" a="1"/>
  <c r="K730" i="18" a="1"/>
  <c r="J730" i="18" a="1"/>
  <c r="I730" i="18" a="1"/>
  <c r="H730" i="18" a="1"/>
  <c r="K729" i="18" a="1"/>
  <c r="J729" i="18" a="1"/>
  <c r="I729" i="18" a="1"/>
  <c r="H729" i="18" a="1"/>
  <c r="K728" i="18" a="1"/>
  <c r="J728" i="18" a="1"/>
  <c r="I728" i="18" a="1"/>
  <c r="H728" i="18" a="1"/>
  <c r="K727" i="18" a="1"/>
  <c r="J727" i="18" a="1"/>
  <c r="I727" i="18" a="1"/>
  <c r="H727" i="18" a="1"/>
  <c r="K726" i="18" a="1"/>
  <c r="J726" i="18" a="1"/>
  <c r="I726" i="18" a="1"/>
  <c r="H726" i="18" a="1"/>
  <c r="K725" i="18" a="1"/>
  <c r="J725" i="18" a="1"/>
  <c r="I725" i="18" a="1"/>
  <c r="H725" i="18" a="1"/>
  <c r="K724" i="18" a="1"/>
  <c r="J724" i="18" a="1"/>
  <c r="I724" i="18" a="1"/>
  <c r="H724" i="18" a="1"/>
  <c r="K723" i="18" a="1"/>
  <c r="J723" i="18" a="1"/>
  <c r="I723" i="18" a="1"/>
  <c r="H723" i="18" a="1"/>
  <c r="K722" i="18" a="1"/>
  <c r="J722" i="18" a="1"/>
  <c r="I722" i="18" a="1"/>
  <c r="H722" i="18" a="1"/>
  <c r="K721" i="18" a="1"/>
  <c r="J721" i="18" a="1"/>
  <c r="I721" i="18" a="1"/>
  <c r="H721" i="18" a="1"/>
  <c r="K720" i="18" a="1"/>
  <c r="J720" i="18" a="1"/>
  <c r="I720" i="18" a="1"/>
  <c r="H720" i="18" a="1"/>
  <c r="K719" i="18" a="1"/>
  <c r="J719" i="18" a="1"/>
  <c r="I719" i="18" a="1"/>
  <c r="H719" i="18" a="1"/>
  <c r="K718" i="18" a="1"/>
  <c r="J718" i="18" a="1"/>
  <c r="I718" i="18" a="1"/>
  <c r="H718" i="18" a="1"/>
  <c r="K717" i="18" a="1"/>
  <c r="J717" i="18" a="1"/>
  <c r="I717" i="18" a="1"/>
  <c r="H717" i="18" a="1"/>
  <c r="K716" i="18" a="1"/>
  <c r="J716" i="18" a="1"/>
  <c r="I716" i="18" a="1"/>
  <c r="H716" i="18" a="1"/>
  <c r="K715" i="18" a="1"/>
  <c r="J715" i="18" a="1"/>
  <c r="I715" i="18" a="1"/>
  <c r="H715" i="18" a="1"/>
  <c r="K714" i="18" a="1"/>
  <c r="J714" i="18" a="1"/>
  <c r="I714" i="18" a="1"/>
  <c r="H714" i="18" a="1"/>
  <c r="K713" i="18" a="1"/>
  <c r="J713" i="18" a="1"/>
  <c r="I713" i="18" a="1"/>
  <c r="H713" i="18" a="1"/>
  <c r="K712" i="18" a="1"/>
  <c r="J712" i="18" a="1"/>
  <c r="I712" i="18" a="1"/>
  <c r="H712" i="18" a="1"/>
  <c r="K711" i="18" a="1"/>
  <c r="J711" i="18" a="1"/>
  <c r="I711" i="18" a="1"/>
  <c r="H711" i="18" a="1"/>
  <c r="K710" i="18" a="1"/>
  <c r="J710" i="18" a="1"/>
  <c r="I710" i="18" a="1"/>
  <c r="H710" i="18" a="1"/>
  <c r="K709" i="18" a="1"/>
  <c r="J709" i="18" a="1"/>
  <c r="I709" i="18" a="1"/>
  <c r="H709" i="18" a="1"/>
  <c r="K708" i="18" a="1"/>
  <c r="J708" i="18" a="1"/>
  <c r="I708" i="18" a="1"/>
  <c r="H708" i="18" a="1"/>
  <c r="K707" i="18" a="1"/>
  <c r="J707" i="18" a="1"/>
  <c r="I707" i="18" a="1"/>
  <c r="H707" i="18" a="1"/>
  <c r="K706" i="18" a="1"/>
  <c r="J706" i="18" a="1"/>
  <c r="I706" i="18" a="1"/>
  <c r="H706" i="18" a="1"/>
  <c r="K705" i="18" a="1"/>
  <c r="J705" i="18" a="1"/>
  <c r="I705" i="18" a="1"/>
  <c r="H705" i="18" a="1"/>
  <c r="K704" i="18" a="1"/>
  <c r="J704" i="18" a="1"/>
  <c r="I704" i="18" a="1"/>
  <c r="H704" i="18" a="1"/>
  <c r="K703" i="18" a="1"/>
  <c r="J703" i="18" a="1"/>
  <c r="I703" i="18" a="1"/>
  <c r="H703" i="18" a="1"/>
  <c r="K702" i="18" a="1"/>
  <c r="J702" i="18" a="1"/>
  <c r="I702" i="18" a="1"/>
  <c r="H702" i="18" a="1"/>
  <c r="K701" i="18" a="1"/>
  <c r="J701" i="18" a="1"/>
  <c r="I701" i="18" a="1"/>
  <c r="H701" i="18" a="1"/>
  <c r="K700" i="18" a="1"/>
  <c r="J700" i="18" a="1"/>
  <c r="I700" i="18" a="1"/>
  <c r="H700" i="18" a="1"/>
  <c r="K699" i="18" a="1"/>
  <c r="J699" i="18" a="1"/>
  <c r="I699" i="18" a="1"/>
  <c r="H699" i="18" a="1"/>
  <c r="K698" i="18" a="1"/>
  <c r="J698" i="18" a="1"/>
  <c r="I698" i="18" a="1"/>
  <c r="H698" i="18" a="1"/>
  <c r="K697" i="18" a="1"/>
  <c r="J697" i="18" a="1"/>
  <c r="I697" i="18" a="1"/>
  <c r="H697" i="18" a="1"/>
  <c r="K696" i="18" a="1"/>
  <c r="J696" i="18" a="1"/>
  <c r="I696" i="18" a="1"/>
  <c r="H696" i="18" a="1"/>
  <c r="K695" i="18" a="1"/>
  <c r="J695" i="18" a="1"/>
  <c r="I695" i="18" a="1"/>
  <c r="H695" i="18" a="1"/>
  <c r="K694" i="18" a="1"/>
  <c r="J694" i="18" a="1"/>
  <c r="I694" i="18" a="1"/>
  <c r="H694" i="18" a="1"/>
  <c r="K693" i="18" a="1"/>
  <c r="J693" i="18" a="1"/>
  <c r="I693" i="18" a="1"/>
  <c r="H693" i="18" a="1"/>
  <c r="K692" i="18" a="1"/>
  <c r="J692" i="18" a="1"/>
  <c r="I692" i="18" a="1"/>
  <c r="H692" i="18" a="1"/>
  <c r="K691" i="18" a="1"/>
  <c r="J691" i="18" a="1"/>
  <c r="I691" i="18" a="1"/>
  <c r="H691" i="18" a="1"/>
  <c r="K690" i="18" a="1"/>
  <c r="J690" i="18" a="1"/>
  <c r="I690" i="18" a="1"/>
  <c r="H690" i="18" a="1"/>
  <c r="K689" i="18" a="1"/>
  <c r="J689" i="18" a="1"/>
  <c r="I689" i="18" a="1"/>
  <c r="H689" i="18" a="1"/>
  <c r="K688" i="18" a="1"/>
  <c r="J688" i="18" a="1"/>
  <c r="I688" i="18" a="1"/>
  <c r="H688" i="18" a="1"/>
  <c r="K687" i="18" a="1"/>
  <c r="J687" i="18" a="1"/>
  <c r="I687" i="18" a="1"/>
  <c r="H687" i="18" a="1"/>
  <c r="K686" i="18" a="1"/>
  <c r="J686" i="18" a="1"/>
  <c r="I686" i="18" a="1"/>
  <c r="H686" i="18" a="1"/>
  <c r="K685" i="18" a="1"/>
  <c r="J685" i="18" a="1"/>
  <c r="I685" i="18" a="1"/>
  <c r="H685" i="18" a="1"/>
  <c r="K684" i="18" a="1"/>
  <c r="J684" i="18" a="1"/>
  <c r="I684" i="18" a="1"/>
  <c r="H684" i="18" a="1"/>
  <c r="K683" i="18" a="1"/>
  <c r="J683" i="18" a="1"/>
  <c r="I683" i="18" a="1"/>
  <c r="H683" i="18" a="1"/>
  <c r="K682" i="18" a="1"/>
  <c r="J682" i="18" a="1"/>
  <c r="I682" i="18" a="1"/>
  <c r="H682" i="18" a="1"/>
  <c r="K681" i="18" a="1"/>
  <c r="J681" i="18" a="1"/>
  <c r="I681" i="18" a="1"/>
  <c r="H681" i="18" a="1"/>
  <c r="K680" i="18" a="1"/>
  <c r="J680" i="18" a="1"/>
  <c r="I680" i="18" a="1"/>
  <c r="H680" i="18" a="1"/>
  <c r="K679" i="18" a="1"/>
  <c r="J679" i="18" a="1"/>
  <c r="I679" i="18" a="1"/>
  <c r="H679" i="18" a="1"/>
  <c r="K678" i="18" a="1"/>
  <c r="J678" i="18" a="1"/>
  <c r="I678" i="18" a="1"/>
  <c r="H678" i="18" a="1"/>
  <c r="K677" i="18" a="1"/>
  <c r="J677" i="18" a="1"/>
  <c r="I677" i="18" a="1"/>
  <c r="H677" i="18" a="1"/>
  <c r="K676" i="18" a="1"/>
  <c r="J676" i="18" a="1"/>
  <c r="I676" i="18" a="1"/>
  <c r="H676" i="18" a="1"/>
  <c r="K675" i="18" a="1"/>
  <c r="J675" i="18" a="1"/>
  <c r="I675" i="18" a="1"/>
  <c r="H675" i="18" a="1"/>
  <c r="K674" i="18" a="1"/>
  <c r="J674" i="18" a="1"/>
  <c r="I674" i="18" a="1"/>
  <c r="H674" i="18" a="1"/>
  <c r="K673" i="18" a="1"/>
  <c r="J673" i="18" a="1"/>
  <c r="I673" i="18" a="1"/>
  <c r="H673" i="18" a="1"/>
  <c r="K672" i="18" a="1"/>
  <c r="J672" i="18" a="1"/>
  <c r="I672" i="18" a="1"/>
  <c r="H672" i="18" a="1"/>
  <c r="K671" i="18" a="1"/>
  <c r="J671" i="18" a="1"/>
  <c r="I671" i="18" a="1"/>
  <c r="H671" i="18" a="1"/>
  <c r="K670" i="18" a="1"/>
  <c r="J670" i="18" a="1"/>
  <c r="I670" i="18" a="1"/>
  <c r="H670" i="18" a="1"/>
  <c r="K669" i="18" a="1"/>
  <c r="J669" i="18" a="1"/>
  <c r="I669" i="18" a="1"/>
  <c r="H669" i="18" a="1"/>
  <c r="K668" i="18" a="1"/>
  <c r="J668" i="18" a="1"/>
  <c r="I668" i="18" a="1"/>
  <c r="H668" i="18" a="1"/>
  <c r="K667" i="18" a="1"/>
  <c r="J667" i="18" a="1"/>
  <c r="I667" i="18" a="1"/>
  <c r="H667" i="18" a="1"/>
  <c r="K666" i="18" a="1"/>
  <c r="J666" i="18" a="1"/>
  <c r="I666" i="18" a="1"/>
  <c r="H666" i="18" a="1"/>
  <c r="K665" i="18" a="1"/>
  <c r="J665" i="18" a="1"/>
  <c r="I665" i="18" a="1"/>
  <c r="H665" i="18" a="1"/>
  <c r="K664" i="18" a="1"/>
  <c r="J664" i="18" a="1"/>
  <c r="I664" i="18" a="1"/>
  <c r="H664" i="18" a="1"/>
  <c r="K663" i="18" a="1"/>
  <c r="J663" i="18" a="1"/>
  <c r="I663" i="18" a="1"/>
  <c r="H663" i="18" a="1"/>
  <c r="K662" i="18" a="1"/>
  <c r="J662" i="18" a="1"/>
  <c r="I662" i="18" a="1"/>
  <c r="H662" i="18" a="1"/>
  <c r="K661" i="18" a="1"/>
  <c r="J661" i="18" a="1"/>
  <c r="I661" i="18" a="1"/>
  <c r="H661" i="18" a="1"/>
  <c r="K660" i="18" a="1"/>
  <c r="J660" i="18" a="1"/>
  <c r="I660" i="18" a="1"/>
  <c r="H660" i="18" a="1"/>
  <c r="K659" i="18" a="1"/>
  <c r="J659" i="18" a="1"/>
  <c r="I659" i="18" a="1"/>
  <c r="H659" i="18" a="1"/>
  <c r="K658" i="18" a="1"/>
  <c r="J658" i="18" a="1"/>
  <c r="I658" i="18" a="1"/>
  <c r="H658" i="18" a="1"/>
  <c r="K657" i="18" a="1"/>
  <c r="J657" i="18" a="1"/>
  <c r="I657" i="18" a="1"/>
  <c r="H657" i="18" a="1"/>
  <c r="K656" i="18" a="1"/>
  <c r="J656" i="18" a="1"/>
  <c r="I656" i="18" a="1"/>
  <c r="H656" i="18" a="1"/>
  <c r="K655" i="18" a="1"/>
  <c r="J655" i="18" a="1"/>
  <c r="I655" i="18" a="1"/>
  <c r="H655" i="18" a="1"/>
  <c r="K654" i="18" a="1"/>
  <c r="J654" i="18" a="1"/>
  <c r="I654" i="18" a="1"/>
  <c r="H654" i="18" a="1"/>
  <c r="K653" i="18" a="1"/>
  <c r="J653" i="18" a="1"/>
  <c r="I653" i="18" a="1"/>
  <c r="H653" i="18" a="1"/>
  <c r="K652" i="18" a="1"/>
  <c r="J652" i="18" a="1"/>
  <c r="I652" i="18" a="1"/>
  <c r="H652" i="18" a="1"/>
  <c r="K651" i="18" a="1"/>
  <c r="J651" i="18" a="1"/>
  <c r="I651" i="18" a="1"/>
  <c r="H651" i="18" a="1"/>
  <c r="K650" i="18" a="1"/>
  <c r="J650" i="18" a="1"/>
  <c r="I650" i="18" a="1"/>
  <c r="H650" i="18" a="1"/>
  <c r="K649" i="18" a="1"/>
  <c r="J649" i="18" a="1"/>
  <c r="I649" i="18" a="1"/>
  <c r="H649" i="18" a="1"/>
  <c r="K648" i="18" a="1"/>
  <c r="J648" i="18" a="1"/>
  <c r="I648" i="18" a="1"/>
  <c r="H648" i="18" a="1"/>
  <c r="K647" i="18" a="1"/>
  <c r="J647" i="18" a="1"/>
  <c r="I647" i="18" a="1"/>
  <c r="H647" i="18" a="1"/>
  <c r="K646" i="18" a="1"/>
  <c r="J646" i="18" a="1"/>
  <c r="I646" i="18" a="1"/>
  <c r="H646" i="18" a="1"/>
  <c r="K645" i="18" a="1"/>
  <c r="J645" i="18" a="1"/>
  <c r="I645" i="18" a="1"/>
  <c r="H645" i="18" a="1"/>
  <c r="K644" i="18" a="1"/>
  <c r="J644" i="18" a="1"/>
  <c r="I644" i="18" a="1"/>
  <c r="H644" i="18" a="1"/>
  <c r="K643" i="18" a="1"/>
  <c r="J643" i="18" a="1"/>
  <c r="I643" i="18" a="1"/>
  <c r="H643" i="18" a="1"/>
  <c r="K642" i="18" a="1"/>
  <c r="J642" i="18" a="1"/>
  <c r="I642" i="18" a="1"/>
  <c r="H642" i="18" a="1"/>
  <c r="K641" i="18" a="1"/>
  <c r="J641" i="18" a="1"/>
  <c r="I641" i="18" a="1"/>
  <c r="H641" i="18" a="1"/>
  <c r="K640" i="18" a="1"/>
  <c r="J640" i="18" a="1"/>
  <c r="I640" i="18" a="1"/>
  <c r="H640" i="18" a="1"/>
  <c r="K639" i="18" a="1"/>
  <c r="J639" i="18" a="1"/>
  <c r="I639" i="18" a="1"/>
  <c r="H639" i="18" a="1"/>
  <c r="K638" i="18" a="1"/>
  <c r="J638" i="18" a="1"/>
  <c r="I638" i="18" a="1"/>
  <c r="H638" i="18" a="1"/>
  <c r="K637" i="18" a="1"/>
  <c r="J637" i="18" a="1"/>
  <c r="I637" i="18" a="1"/>
  <c r="H637" i="18" a="1"/>
  <c r="K636" i="18" a="1"/>
  <c r="J636" i="18" a="1"/>
  <c r="I636" i="18" a="1"/>
  <c r="H636" i="18" a="1"/>
  <c r="K635" i="18" a="1"/>
  <c r="J635" i="18" a="1"/>
  <c r="I635" i="18" a="1"/>
  <c r="H635" i="18" a="1"/>
  <c r="K634" i="18" a="1"/>
  <c r="J634" i="18" a="1"/>
  <c r="I634" i="18" a="1"/>
  <c r="H634" i="18" a="1"/>
  <c r="K633" i="18" a="1"/>
  <c r="J633" i="18" a="1"/>
  <c r="I633" i="18" a="1"/>
  <c r="H633" i="18" a="1"/>
  <c r="K632" i="18" a="1"/>
  <c r="J632" i="18" a="1"/>
  <c r="I632" i="18" a="1"/>
  <c r="H632" i="18" a="1"/>
  <c r="K631" i="18" a="1"/>
  <c r="J631" i="18" a="1"/>
  <c r="I631" i="18" a="1"/>
  <c r="H631" i="18" a="1"/>
  <c r="K630" i="18" a="1"/>
  <c r="J630" i="18" a="1"/>
  <c r="I630" i="18" a="1"/>
  <c r="H630" i="18" a="1"/>
  <c r="K629" i="18" a="1"/>
  <c r="J629" i="18" a="1"/>
  <c r="I629" i="18" a="1"/>
  <c r="H629" i="18" a="1"/>
  <c r="K628" i="18" a="1"/>
  <c r="J628" i="18" a="1"/>
  <c r="I628" i="18" a="1"/>
  <c r="H628" i="18" a="1"/>
  <c r="K627" i="18" a="1"/>
  <c r="J627" i="18" a="1"/>
  <c r="I627" i="18" a="1"/>
  <c r="H627" i="18" a="1"/>
  <c r="K626" i="18" a="1"/>
  <c r="J626" i="18" a="1"/>
  <c r="I626" i="18" a="1"/>
  <c r="H626" i="18" a="1"/>
  <c r="K625" i="18" a="1"/>
  <c r="J625" i="18" a="1"/>
  <c r="I625" i="18" a="1"/>
  <c r="H625" i="18" a="1"/>
  <c r="K624" i="18" a="1"/>
  <c r="J624" i="18" a="1"/>
  <c r="I624" i="18" a="1"/>
  <c r="H624" i="18" a="1"/>
  <c r="K623" i="18" a="1"/>
  <c r="J623" i="18" a="1"/>
  <c r="I623" i="18" a="1"/>
  <c r="H623" i="18" a="1"/>
  <c r="K622" i="18" a="1"/>
  <c r="J622" i="18" a="1"/>
  <c r="I622" i="18" a="1"/>
  <c r="H622" i="18" a="1"/>
  <c r="K621" i="18" a="1"/>
  <c r="J621" i="18" a="1"/>
  <c r="I621" i="18" a="1"/>
  <c r="H621" i="18" a="1"/>
  <c r="K620" i="18" a="1"/>
  <c r="J620" i="18" a="1"/>
  <c r="I620" i="18" a="1"/>
  <c r="H620" i="18" a="1"/>
  <c r="K619" i="18" a="1"/>
  <c r="J619" i="18" a="1"/>
  <c r="I619" i="18" a="1"/>
  <c r="H619" i="18" a="1"/>
  <c r="K618" i="18" a="1"/>
  <c r="J618" i="18" a="1"/>
  <c r="I618" i="18" a="1"/>
  <c r="H618" i="18" a="1"/>
  <c r="K617" i="18" a="1"/>
  <c r="J617" i="18" a="1"/>
  <c r="I617" i="18" a="1"/>
  <c r="H617" i="18" a="1"/>
  <c r="K616" i="18" a="1"/>
  <c r="J616" i="18" a="1"/>
  <c r="I616" i="18" a="1"/>
  <c r="H616" i="18" a="1"/>
  <c r="K615" i="18" a="1"/>
  <c r="J615" i="18" a="1"/>
  <c r="I615" i="18" a="1"/>
  <c r="H615" i="18" a="1"/>
  <c r="K614" i="18" a="1"/>
  <c r="J614" i="18" a="1"/>
  <c r="I614" i="18" a="1"/>
  <c r="H614" i="18" a="1"/>
  <c r="K613" i="18" a="1"/>
  <c r="J613" i="18" a="1"/>
  <c r="I613" i="18" a="1"/>
  <c r="H613" i="18" a="1"/>
  <c r="K612" i="18" a="1"/>
  <c r="J612" i="18" a="1"/>
  <c r="I612" i="18" a="1"/>
  <c r="H612" i="18" a="1"/>
  <c r="K611" i="18" a="1"/>
  <c r="J611" i="18" a="1"/>
  <c r="I611" i="18" a="1"/>
  <c r="H611" i="18" a="1"/>
  <c r="K610" i="18" a="1"/>
  <c r="J610" i="18" a="1"/>
  <c r="I610" i="18" a="1"/>
  <c r="H610" i="18" a="1"/>
  <c r="K609" i="18" a="1"/>
  <c r="J609" i="18" a="1"/>
  <c r="I609" i="18" a="1"/>
  <c r="H609" i="18" a="1"/>
  <c r="K608" i="18" a="1"/>
  <c r="J608" i="18" a="1"/>
  <c r="I608" i="18" a="1"/>
  <c r="H608" i="18" a="1"/>
  <c r="K607" i="18" a="1"/>
  <c r="J607" i="18" a="1"/>
  <c r="I607" i="18" a="1"/>
  <c r="H607" i="18" a="1"/>
  <c r="K606" i="18" a="1"/>
  <c r="J606" i="18" a="1"/>
  <c r="I606" i="18" a="1"/>
  <c r="H606" i="18" a="1"/>
  <c r="K605" i="18" a="1"/>
  <c r="J605" i="18" a="1"/>
  <c r="I605" i="18" a="1"/>
  <c r="H605" i="18" a="1"/>
  <c r="K604" i="18" a="1"/>
  <c r="J604" i="18" a="1"/>
  <c r="I604" i="18" a="1"/>
  <c r="H604" i="18" a="1"/>
  <c r="K603" i="18" a="1"/>
  <c r="J603" i="18" a="1"/>
  <c r="I603" i="18" a="1"/>
  <c r="H603" i="18" a="1"/>
  <c r="K602" i="18" a="1"/>
  <c r="J602" i="18" a="1"/>
  <c r="I602" i="18" a="1"/>
  <c r="H602" i="18" a="1"/>
  <c r="K601" i="18" a="1"/>
  <c r="J601" i="18" a="1"/>
  <c r="I601" i="18" a="1"/>
  <c r="H601" i="18" a="1"/>
  <c r="K600" i="18" a="1"/>
  <c r="J600" i="18" a="1"/>
  <c r="I600" i="18" a="1"/>
  <c r="H600" i="18" a="1"/>
  <c r="K599" i="18" a="1"/>
  <c r="J599" i="18" a="1"/>
  <c r="I599" i="18" a="1"/>
  <c r="H599" i="18" a="1"/>
  <c r="K598" i="18" a="1"/>
  <c r="J598" i="18" a="1"/>
  <c r="I598" i="18" a="1"/>
  <c r="H598" i="18" a="1"/>
  <c r="K597" i="18" a="1"/>
  <c r="J597" i="18" a="1"/>
  <c r="I597" i="18" a="1"/>
  <c r="H597" i="18" a="1"/>
  <c r="K596" i="18" a="1"/>
  <c r="J596" i="18" a="1"/>
  <c r="I596" i="18" a="1"/>
  <c r="H596" i="18" a="1"/>
  <c r="K595" i="18" a="1"/>
  <c r="J595" i="18" a="1"/>
  <c r="I595" i="18" a="1"/>
  <c r="H595" i="18" a="1"/>
  <c r="K594" i="18" a="1"/>
  <c r="J594" i="18" a="1"/>
  <c r="I594" i="18" a="1"/>
  <c r="H594" i="18" a="1"/>
  <c r="K593" i="18" a="1"/>
  <c r="J593" i="18" a="1"/>
  <c r="I593" i="18" a="1"/>
  <c r="H593" i="18" a="1"/>
  <c r="K592" i="18" a="1"/>
  <c r="J592" i="18" a="1"/>
  <c r="I592" i="18" a="1"/>
  <c r="H592" i="18" a="1"/>
  <c r="K591" i="18" a="1"/>
  <c r="J591" i="18" a="1"/>
  <c r="I591" i="18" a="1"/>
  <c r="H591" i="18" a="1"/>
  <c r="K590" i="18" a="1"/>
  <c r="J590" i="18" a="1"/>
  <c r="I590" i="18" a="1"/>
  <c r="H590" i="18" a="1"/>
  <c r="K589" i="18" a="1"/>
  <c r="J589" i="18" a="1"/>
  <c r="I589" i="18" a="1"/>
  <c r="H589" i="18" a="1"/>
  <c r="K588" i="18" a="1"/>
  <c r="J588" i="18" a="1"/>
  <c r="I588" i="18" a="1"/>
  <c r="H588" i="18" a="1"/>
  <c r="K587" i="18" a="1"/>
  <c r="J587" i="18" a="1"/>
  <c r="I587" i="18" a="1"/>
  <c r="H587" i="18" a="1"/>
  <c r="K586" i="18" a="1"/>
  <c r="J586" i="18" a="1"/>
  <c r="I586" i="18" a="1"/>
  <c r="H586" i="18" a="1"/>
  <c r="K585" i="18" a="1"/>
  <c r="J585" i="18" a="1"/>
  <c r="I585" i="18" a="1"/>
  <c r="H585" i="18" a="1"/>
  <c r="K584" i="18" a="1"/>
  <c r="J584" i="18" a="1"/>
  <c r="I584" i="18" a="1"/>
  <c r="H584" i="18" a="1"/>
  <c r="K583" i="18" a="1"/>
  <c r="J583" i="18" a="1"/>
  <c r="I583" i="18" a="1"/>
  <c r="H583" i="18" a="1"/>
  <c r="K582" i="18" a="1"/>
  <c r="J582" i="18" a="1"/>
  <c r="I582" i="18" a="1"/>
  <c r="H582" i="18" a="1"/>
  <c r="K581" i="18" a="1"/>
  <c r="J581" i="18" a="1"/>
  <c r="I581" i="18" a="1"/>
  <c r="H581" i="18" a="1"/>
  <c r="K580" i="18" a="1"/>
  <c r="J580" i="18" a="1"/>
  <c r="I580" i="18" a="1"/>
  <c r="H580" i="18" a="1"/>
  <c r="K579" i="18" a="1"/>
  <c r="J579" i="18" a="1"/>
  <c r="I579" i="18" a="1"/>
  <c r="H579" i="18" a="1"/>
  <c r="K578" i="18" a="1"/>
  <c r="J578" i="18" a="1"/>
  <c r="I578" i="18" a="1"/>
  <c r="H578" i="18" a="1"/>
  <c r="K577" i="18" a="1"/>
  <c r="J577" i="18" a="1"/>
  <c r="I577" i="18" a="1"/>
  <c r="H577" i="18" a="1"/>
  <c r="K576" i="18" a="1"/>
  <c r="J576" i="18" a="1"/>
  <c r="I576" i="18" a="1"/>
  <c r="H576" i="18" a="1"/>
  <c r="K575" i="18" a="1"/>
  <c r="J575" i="18" a="1"/>
  <c r="I575" i="18" a="1"/>
  <c r="H575" i="18" a="1"/>
  <c r="K574" i="18" a="1"/>
  <c r="J574" i="18" a="1"/>
  <c r="I574" i="18" a="1"/>
  <c r="H574" i="18" a="1"/>
  <c r="K573" i="18" a="1"/>
  <c r="J573" i="18" a="1"/>
  <c r="I573" i="18" a="1"/>
  <c r="H573" i="18" a="1"/>
  <c r="K572" i="18" a="1"/>
  <c r="J572" i="18" a="1"/>
  <c r="I572" i="18" a="1"/>
  <c r="H572" i="18" a="1"/>
  <c r="K571" i="18" a="1"/>
  <c r="J571" i="18" a="1"/>
  <c r="I571" i="18" a="1"/>
  <c r="H571" i="18" a="1"/>
  <c r="K570" i="18" a="1"/>
  <c r="J570" i="18" a="1"/>
  <c r="I570" i="18" a="1"/>
  <c r="H570" i="18" a="1"/>
  <c r="K569" i="18" a="1"/>
  <c r="J569" i="18" a="1"/>
  <c r="I569" i="18" a="1"/>
  <c r="H569" i="18" a="1"/>
  <c r="K568" i="18" a="1"/>
  <c r="J568" i="18" a="1"/>
  <c r="I568" i="18" a="1"/>
  <c r="H568" i="18" a="1"/>
  <c r="K567" i="18" a="1"/>
  <c r="J567" i="18" a="1"/>
  <c r="I567" i="18" a="1"/>
  <c r="H567" i="18" a="1"/>
  <c r="K566" i="18" a="1"/>
  <c r="J566" i="18" a="1"/>
  <c r="I566" i="18" a="1"/>
  <c r="H566" i="18" a="1"/>
  <c r="K565" i="18" a="1"/>
  <c r="J565" i="18" a="1"/>
  <c r="I565" i="18" a="1"/>
  <c r="H565" i="18" a="1"/>
  <c r="K564" i="18" a="1"/>
  <c r="J564" i="18" a="1"/>
  <c r="I564" i="18" a="1"/>
  <c r="H564" i="18" a="1"/>
  <c r="K563" i="18" a="1"/>
  <c r="J563" i="18" a="1"/>
  <c r="I563" i="18" a="1"/>
  <c r="H563" i="18" a="1"/>
  <c r="K562" i="18" a="1"/>
  <c r="J562" i="18" a="1"/>
  <c r="I562" i="18" a="1"/>
  <c r="H562" i="18" a="1"/>
  <c r="K561" i="18" a="1"/>
  <c r="J561" i="18" a="1"/>
  <c r="I561" i="18" a="1"/>
  <c r="H561" i="18" a="1"/>
  <c r="K560" i="18" a="1"/>
  <c r="J560" i="18" a="1"/>
  <c r="I560" i="18" a="1"/>
  <c r="H560" i="18" a="1"/>
  <c r="K559" i="18" a="1"/>
  <c r="J559" i="18" a="1"/>
  <c r="I559" i="18" a="1"/>
  <c r="H559" i="18" a="1"/>
  <c r="K558" i="18" a="1"/>
  <c r="J558" i="18" a="1"/>
  <c r="I558" i="18" a="1"/>
  <c r="H558" i="18" a="1"/>
  <c r="K557" i="18" a="1"/>
  <c r="J557" i="18" a="1"/>
  <c r="I557" i="18" a="1"/>
  <c r="H557" i="18" a="1"/>
  <c r="K556" i="18" a="1"/>
  <c r="J556" i="18" a="1"/>
  <c r="I556" i="18" a="1"/>
  <c r="H556" i="18" a="1"/>
  <c r="K555" i="18" a="1"/>
  <c r="J555" i="18" a="1"/>
  <c r="I555" i="18" a="1"/>
  <c r="H555" i="18" a="1"/>
  <c r="K554" i="18" a="1"/>
  <c r="J554" i="18" a="1"/>
  <c r="I554" i="18" a="1"/>
  <c r="H554" i="18" a="1"/>
  <c r="K553" i="18" a="1"/>
  <c r="J553" i="18" a="1"/>
  <c r="I553" i="18" a="1"/>
  <c r="H553" i="18" a="1"/>
  <c r="K552" i="18" a="1"/>
  <c r="J552" i="18" a="1"/>
  <c r="I552" i="18" a="1"/>
  <c r="H552" i="18" a="1"/>
  <c r="K551" i="18" a="1"/>
  <c r="J551" i="18" a="1"/>
  <c r="I551" i="18" a="1"/>
  <c r="H551" i="18" a="1"/>
  <c r="K550" i="18" a="1"/>
  <c r="J550" i="18" a="1"/>
  <c r="I550" i="18" a="1"/>
  <c r="H550" i="18" a="1"/>
  <c r="K549" i="18" a="1"/>
  <c r="J549" i="18" a="1"/>
  <c r="I549" i="18" a="1"/>
  <c r="H549" i="18" a="1"/>
  <c r="K548" i="18" a="1"/>
  <c r="J548" i="18" a="1"/>
  <c r="I548" i="18" a="1"/>
  <c r="H548" i="18" a="1"/>
  <c r="K547" i="18" a="1"/>
  <c r="J547" i="18" a="1"/>
  <c r="I547" i="18" a="1"/>
  <c r="H547" i="18" a="1"/>
  <c r="K546" i="18" a="1"/>
  <c r="J546" i="18" a="1"/>
  <c r="I546" i="18" a="1"/>
  <c r="H546" i="18" a="1"/>
  <c r="K545" i="18" a="1"/>
  <c r="J545" i="18" a="1"/>
  <c r="I545" i="18" a="1"/>
  <c r="H545" i="18" a="1"/>
  <c r="K544" i="18" a="1"/>
  <c r="J544" i="18" a="1"/>
  <c r="I544" i="18" a="1"/>
  <c r="H544" i="18" a="1"/>
  <c r="K543" i="18" a="1"/>
  <c r="J543" i="18" a="1"/>
  <c r="I543" i="18" a="1"/>
  <c r="H543" i="18" a="1"/>
  <c r="K542" i="18" a="1"/>
  <c r="J542" i="18" a="1"/>
  <c r="I542" i="18" a="1"/>
  <c r="H542" i="18" a="1"/>
  <c r="K541" i="18" a="1"/>
  <c r="J541" i="18" a="1"/>
  <c r="I541" i="18" a="1"/>
  <c r="H541" i="18" a="1"/>
  <c r="K540" i="18" a="1"/>
  <c r="J540" i="18" a="1"/>
  <c r="I540" i="18" a="1"/>
  <c r="H540" i="18" a="1"/>
  <c r="K539" i="18" a="1"/>
  <c r="J539" i="18" a="1"/>
  <c r="I539" i="18" a="1"/>
  <c r="H539" i="18" a="1"/>
  <c r="K538" i="18" a="1"/>
  <c r="J538" i="18" a="1"/>
  <c r="I538" i="18" a="1"/>
  <c r="H538" i="18" a="1"/>
  <c r="K537" i="18" a="1"/>
  <c r="J537" i="18" a="1"/>
  <c r="I537" i="18" a="1"/>
  <c r="H537" i="18" a="1"/>
  <c r="K536" i="18" a="1"/>
  <c r="J536" i="18" a="1"/>
  <c r="I536" i="18" a="1"/>
  <c r="H536" i="18" a="1"/>
  <c r="K535" i="18" a="1"/>
  <c r="J535" i="18" a="1"/>
  <c r="I535" i="18" a="1"/>
  <c r="H535" i="18" a="1"/>
  <c r="K534" i="18" a="1"/>
  <c r="J534" i="18" a="1"/>
  <c r="I534" i="18" a="1"/>
  <c r="H534" i="18" a="1"/>
  <c r="K533" i="18" a="1"/>
  <c r="J533" i="18" a="1"/>
  <c r="I533" i="18" a="1"/>
  <c r="H533" i="18" a="1"/>
  <c r="K532" i="18" a="1"/>
  <c r="J532" i="18" a="1"/>
  <c r="I532" i="18" a="1"/>
  <c r="H532" i="18" a="1"/>
  <c r="K531" i="18" a="1"/>
  <c r="J531" i="18" a="1"/>
  <c r="I531" i="18" a="1"/>
  <c r="H531" i="18" a="1"/>
  <c r="K530" i="18" a="1"/>
  <c r="J530" i="18" a="1"/>
  <c r="I530" i="18" a="1"/>
  <c r="H530" i="18" a="1"/>
  <c r="K529" i="18" a="1"/>
  <c r="J529" i="18" a="1"/>
  <c r="I529" i="18" a="1"/>
  <c r="H529" i="18" a="1"/>
  <c r="K528" i="18" a="1"/>
  <c r="J528" i="18" a="1"/>
  <c r="I528" i="18" a="1"/>
  <c r="H528" i="18" a="1"/>
  <c r="K527" i="18" a="1"/>
  <c r="J527" i="18" a="1"/>
  <c r="I527" i="18" a="1"/>
  <c r="H527" i="18" a="1"/>
  <c r="K526" i="18" a="1"/>
  <c r="J526" i="18" a="1"/>
  <c r="I526" i="18" a="1"/>
  <c r="H526" i="18" a="1"/>
  <c r="K525" i="18" a="1"/>
  <c r="J525" i="18" a="1"/>
  <c r="I525" i="18" a="1"/>
  <c r="H525" i="18" a="1"/>
  <c r="K524" i="18" a="1"/>
  <c r="J524" i="18" a="1"/>
  <c r="I524" i="18" a="1"/>
  <c r="H524" i="18" a="1"/>
  <c r="K523" i="18" a="1"/>
  <c r="J523" i="18" a="1"/>
  <c r="I523" i="18" a="1"/>
  <c r="H523" i="18" a="1"/>
  <c r="K522" i="18" a="1"/>
  <c r="J522" i="18" a="1"/>
  <c r="I522" i="18" a="1"/>
  <c r="H522" i="18" a="1"/>
  <c r="K521" i="18" a="1"/>
  <c r="J521" i="18" a="1"/>
  <c r="I521" i="18" a="1"/>
  <c r="H521" i="18" a="1"/>
  <c r="K520" i="18" a="1"/>
  <c r="J520" i="18" a="1"/>
  <c r="I520" i="18" a="1"/>
  <c r="H520" i="18" a="1"/>
  <c r="K519" i="18" a="1"/>
  <c r="J519" i="18" a="1"/>
  <c r="I519" i="18" a="1"/>
  <c r="H519" i="18" a="1"/>
  <c r="K518" i="18" a="1"/>
  <c r="J518" i="18" a="1"/>
  <c r="I518" i="18" a="1"/>
  <c r="H518" i="18" a="1"/>
  <c r="K517" i="18" a="1"/>
  <c r="J517" i="18" a="1"/>
  <c r="I517" i="18" a="1"/>
  <c r="H517" i="18" a="1"/>
  <c r="K516" i="18" a="1"/>
  <c r="J516" i="18" a="1"/>
  <c r="I516" i="18" a="1"/>
  <c r="H516" i="18" a="1"/>
  <c r="K515" i="18" a="1"/>
  <c r="J515" i="18" a="1"/>
  <c r="I515" i="18" a="1"/>
  <c r="H515" i="18" a="1"/>
  <c r="K514" i="18" a="1"/>
  <c r="J514" i="18" a="1"/>
  <c r="I514" i="18" a="1"/>
  <c r="H514" i="18" a="1"/>
  <c r="K513" i="18" a="1"/>
  <c r="J513" i="18" a="1"/>
  <c r="I513" i="18" a="1"/>
  <c r="H513" i="18" a="1"/>
  <c r="K512" i="18" a="1"/>
  <c r="J512" i="18" a="1"/>
  <c r="I512" i="18" a="1"/>
  <c r="H512" i="18" a="1"/>
  <c r="K511" i="18" a="1"/>
  <c r="J511" i="18" a="1"/>
  <c r="I511" i="18" a="1"/>
  <c r="H511" i="18" a="1"/>
  <c r="K510" i="18" a="1"/>
  <c r="J510" i="18" a="1"/>
  <c r="I510" i="18" a="1"/>
  <c r="H510" i="18" a="1"/>
  <c r="K509" i="18" a="1"/>
  <c r="J509" i="18" a="1"/>
  <c r="I509" i="18" a="1"/>
  <c r="H509" i="18" a="1"/>
  <c r="K508" i="18" a="1"/>
  <c r="J508" i="18" a="1"/>
  <c r="I508" i="18" a="1"/>
  <c r="H508" i="18" a="1"/>
  <c r="K507" i="18" a="1"/>
  <c r="J507" i="18" a="1"/>
  <c r="I507" i="18" a="1"/>
  <c r="H507" i="18" a="1"/>
  <c r="K506" i="18" a="1"/>
  <c r="J506" i="18" a="1"/>
  <c r="I506" i="18" a="1"/>
  <c r="H506" i="18" a="1"/>
  <c r="K505" i="18" a="1"/>
  <c r="J505" i="18" a="1"/>
  <c r="I505" i="18" a="1"/>
  <c r="H505" i="18" a="1"/>
  <c r="K504" i="18" a="1"/>
  <c r="J504" i="18" a="1"/>
  <c r="I504" i="18" a="1"/>
  <c r="H504" i="18" a="1"/>
  <c r="K503" i="18" a="1"/>
  <c r="J503" i="18" a="1"/>
  <c r="I503" i="18" a="1"/>
  <c r="H503" i="18" a="1"/>
  <c r="K502" i="18" a="1"/>
  <c r="J502" i="18" a="1"/>
  <c r="I502" i="18" a="1"/>
  <c r="H502" i="18" a="1"/>
  <c r="K501" i="18" a="1"/>
  <c r="J501" i="18" a="1"/>
  <c r="I501" i="18" a="1"/>
  <c r="H501" i="18" a="1"/>
  <c r="K500" i="18" a="1"/>
  <c r="J500" i="18" a="1"/>
  <c r="I500" i="18" a="1"/>
  <c r="H500" i="18" a="1"/>
  <c r="K499" i="18" a="1"/>
  <c r="J499" i="18" a="1"/>
  <c r="I499" i="18" a="1"/>
  <c r="H499" i="18" a="1"/>
  <c r="K498" i="18" a="1"/>
  <c r="J498" i="18" a="1"/>
  <c r="I498" i="18" a="1"/>
  <c r="H498" i="18" a="1"/>
  <c r="K497" i="18" a="1"/>
  <c r="J497" i="18" a="1"/>
  <c r="I497" i="18" a="1"/>
  <c r="H497" i="18" a="1"/>
  <c r="K496" i="18" a="1"/>
  <c r="J496" i="18" a="1"/>
  <c r="I496" i="18" a="1"/>
  <c r="H496" i="18" a="1"/>
  <c r="K495" i="18" a="1"/>
  <c r="J495" i="18" a="1"/>
  <c r="I495" i="18" a="1"/>
  <c r="H495" i="18" a="1"/>
  <c r="K494" i="18" a="1"/>
  <c r="J494" i="18" a="1"/>
  <c r="I494" i="18" a="1"/>
  <c r="H494" i="18" a="1"/>
  <c r="K493" i="18" a="1"/>
  <c r="J493" i="18" a="1"/>
  <c r="I493" i="18" a="1"/>
  <c r="H493" i="18" a="1"/>
  <c r="K492" i="18" a="1"/>
  <c r="J492" i="18" a="1"/>
  <c r="I492" i="18" a="1"/>
  <c r="H492" i="18" a="1"/>
  <c r="K491" i="18" a="1"/>
  <c r="J491" i="18" a="1"/>
  <c r="I491" i="18" a="1"/>
  <c r="H491" i="18" a="1"/>
  <c r="K490" i="18" a="1"/>
  <c r="J490" i="18" a="1"/>
  <c r="I490" i="18" a="1"/>
  <c r="H490" i="18" a="1"/>
  <c r="K489" i="18" a="1"/>
  <c r="J489" i="18" a="1"/>
  <c r="I489" i="18" a="1"/>
  <c r="H489" i="18" a="1"/>
  <c r="K488" i="18" a="1"/>
  <c r="J488" i="18" a="1"/>
  <c r="I488" i="18" a="1"/>
  <c r="H488" i="18" a="1"/>
  <c r="K487" i="18" a="1"/>
  <c r="J487" i="18" a="1"/>
  <c r="I487" i="18" a="1"/>
  <c r="H487" i="18" a="1"/>
  <c r="K486" i="18" a="1"/>
  <c r="J486" i="18" a="1"/>
  <c r="I486" i="18" a="1"/>
  <c r="H486" i="18" a="1"/>
  <c r="K485" i="18" a="1"/>
  <c r="J485" i="18" a="1"/>
  <c r="I485" i="18" a="1"/>
  <c r="H485" i="18" a="1"/>
  <c r="K484" i="18" a="1"/>
  <c r="J484" i="18" a="1"/>
  <c r="I484" i="18" a="1"/>
  <c r="H484" i="18" a="1"/>
  <c r="K483" i="18" a="1"/>
  <c r="J483" i="18" a="1"/>
  <c r="I483" i="18" a="1"/>
  <c r="H483" i="18" a="1"/>
  <c r="K482" i="18" a="1"/>
  <c r="J482" i="18" a="1"/>
  <c r="I482" i="18" a="1"/>
  <c r="H482" i="18" a="1"/>
  <c r="K481" i="18" a="1"/>
  <c r="J481" i="18" a="1"/>
  <c r="I481" i="18" a="1"/>
  <c r="H481" i="18" a="1"/>
  <c r="K480" i="18" a="1"/>
  <c r="J480" i="18" a="1"/>
  <c r="I480" i="18" a="1"/>
  <c r="H480" i="18" a="1"/>
  <c r="K479" i="18" a="1"/>
  <c r="J479" i="18" a="1"/>
  <c r="I479" i="18" a="1"/>
  <c r="H479" i="18" a="1"/>
  <c r="K478" i="18" a="1"/>
  <c r="J478" i="18" a="1"/>
  <c r="I478" i="18" a="1"/>
  <c r="H478" i="18" a="1"/>
  <c r="K477" i="18" a="1"/>
  <c r="J477" i="18" a="1"/>
  <c r="I477" i="18" a="1"/>
  <c r="H477" i="18" a="1"/>
  <c r="K476" i="18" a="1"/>
  <c r="J476" i="18" a="1"/>
  <c r="I476" i="18" a="1"/>
  <c r="H476" i="18" a="1"/>
  <c r="K475" i="18" a="1"/>
  <c r="J475" i="18" a="1"/>
  <c r="I475" i="18" a="1"/>
  <c r="H475" i="18" a="1"/>
  <c r="K474" i="18" a="1"/>
  <c r="J474" i="18" a="1"/>
  <c r="I474" i="18" a="1"/>
  <c r="H474" i="18" a="1"/>
  <c r="K473" i="18" a="1"/>
  <c r="J473" i="18" a="1"/>
  <c r="I473" i="18" a="1"/>
  <c r="H473" i="18" a="1"/>
  <c r="K472" i="18" a="1"/>
  <c r="J472" i="18" a="1"/>
  <c r="I472" i="18" a="1"/>
  <c r="H472" i="18" a="1"/>
  <c r="K471" i="18" a="1"/>
  <c r="J471" i="18" a="1"/>
  <c r="I471" i="18" a="1"/>
  <c r="H471" i="18" a="1"/>
  <c r="K470" i="18" a="1"/>
  <c r="J470" i="18" a="1"/>
  <c r="I470" i="18" a="1"/>
  <c r="H470" i="18" a="1"/>
  <c r="K469" i="18" a="1"/>
  <c r="J469" i="18" a="1"/>
  <c r="I469" i="18" a="1"/>
  <c r="H469" i="18" a="1"/>
  <c r="K468" i="18" a="1"/>
  <c r="J468" i="18" a="1"/>
  <c r="I468" i="18" a="1"/>
  <c r="H468" i="18" a="1"/>
  <c r="K467" i="18" a="1"/>
  <c r="J467" i="18" a="1"/>
  <c r="I467" i="18" a="1"/>
  <c r="H467" i="18" a="1"/>
  <c r="K466" i="18" a="1"/>
  <c r="J466" i="18" a="1"/>
  <c r="I466" i="18" a="1"/>
  <c r="H466" i="18" a="1"/>
  <c r="K465" i="18" a="1"/>
  <c r="J465" i="18" a="1"/>
  <c r="I465" i="18" a="1"/>
  <c r="H465" i="18" a="1"/>
  <c r="K464" i="18" a="1"/>
  <c r="J464" i="18" a="1"/>
  <c r="I464" i="18" a="1"/>
  <c r="H464" i="18" a="1"/>
  <c r="K463" i="18" a="1"/>
  <c r="J463" i="18" a="1"/>
  <c r="I463" i="18" a="1"/>
  <c r="H463" i="18" a="1"/>
  <c r="K462" i="18" a="1"/>
  <c r="J462" i="18" a="1"/>
  <c r="I462" i="18" a="1"/>
  <c r="H462" i="18" a="1"/>
  <c r="K461" i="18" a="1"/>
  <c r="J461" i="18" a="1"/>
  <c r="I461" i="18" a="1"/>
  <c r="H461" i="18" a="1"/>
  <c r="K460" i="18" a="1"/>
  <c r="J460" i="18" a="1"/>
  <c r="I460" i="18" a="1"/>
  <c r="H460" i="18" a="1"/>
  <c r="K459" i="18" a="1"/>
  <c r="J459" i="18" a="1"/>
  <c r="I459" i="18" a="1"/>
  <c r="H459" i="18" a="1"/>
  <c r="K458" i="18" a="1"/>
  <c r="J458" i="18" a="1"/>
  <c r="I458" i="18" a="1"/>
  <c r="H458" i="18" a="1"/>
  <c r="K457" i="18" a="1"/>
  <c r="J457" i="18" a="1"/>
  <c r="I457" i="18" a="1"/>
  <c r="H457" i="18" a="1"/>
  <c r="K456" i="18" a="1"/>
  <c r="J456" i="18" a="1"/>
  <c r="I456" i="18" a="1"/>
  <c r="H456" i="18" a="1"/>
  <c r="K455" i="18" a="1"/>
  <c r="J455" i="18" a="1"/>
  <c r="I455" i="18" a="1"/>
  <c r="H455" i="18" a="1"/>
  <c r="K454" i="18" a="1"/>
  <c r="J454" i="18" a="1"/>
  <c r="I454" i="18" a="1"/>
  <c r="H454" i="18" a="1"/>
  <c r="K453" i="18" a="1"/>
  <c r="J453" i="18" a="1"/>
  <c r="I453" i="18" a="1"/>
  <c r="H453" i="18" a="1"/>
  <c r="K452" i="18" a="1"/>
  <c r="J452" i="18" a="1"/>
  <c r="I452" i="18" a="1"/>
  <c r="H452" i="18" a="1"/>
  <c r="K451" i="18" a="1"/>
  <c r="J451" i="18" a="1"/>
  <c r="I451" i="18" a="1"/>
  <c r="H451" i="18" a="1"/>
  <c r="K450" i="18" a="1"/>
  <c r="J450" i="18" a="1"/>
  <c r="I450" i="18" a="1"/>
  <c r="H450" i="18" a="1"/>
  <c r="K449" i="18" a="1"/>
  <c r="J449" i="18" a="1"/>
  <c r="I449" i="18" a="1"/>
  <c r="H449" i="18" a="1"/>
  <c r="K448" i="18" a="1"/>
  <c r="J448" i="18" a="1"/>
  <c r="I448" i="18" a="1"/>
  <c r="H448" i="18" a="1"/>
  <c r="K447" i="18" a="1"/>
  <c r="J447" i="18" a="1"/>
  <c r="I447" i="18" a="1"/>
  <c r="H447" i="18" a="1"/>
  <c r="K446" i="18" a="1"/>
  <c r="J446" i="18" a="1"/>
  <c r="I446" i="18" a="1"/>
  <c r="H446" i="18" a="1"/>
  <c r="K445" i="18" a="1"/>
  <c r="J445" i="18" a="1"/>
  <c r="I445" i="18" a="1"/>
  <c r="H445" i="18" a="1"/>
  <c r="K444" i="18" a="1"/>
  <c r="J444" i="18" a="1"/>
  <c r="I444" i="18" a="1"/>
  <c r="H444" i="18" a="1"/>
  <c r="K443" i="18" a="1"/>
  <c r="J443" i="18" a="1"/>
  <c r="I443" i="18" a="1"/>
  <c r="H443" i="18" a="1"/>
  <c r="K442" i="18" a="1"/>
  <c r="J442" i="18" a="1"/>
  <c r="I442" i="18" a="1"/>
  <c r="H442" i="18" a="1"/>
  <c r="K441" i="18" a="1"/>
  <c r="J441" i="18" a="1"/>
  <c r="I441" i="18" a="1"/>
  <c r="H441" i="18" a="1"/>
  <c r="K440" i="18" a="1"/>
  <c r="J440" i="18" a="1"/>
  <c r="I440" i="18" a="1"/>
  <c r="H440" i="18" a="1"/>
  <c r="K439" i="18" a="1"/>
  <c r="J439" i="18" a="1"/>
  <c r="I439" i="18" a="1"/>
  <c r="H439" i="18" a="1"/>
  <c r="K438" i="18" a="1"/>
  <c r="J438" i="18" a="1"/>
  <c r="I438" i="18" a="1"/>
  <c r="H438" i="18" a="1"/>
  <c r="K437" i="18" a="1"/>
  <c r="J437" i="18" a="1"/>
  <c r="I437" i="18" a="1"/>
  <c r="H437" i="18" a="1"/>
  <c r="K436" i="18" a="1"/>
  <c r="J436" i="18" a="1"/>
  <c r="I436" i="18" a="1"/>
  <c r="H436" i="18" a="1"/>
  <c r="K435" i="18" a="1"/>
  <c r="J435" i="18" a="1"/>
  <c r="I435" i="18" a="1"/>
  <c r="H435" i="18" a="1"/>
  <c r="K434" i="18" a="1"/>
  <c r="J434" i="18" a="1"/>
  <c r="I434" i="18" a="1"/>
  <c r="H434" i="18" a="1"/>
  <c r="K433" i="18" a="1"/>
  <c r="J433" i="18" a="1"/>
  <c r="I433" i="18" a="1"/>
  <c r="H433" i="18" a="1"/>
  <c r="K432" i="18" a="1"/>
  <c r="J432" i="18" a="1"/>
  <c r="I432" i="18" a="1"/>
  <c r="H432" i="18" a="1"/>
  <c r="K431" i="18" a="1"/>
  <c r="J431" i="18" a="1"/>
  <c r="I431" i="18" a="1"/>
  <c r="H431" i="18" a="1"/>
  <c r="K430" i="18" a="1"/>
  <c r="J430" i="18" a="1"/>
  <c r="I430" i="18" a="1"/>
  <c r="H430" i="18" a="1"/>
  <c r="K429" i="18" a="1"/>
  <c r="J429" i="18" a="1"/>
  <c r="I429" i="18" a="1"/>
  <c r="H429" i="18" a="1"/>
  <c r="K428" i="18" a="1"/>
  <c r="J428" i="18" a="1"/>
  <c r="I428" i="18" a="1"/>
  <c r="H428" i="18" a="1"/>
  <c r="K427" i="18" a="1"/>
  <c r="J427" i="18" a="1"/>
  <c r="I427" i="18" a="1"/>
  <c r="H427" i="18" a="1"/>
  <c r="K426" i="18" a="1"/>
  <c r="J426" i="18" a="1"/>
  <c r="I426" i="18" a="1"/>
  <c r="H426" i="18" a="1"/>
  <c r="K425" i="18" a="1"/>
  <c r="J425" i="18" a="1"/>
  <c r="I425" i="18" a="1"/>
  <c r="H425" i="18" a="1"/>
  <c r="K424" i="18" a="1"/>
  <c r="J424" i="18" a="1"/>
  <c r="I424" i="18" a="1"/>
  <c r="H424" i="18" a="1"/>
  <c r="K423" i="18" a="1"/>
  <c r="J423" i="18" a="1"/>
  <c r="I423" i="18" a="1"/>
  <c r="H423" i="18" a="1"/>
  <c r="K422" i="18" a="1"/>
  <c r="J422" i="18" a="1"/>
  <c r="I422" i="18" a="1"/>
  <c r="H422" i="18" a="1"/>
  <c r="K421" i="18" a="1"/>
  <c r="J421" i="18" a="1"/>
  <c r="I421" i="18" a="1"/>
  <c r="H421" i="18" a="1"/>
  <c r="K420" i="18" a="1"/>
  <c r="J420" i="18" a="1"/>
  <c r="I420" i="18" a="1"/>
  <c r="H420" i="18" a="1"/>
  <c r="K419" i="18" a="1"/>
  <c r="J419" i="18" a="1"/>
  <c r="I419" i="18" a="1"/>
  <c r="H419" i="18" a="1"/>
  <c r="K418" i="18" a="1"/>
  <c r="J418" i="18" a="1"/>
  <c r="I418" i="18" a="1"/>
  <c r="H418" i="18" a="1"/>
  <c r="K417" i="18" a="1"/>
  <c r="J417" i="18" a="1"/>
  <c r="I417" i="18" a="1"/>
  <c r="H417" i="18" a="1"/>
  <c r="K416" i="18" a="1"/>
  <c r="J416" i="18" a="1"/>
  <c r="I416" i="18" a="1"/>
  <c r="H416" i="18" a="1"/>
  <c r="K415" i="18" a="1"/>
  <c r="J415" i="18" a="1"/>
  <c r="I415" i="18" a="1"/>
  <c r="H415" i="18" a="1"/>
  <c r="K414" i="18" a="1"/>
  <c r="J414" i="18" a="1"/>
  <c r="I414" i="18" a="1"/>
  <c r="H414" i="18" a="1"/>
  <c r="K413" i="18" a="1"/>
  <c r="J413" i="18" a="1"/>
  <c r="I413" i="18" a="1"/>
  <c r="H413" i="18" a="1"/>
  <c r="K412" i="18" a="1"/>
  <c r="J412" i="18" a="1"/>
  <c r="I412" i="18" a="1"/>
  <c r="H412" i="18" a="1"/>
  <c r="K411" i="18" a="1"/>
  <c r="J411" i="18" a="1"/>
  <c r="I411" i="18" a="1"/>
  <c r="H411" i="18" a="1"/>
  <c r="K410" i="18" a="1"/>
  <c r="J410" i="18" a="1"/>
  <c r="I410" i="18" a="1"/>
  <c r="H410" i="18" a="1"/>
  <c r="K409" i="18" a="1"/>
  <c r="J409" i="18" a="1"/>
  <c r="I409" i="18" a="1"/>
  <c r="H409" i="18" a="1"/>
  <c r="K408" i="18" a="1"/>
  <c r="J408" i="18" a="1"/>
  <c r="I408" i="18" a="1"/>
  <c r="H408" i="18" a="1"/>
  <c r="K407" i="18" a="1"/>
  <c r="J407" i="18" a="1"/>
  <c r="I407" i="18" a="1"/>
  <c r="H407" i="18" a="1"/>
  <c r="K406" i="18" a="1"/>
  <c r="J406" i="18" a="1"/>
  <c r="I406" i="18" a="1"/>
  <c r="H406" i="18" a="1"/>
  <c r="K405" i="18" a="1"/>
  <c r="J405" i="18" a="1"/>
  <c r="I405" i="18" a="1"/>
  <c r="H405" i="18" a="1"/>
  <c r="K404" i="18" a="1"/>
  <c r="J404" i="18" a="1"/>
  <c r="I404" i="18" a="1"/>
  <c r="H404" i="18" a="1"/>
  <c r="K403" i="18" a="1"/>
  <c r="J403" i="18" a="1"/>
  <c r="I403" i="18" a="1"/>
  <c r="H403" i="18" a="1"/>
  <c r="K402" i="18" a="1"/>
  <c r="J402" i="18" a="1"/>
  <c r="I402" i="18" a="1"/>
  <c r="H402" i="18" a="1"/>
  <c r="K401" i="18" a="1"/>
  <c r="J401" i="18" a="1"/>
  <c r="I401" i="18" a="1"/>
  <c r="H401" i="18" a="1"/>
  <c r="K400" i="18" a="1"/>
  <c r="J400" i="18" a="1"/>
  <c r="I400" i="18" a="1"/>
  <c r="H400" i="18" a="1"/>
  <c r="K399" i="18" a="1"/>
  <c r="J399" i="18" a="1"/>
  <c r="I399" i="18" a="1"/>
  <c r="H399" i="18" a="1"/>
  <c r="K398" i="18" a="1"/>
  <c r="J398" i="18" a="1"/>
  <c r="I398" i="18" a="1"/>
  <c r="H398" i="18" a="1"/>
  <c r="K397" i="18" a="1"/>
  <c r="J397" i="18" a="1"/>
  <c r="I397" i="18" a="1"/>
  <c r="H397" i="18" a="1"/>
  <c r="K396" i="18" a="1"/>
  <c r="J396" i="18" a="1"/>
  <c r="I396" i="18" a="1"/>
  <c r="H396" i="18" a="1"/>
  <c r="K395" i="18" a="1"/>
  <c r="J395" i="18" a="1"/>
  <c r="I395" i="18" a="1"/>
  <c r="H395" i="18" a="1"/>
  <c r="K394" i="18" a="1"/>
  <c r="J394" i="18" a="1"/>
  <c r="I394" i="18" a="1"/>
  <c r="H394" i="18" a="1"/>
  <c r="K393" i="18" a="1"/>
  <c r="J393" i="18" a="1"/>
  <c r="I393" i="18" a="1"/>
  <c r="H393" i="18" a="1"/>
  <c r="K392" i="18" a="1"/>
  <c r="J392" i="18" a="1"/>
  <c r="I392" i="18" a="1"/>
  <c r="H392" i="18" a="1"/>
  <c r="K391" i="18" a="1"/>
  <c r="J391" i="18" a="1"/>
  <c r="I391" i="18" a="1"/>
  <c r="H391" i="18" a="1"/>
  <c r="K390" i="18" a="1"/>
  <c r="J390" i="18" a="1"/>
  <c r="I390" i="18" a="1"/>
  <c r="H390" i="18" a="1"/>
  <c r="K389" i="18" a="1"/>
  <c r="J389" i="18" a="1"/>
  <c r="I389" i="18" a="1"/>
  <c r="H389" i="18" a="1"/>
  <c r="K388" i="18" a="1"/>
  <c r="J388" i="18" a="1"/>
  <c r="I388" i="18" a="1"/>
  <c r="H388" i="18" a="1"/>
  <c r="K387" i="18" a="1"/>
  <c r="J387" i="18" a="1"/>
  <c r="I387" i="18" a="1"/>
  <c r="H387" i="18" a="1"/>
  <c r="K386" i="18" a="1"/>
  <c r="J386" i="18" a="1"/>
  <c r="I386" i="18" a="1"/>
  <c r="H386" i="18" a="1"/>
  <c r="K385" i="18" a="1"/>
  <c r="J385" i="18" a="1"/>
  <c r="I385" i="18" a="1"/>
  <c r="H385" i="18" a="1"/>
  <c r="K384" i="18" a="1"/>
  <c r="J384" i="18" a="1"/>
  <c r="I384" i="18" a="1"/>
  <c r="H384" i="18" a="1"/>
  <c r="K383" i="18" a="1"/>
  <c r="J383" i="18" a="1"/>
  <c r="I383" i="18" a="1"/>
  <c r="H383" i="18" a="1"/>
  <c r="K382" i="18" a="1"/>
  <c r="J382" i="18" a="1"/>
  <c r="I382" i="18" a="1"/>
  <c r="H382" i="18" a="1"/>
  <c r="K381" i="18" a="1"/>
  <c r="J381" i="18" a="1"/>
  <c r="I381" i="18" a="1"/>
  <c r="H381" i="18" a="1"/>
  <c r="K380" i="18" a="1"/>
  <c r="J380" i="18" a="1"/>
  <c r="I380" i="18" a="1"/>
  <c r="H380" i="18" a="1"/>
  <c r="K379" i="18" a="1"/>
  <c r="J379" i="18" a="1"/>
  <c r="I379" i="18" a="1"/>
  <c r="H379" i="18" a="1"/>
  <c r="K378" i="18" a="1"/>
  <c r="J378" i="18" a="1"/>
  <c r="I378" i="18" a="1"/>
  <c r="H378" i="18" a="1"/>
  <c r="K377" i="18" a="1"/>
  <c r="J377" i="18" a="1"/>
  <c r="I377" i="18" a="1"/>
  <c r="H377" i="18" a="1"/>
  <c r="K376" i="18" a="1"/>
  <c r="J376" i="18" a="1"/>
  <c r="I376" i="18" a="1"/>
  <c r="H376" i="18" a="1"/>
  <c r="K375" i="18" a="1"/>
  <c r="J375" i="18" a="1"/>
  <c r="I375" i="18" a="1"/>
  <c r="H375" i="18" a="1"/>
  <c r="K374" i="18" a="1"/>
  <c r="J374" i="18" a="1"/>
  <c r="I374" i="18" a="1"/>
  <c r="H374" i="18" a="1"/>
  <c r="K373" i="18" a="1"/>
  <c r="J373" i="18" a="1"/>
  <c r="I373" i="18" a="1"/>
  <c r="H373" i="18" a="1"/>
  <c r="K372" i="18" a="1"/>
  <c r="J372" i="18" a="1"/>
  <c r="I372" i="18" a="1"/>
  <c r="H372" i="18" a="1"/>
  <c r="K371" i="18" a="1"/>
  <c r="J371" i="18" a="1"/>
  <c r="I371" i="18" a="1"/>
  <c r="H371" i="18" a="1"/>
  <c r="K370" i="18" a="1"/>
  <c r="J370" i="18" a="1"/>
  <c r="I370" i="18" a="1"/>
  <c r="H370" i="18" a="1"/>
  <c r="K369" i="18" a="1"/>
  <c r="J369" i="18" a="1"/>
  <c r="I369" i="18" a="1"/>
  <c r="H369" i="18" a="1"/>
  <c r="K368" i="18" a="1"/>
  <c r="J368" i="18" a="1"/>
  <c r="I368" i="18" a="1"/>
  <c r="H368" i="18" a="1"/>
  <c r="K367" i="18" a="1"/>
  <c r="J367" i="18" a="1"/>
  <c r="I367" i="18" a="1"/>
  <c r="H367" i="18" a="1"/>
  <c r="K366" i="18" a="1"/>
  <c r="J366" i="18" a="1"/>
  <c r="I366" i="18" a="1"/>
  <c r="H366" i="18" a="1"/>
  <c r="K365" i="18" a="1"/>
  <c r="J365" i="18" a="1"/>
  <c r="I365" i="18" a="1"/>
  <c r="H365" i="18" a="1"/>
  <c r="K364" i="18" a="1"/>
  <c r="J364" i="18" a="1"/>
  <c r="I364" i="18" a="1"/>
  <c r="H364" i="18" a="1"/>
  <c r="K363" i="18" a="1"/>
  <c r="J363" i="18" a="1"/>
  <c r="I363" i="18" a="1"/>
  <c r="H363" i="18" a="1"/>
  <c r="K362" i="18" a="1"/>
  <c r="J362" i="18" a="1"/>
  <c r="I362" i="18" a="1"/>
  <c r="H362" i="18" a="1"/>
  <c r="K361" i="18" a="1"/>
  <c r="J361" i="18" a="1"/>
  <c r="I361" i="18" a="1"/>
  <c r="H361" i="18" a="1"/>
  <c r="K360" i="18" a="1"/>
  <c r="J360" i="18" a="1"/>
  <c r="I360" i="18" a="1"/>
  <c r="H360" i="18" a="1"/>
  <c r="K359" i="18" a="1"/>
  <c r="J359" i="18" a="1"/>
  <c r="I359" i="18" a="1"/>
  <c r="H359" i="18" a="1"/>
  <c r="K358" i="18" a="1"/>
  <c r="J358" i="18" a="1"/>
  <c r="I358" i="18" a="1"/>
  <c r="H358" i="18" a="1"/>
  <c r="K357" i="18" a="1"/>
  <c r="J357" i="18" a="1"/>
  <c r="I357" i="18" a="1"/>
  <c r="H357" i="18" a="1"/>
  <c r="K356" i="18" a="1"/>
  <c r="J356" i="18" a="1"/>
  <c r="I356" i="18" a="1"/>
  <c r="H356" i="18" a="1"/>
  <c r="K355" i="18" a="1"/>
  <c r="J355" i="18" a="1"/>
  <c r="I355" i="18" a="1"/>
  <c r="H355" i="18" a="1"/>
  <c r="K354" i="18" a="1"/>
  <c r="J354" i="18" a="1"/>
  <c r="I354" i="18" a="1"/>
  <c r="H354" i="18" a="1"/>
  <c r="K353" i="18" a="1"/>
  <c r="J353" i="18" a="1"/>
  <c r="I353" i="18" a="1"/>
  <c r="H353" i="18" a="1"/>
  <c r="K352" i="18" a="1"/>
  <c r="J352" i="18" a="1"/>
  <c r="I352" i="18" a="1"/>
  <c r="H352" i="18" a="1"/>
  <c r="K351" i="18" a="1"/>
  <c r="J351" i="18" a="1"/>
  <c r="I351" i="18" a="1"/>
  <c r="H351" i="18" a="1"/>
  <c r="K350" i="18" a="1"/>
  <c r="J350" i="18" a="1"/>
  <c r="I350" i="18" a="1"/>
  <c r="H350" i="18" a="1"/>
  <c r="K349" i="18" a="1"/>
  <c r="J349" i="18" a="1"/>
  <c r="I349" i="18" a="1"/>
  <c r="H349" i="18" a="1"/>
  <c r="K348" i="18" a="1"/>
  <c r="J348" i="18" a="1"/>
  <c r="I348" i="18" a="1"/>
  <c r="H348" i="18" a="1"/>
  <c r="K347" i="18" a="1"/>
  <c r="J347" i="18" a="1"/>
  <c r="I347" i="18" a="1"/>
  <c r="H347" i="18" a="1"/>
  <c r="K346" i="18" a="1"/>
  <c r="J346" i="18" a="1"/>
  <c r="I346" i="18" a="1"/>
  <c r="H346" i="18" a="1"/>
  <c r="K345" i="18" a="1"/>
  <c r="J345" i="18" a="1"/>
  <c r="I345" i="18" a="1"/>
  <c r="H345" i="18" a="1"/>
  <c r="K344" i="18" a="1"/>
  <c r="J344" i="18" a="1"/>
  <c r="I344" i="18" a="1"/>
  <c r="H344" i="18" a="1"/>
  <c r="K343" i="18" a="1"/>
  <c r="J343" i="18" a="1"/>
  <c r="I343" i="18" a="1"/>
  <c r="H343" i="18" a="1"/>
  <c r="K342" i="18" a="1"/>
  <c r="J342" i="18" a="1"/>
  <c r="I342" i="18" a="1"/>
  <c r="H342" i="18" a="1"/>
  <c r="K341" i="18" a="1"/>
  <c r="J341" i="18" a="1"/>
  <c r="I341" i="18" a="1"/>
  <c r="H341" i="18" a="1"/>
  <c r="K340" i="18" a="1"/>
  <c r="J340" i="18" a="1"/>
  <c r="I340" i="18" a="1"/>
  <c r="H340" i="18" a="1"/>
  <c r="K339" i="18" a="1"/>
  <c r="J339" i="18" a="1"/>
  <c r="I339" i="18" a="1"/>
  <c r="H339" i="18" a="1"/>
  <c r="K338" i="18" a="1"/>
  <c r="J338" i="18" a="1"/>
  <c r="I338" i="18" a="1"/>
  <c r="H338" i="18" a="1"/>
  <c r="K337" i="18" a="1"/>
  <c r="J337" i="18" a="1"/>
  <c r="I337" i="18" a="1"/>
  <c r="H337" i="18" a="1"/>
  <c r="K336" i="18" a="1"/>
  <c r="J336" i="18" a="1"/>
  <c r="I336" i="18" a="1"/>
  <c r="H336" i="18" a="1"/>
  <c r="K335" i="18" a="1"/>
  <c r="J335" i="18" a="1"/>
  <c r="I335" i="18" a="1"/>
  <c r="H335" i="18" a="1"/>
  <c r="K334" i="18" a="1"/>
  <c r="J334" i="18" a="1"/>
  <c r="I334" i="18" a="1"/>
  <c r="H334" i="18" a="1"/>
  <c r="K333" i="18" a="1"/>
  <c r="J333" i="18" a="1"/>
  <c r="I333" i="18" a="1"/>
  <c r="H333" i="18" a="1"/>
  <c r="K332" i="18" a="1"/>
  <c r="J332" i="18" a="1"/>
  <c r="I332" i="18" a="1"/>
  <c r="H332" i="18" a="1"/>
  <c r="K331" i="18" a="1"/>
  <c r="J331" i="18" a="1"/>
  <c r="I331" i="18" a="1"/>
  <c r="H331" i="18" a="1"/>
  <c r="K330" i="18" a="1"/>
  <c r="J330" i="18" a="1"/>
  <c r="I330" i="18" a="1"/>
  <c r="H330" i="18" a="1"/>
  <c r="K329" i="18" a="1"/>
  <c r="J329" i="18" a="1"/>
  <c r="I329" i="18" a="1"/>
  <c r="H329" i="18" a="1"/>
  <c r="K328" i="18" a="1"/>
  <c r="J328" i="18" a="1"/>
  <c r="I328" i="18" a="1"/>
  <c r="H328" i="18" a="1"/>
  <c r="K327" i="18" a="1"/>
  <c r="J327" i="18" a="1"/>
  <c r="I327" i="18" a="1"/>
  <c r="H327" i="18" a="1"/>
  <c r="K326" i="18" a="1"/>
  <c r="J326" i="18" a="1"/>
  <c r="I326" i="18" a="1"/>
  <c r="H326" i="18" a="1"/>
  <c r="K325" i="18" a="1"/>
  <c r="J325" i="18" a="1"/>
  <c r="I325" i="18" a="1"/>
  <c r="H325" i="18" a="1"/>
  <c r="K324" i="18" a="1"/>
  <c r="J324" i="18" a="1"/>
  <c r="I324" i="18" a="1"/>
  <c r="H324" i="18" a="1"/>
  <c r="K323" i="18" a="1"/>
  <c r="J323" i="18" a="1"/>
  <c r="I323" i="18" a="1"/>
  <c r="H323" i="18" a="1"/>
  <c r="K322" i="18" a="1"/>
  <c r="J322" i="18" a="1"/>
  <c r="I322" i="18" a="1"/>
  <c r="H322" i="18" a="1"/>
  <c r="K321" i="18" a="1"/>
  <c r="J321" i="18" a="1"/>
  <c r="I321" i="18" a="1"/>
  <c r="H321" i="18" a="1"/>
  <c r="K320" i="18" a="1"/>
  <c r="J320" i="18" a="1"/>
  <c r="I320" i="18" a="1"/>
  <c r="H320" i="18" a="1"/>
  <c r="K319" i="18" a="1"/>
  <c r="J319" i="18" a="1"/>
  <c r="I319" i="18" a="1"/>
  <c r="H319" i="18" a="1"/>
  <c r="K318" i="18" a="1"/>
  <c r="J318" i="18" a="1"/>
  <c r="I318" i="18" a="1"/>
  <c r="H318" i="18" a="1"/>
  <c r="K317" i="18" a="1"/>
  <c r="J317" i="18" a="1"/>
  <c r="I317" i="18" a="1"/>
  <c r="H317" i="18" a="1"/>
  <c r="K316" i="18" a="1"/>
  <c r="J316" i="18" a="1"/>
  <c r="I316" i="18" a="1"/>
  <c r="H316" i="18" a="1"/>
  <c r="K315" i="18" a="1"/>
  <c r="J315" i="18" a="1"/>
  <c r="I315" i="18" a="1"/>
  <c r="H315" i="18" a="1"/>
  <c r="K314" i="18" a="1"/>
  <c r="J314" i="18" a="1"/>
  <c r="I314" i="18" a="1"/>
  <c r="H314" i="18" a="1"/>
  <c r="K313" i="18" a="1"/>
  <c r="J313" i="18" a="1"/>
  <c r="I313" i="18" a="1"/>
  <c r="H313" i="18" a="1"/>
  <c r="K312" i="18" a="1"/>
  <c r="J312" i="18" a="1"/>
  <c r="I312" i="18" a="1"/>
  <c r="H312" i="18" a="1"/>
  <c r="K311" i="18" a="1"/>
  <c r="J311" i="18" a="1"/>
  <c r="I311" i="18" a="1"/>
  <c r="H311" i="18" a="1"/>
  <c r="K310" i="18" a="1"/>
  <c r="J310" i="18" a="1"/>
  <c r="I310" i="18" a="1"/>
  <c r="H310" i="18" a="1"/>
  <c r="K309" i="18" a="1"/>
  <c r="J309" i="18" a="1"/>
  <c r="I309" i="18" a="1"/>
  <c r="H309" i="18" a="1"/>
  <c r="K308" i="18" a="1"/>
  <c r="J308" i="18" a="1"/>
  <c r="I308" i="18" a="1"/>
  <c r="H308" i="18" a="1"/>
  <c r="K307" i="18" a="1"/>
  <c r="J307" i="18" a="1"/>
  <c r="I307" i="18" a="1"/>
  <c r="H307" i="18" a="1"/>
  <c r="K306" i="18" a="1"/>
  <c r="J306" i="18" a="1"/>
  <c r="I306" i="18" a="1"/>
  <c r="H306" i="18" a="1"/>
  <c r="K305" i="18" a="1"/>
  <c r="J305" i="18" a="1"/>
  <c r="I305" i="18" a="1"/>
  <c r="H305" i="18" a="1"/>
  <c r="K304" i="18" a="1"/>
  <c r="J304" i="18" a="1"/>
  <c r="I304" i="18" a="1"/>
  <c r="H304" i="18" a="1"/>
  <c r="K303" i="18" a="1"/>
  <c r="J303" i="18" a="1"/>
  <c r="I303" i="18" a="1"/>
  <c r="H303" i="18" a="1"/>
  <c r="K302" i="18" a="1"/>
  <c r="J302" i="18" a="1"/>
  <c r="I302" i="18" a="1"/>
  <c r="H302" i="18" a="1"/>
  <c r="K301" i="18" a="1"/>
  <c r="J301" i="18" a="1"/>
  <c r="I301" i="18" a="1"/>
  <c r="H301" i="18" a="1"/>
  <c r="K300" i="18" a="1"/>
  <c r="J300" i="18" a="1"/>
  <c r="I300" i="18" a="1"/>
  <c r="H300" i="18" a="1"/>
  <c r="K299" i="18" a="1"/>
  <c r="J299" i="18" a="1"/>
  <c r="I299" i="18" a="1"/>
  <c r="H299" i="18" a="1"/>
  <c r="K298" i="18" a="1"/>
  <c r="J298" i="18" a="1"/>
  <c r="I298" i="18" a="1"/>
  <c r="H298" i="18" a="1"/>
  <c r="K297" i="18" a="1"/>
  <c r="J297" i="18" a="1"/>
  <c r="I297" i="18" a="1"/>
  <c r="H297" i="18" a="1"/>
  <c r="K296" i="18" a="1"/>
  <c r="J296" i="18" a="1"/>
  <c r="I296" i="18" a="1"/>
  <c r="H296" i="18" a="1"/>
  <c r="K295" i="18" a="1"/>
  <c r="J295" i="18" a="1"/>
  <c r="I295" i="18" a="1"/>
  <c r="H295" i="18" a="1"/>
  <c r="K294" i="18" a="1"/>
  <c r="J294" i="18" a="1"/>
  <c r="I294" i="18" a="1"/>
  <c r="H294" i="18" a="1"/>
  <c r="K293" i="18" a="1"/>
  <c r="J293" i="18" a="1"/>
  <c r="I293" i="18" a="1"/>
  <c r="H293" i="18" a="1"/>
  <c r="K292" i="18" a="1"/>
  <c r="J292" i="18" a="1"/>
  <c r="I292" i="18" a="1"/>
  <c r="H292" i="18" a="1"/>
  <c r="K291" i="18" a="1"/>
  <c r="J291" i="18" a="1"/>
  <c r="I291" i="18" a="1"/>
  <c r="H291" i="18" a="1"/>
  <c r="K290" i="18" a="1"/>
  <c r="J290" i="18" a="1"/>
  <c r="I290" i="18" a="1"/>
  <c r="H290" i="18" a="1"/>
  <c r="K289" i="18" a="1"/>
  <c r="J289" i="18" a="1"/>
  <c r="I289" i="18" a="1"/>
  <c r="H289" i="18" a="1"/>
  <c r="K288" i="18" a="1"/>
  <c r="J288" i="18" a="1"/>
  <c r="I288" i="18" a="1"/>
  <c r="H288" i="18" a="1"/>
  <c r="K287" i="18" a="1"/>
  <c r="J287" i="18" a="1"/>
  <c r="I287" i="18" a="1"/>
  <c r="H287" i="18" a="1"/>
  <c r="K286" i="18" a="1"/>
  <c r="J286" i="18" a="1"/>
  <c r="I286" i="18" a="1"/>
  <c r="H286" i="18" a="1"/>
  <c r="K285" i="18" a="1"/>
  <c r="J285" i="18" a="1"/>
  <c r="I285" i="18" a="1"/>
  <c r="H285" i="18" a="1"/>
  <c r="K284" i="18" a="1"/>
  <c r="J284" i="18" a="1"/>
  <c r="I284" i="18" a="1"/>
  <c r="H284" i="18" a="1"/>
  <c r="K283" i="18" a="1"/>
  <c r="J283" i="18" a="1"/>
  <c r="I283" i="18" a="1"/>
  <c r="H283" i="18" a="1"/>
  <c r="K282" i="18" a="1"/>
  <c r="J282" i="18" a="1"/>
  <c r="I282" i="18" a="1"/>
  <c r="H282" i="18" a="1"/>
  <c r="K281" i="18" a="1"/>
  <c r="J281" i="18" a="1"/>
  <c r="I281" i="18" a="1"/>
  <c r="H281" i="18" a="1"/>
  <c r="K280" i="18" a="1"/>
  <c r="J280" i="18" a="1"/>
  <c r="I280" i="18" a="1"/>
  <c r="H280" i="18" a="1"/>
  <c r="K279" i="18" a="1"/>
  <c r="J279" i="18" a="1"/>
  <c r="I279" i="18" a="1"/>
  <c r="H279" i="18" a="1"/>
  <c r="K278" i="18" a="1"/>
  <c r="J278" i="18" a="1"/>
  <c r="I278" i="18" a="1"/>
  <c r="H278" i="18" a="1"/>
  <c r="K277" i="18" a="1"/>
  <c r="J277" i="18" a="1"/>
  <c r="I277" i="18" a="1"/>
  <c r="H277" i="18" a="1"/>
  <c r="K276" i="18" a="1"/>
  <c r="J276" i="18" a="1"/>
  <c r="I276" i="18" a="1"/>
  <c r="H276" i="18" a="1"/>
  <c r="K275" i="18" a="1"/>
  <c r="J275" i="18" a="1"/>
  <c r="I275" i="18" a="1"/>
  <c r="H275" i="18" a="1"/>
  <c r="K274" i="18" a="1"/>
  <c r="J274" i="18" a="1"/>
  <c r="I274" i="18" a="1"/>
  <c r="H274" i="18" a="1"/>
  <c r="K273" i="18" a="1"/>
  <c r="J273" i="18" a="1"/>
  <c r="I273" i="18" a="1"/>
  <c r="H273" i="18" a="1"/>
  <c r="K272" i="18" a="1"/>
  <c r="J272" i="18" a="1"/>
  <c r="I272" i="18" a="1"/>
  <c r="H272" i="18" a="1"/>
  <c r="K271" i="18" a="1"/>
  <c r="J271" i="18" a="1"/>
  <c r="I271" i="18" a="1"/>
  <c r="H271" i="18" a="1"/>
  <c r="K270" i="18" a="1"/>
  <c r="J270" i="18" a="1"/>
  <c r="I270" i="18" a="1"/>
  <c r="H270" i="18" a="1"/>
  <c r="K269" i="18" a="1"/>
  <c r="J269" i="18" a="1"/>
  <c r="I269" i="18" a="1"/>
  <c r="H269" i="18" a="1"/>
  <c r="K268" i="18" a="1"/>
  <c r="J268" i="18" a="1"/>
  <c r="I268" i="18" a="1"/>
  <c r="H268" i="18" a="1"/>
  <c r="K267" i="18" a="1"/>
  <c r="J267" i="18" a="1"/>
  <c r="I267" i="18" a="1"/>
  <c r="H267" i="18" a="1"/>
  <c r="K266" i="18" a="1"/>
  <c r="J266" i="18" a="1"/>
  <c r="I266" i="18" a="1"/>
  <c r="H266" i="18" a="1"/>
  <c r="K265" i="18" a="1"/>
  <c r="J265" i="18" a="1"/>
  <c r="I265" i="18" a="1"/>
  <c r="H265" i="18" a="1"/>
  <c r="K264" i="18" a="1"/>
  <c r="J264" i="18" a="1"/>
  <c r="I264" i="18" a="1"/>
  <c r="H264" i="18" a="1"/>
  <c r="K263" i="18" a="1"/>
  <c r="J263" i="18" a="1"/>
  <c r="I263" i="18" a="1"/>
  <c r="H263" i="18" a="1"/>
  <c r="K262" i="18" a="1"/>
  <c r="J262" i="18" a="1"/>
  <c r="I262" i="18" a="1"/>
  <c r="H262" i="18" a="1"/>
  <c r="K261" i="18" a="1"/>
  <c r="J261" i="18" a="1"/>
  <c r="I261" i="18" a="1"/>
  <c r="H261" i="18" a="1"/>
  <c r="K260" i="18" a="1"/>
  <c r="J260" i="18" a="1"/>
  <c r="I260" i="18" a="1"/>
  <c r="H260" i="18" a="1"/>
  <c r="K259" i="18" a="1"/>
  <c r="J259" i="18" a="1"/>
  <c r="I259" i="18" a="1"/>
  <c r="H259" i="18" a="1"/>
  <c r="K258" i="18" a="1"/>
  <c r="J258" i="18" a="1"/>
  <c r="I258" i="18" a="1"/>
  <c r="H258" i="18" a="1"/>
  <c r="K257" i="18" a="1"/>
  <c r="J257" i="18" a="1"/>
  <c r="I257" i="18" a="1"/>
  <c r="H257" i="18" a="1"/>
  <c r="K256" i="18" a="1"/>
  <c r="J256" i="18" a="1"/>
  <c r="I256" i="18" a="1"/>
  <c r="H256" i="18" a="1"/>
  <c r="K255" i="18" a="1"/>
  <c r="J255" i="18" a="1"/>
  <c r="I255" i="18" a="1"/>
  <c r="H255" i="18" a="1"/>
  <c r="K254" i="18" a="1"/>
  <c r="J254" i="18" a="1"/>
  <c r="I254" i="18" a="1"/>
  <c r="H254" i="18" a="1"/>
  <c r="K253" i="18" a="1"/>
  <c r="J253" i="18" a="1"/>
  <c r="I253" i="18" a="1"/>
  <c r="H253" i="18" a="1"/>
  <c r="K252" i="18" a="1"/>
  <c r="J252" i="18" a="1"/>
  <c r="I252" i="18" a="1"/>
  <c r="H252" i="18" a="1"/>
  <c r="K251" i="18" a="1"/>
  <c r="J251" i="18" a="1"/>
  <c r="I251" i="18" a="1"/>
  <c r="H251" i="18" a="1"/>
  <c r="K250" i="18" a="1"/>
  <c r="J250" i="18" a="1"/>
  <c r="I250" i="18" a="1"/>
  <c r="H250" i="18" a="1"/>
  <c r="K249" i="18" a="1"/>
  <c r="J249" i="18" a="1"/>
  <c r="I249" i="18" a="1"/>
  <c r="H249" i="18" a="1"/>
  <c r="K248" i="18" a="1"/>
  <c r="J248" i="18" a="1"/>
  <c r="I248" i="18" a="1"/>
  <c r="H248" i="18" a="1"/>
  <c r="K247" i="18" a="1"/>
  <c r="J247" i="18" a="1"/>
  <c r="I247" i="18" a="1"/>
  <c r="H247" i="18" a="1"/>
  <c r="K246" i="18" a="1"/>
  <c r="J246" i="18" a="1"/>
  <c r="I246" i="18" a="1"/>
  <c r="H246" i="18" a="1"/>
  <c r="K245" i="18" a="1"/>
  <c r="J245" i="18" a="1"/>
  <c r="I245" i="18" a="1"/>
  <c r="H245" i="18" a="1"/>
  <c r="K244" i="18" a="1"/>
  <c r="J244" i="18" a="1"/>
  <c r="I244" i="18" a="1"/>
  <c r="H244" i="18" a="1"/>
  <c r="K243" i="18" a="1"/>
  <c r="J243" i="18" a="1"/>
  <c r="I243" i="18" a="1"/>
  <c r="H243" i="18" a="1"/>
  <c r="K242" i="18" a="1"/>
  <c r="J242" i="18" a="1"/>
  <c r="I242" i="18" a="1"/>
  <c r="H242" i="18" a="1"/>
  <c r="K241" i="18" a="1"/>
  <c r="J241" i="18" a="1"/>
  <c r="I241" i="18" a="1"/>
  <c r="H241" i="18" a="1"/>
  <c r="K240" i="18" a="1"/>
  <c r="J240" i="18" a="1"/>
  <c r="I240" i="18" a="1"/>
  <c r="H240" i="18" a="1"/>
  <c r="K239" i="18" a="1"/>
  <c r="J239" i="18" a="1"/>
  <c r="I239" i="18" a="1"/>
  <c r="H239" i="18" a="1"/>
  <c r="K238" i="18" a="1"/>
  <c r="J238" i="18" a="1"/>
  <c r="I238" i="18" a="1"/>
  <c r="H238" i="18" a="1"/>
  <c r="K237" i="18" a="1"/>
  <c r="J237" i="18" a="1"/>
  <c r="I237" i="18" a="1"/>
  <c r="H237" i="18" a="1"/>
  <c r="K236" i="18" a="1"/>
  <c r="J236" i="18" a="1"/>
  <c r="I236" i="18" a="1"/>
  <c r="H236" i="18" a="1"/>
  <c r="K235" i="18" a="1"/>
  <c r="J235" i="18" a="1"/>
  <c r="I235" i="18" a="1"/>
  <c r="H235" i="18" a="1"/>
  <c r="K234" i="18" a="1"/>
  <c r="J234" i="18" a="1"/>
  <c r="I234" i="18" a="1"/>
  <c r="H234" i="18" a="1"/>
  <c r="K233" i="18" a="1"/>
  <c r="J233" i="18" a="1"/>
  <c r="I233" i="18" a="1"/>
  <c r="H233" i="18" a="1"/>
  <c r="K232" i="18" a="1"/>
  <c r="J232" i="18" a="1"/>
  <c r="I232" i="18" a="1"/>
  <c r="H232" i="18" a="1"/>
  <c r="K231" i="18" a="1"/>
  <c r="J231" i="18" a="1"/>
  <c r="I231" i="18" a="1"/>
  <c r="H231" i="18" a="1"/>
  <c r="K230" i="18" a="1"/>
  <c r="J230" i="18" a="1"/>
  <c r="I230" i="18" a="1"/>
  <c r="H230" i="18" a="1"/>
  <c r="K229" i="18" a="1"/>
  <c r="J229" i="18" a="1"/>
  <c r="I229" i="18" a="1"/>
  <c r="H229" i="18" a="1"/>
  <c r="K228" i="18" a="1"/>
  <c r="J228" i="18" a="1"/>
  <c r="I228" i="18" a="1"/>
  <c r="H228" i="18" a="1"/>
  <c r="K227" i="18" a="1"/>
  <c r="J227" i="18" a="1"/>
  <c r="I227" i="18" a="1"/>
  <c r="H227" i="18" a="1"/>
  <c r="K226" i="18" a="1"/>
  <c r="J226" i="18" a="1"/>
  <c r="I226" i="18" a="1"/>
  <c r="H226" i="18" a="1"/>
  <c r="K225" i="18" a="1"/>
  <c r="J225" i="18" a="1"/>
  <c r="I225" i="18" a="1"/>
  <c r="H225" i="18" a="1"/>
  <c r="K224" i="18" a="1"/>
  <c r="J224" i="18" a="1"/>
  <c r="I224" i="18" a="1"/>
  <c r="H224" i="18" a="1"/>
  <c r="K223" i="18" a="1"/>
  <c r="J223" i="18" a="1"/>
  <c r="I223" i="18" a="1"/>
  <c r="H223" i="18" a="1"/>
  <c r="K222" i="18" a="1"/>
  <c r="J222" i="18" a="1"/>
  <c r="I222" i="18" a="1"/>
  <c r="H222" i="18" a="1"/>
  <c r="K221" i="18" a="1"/>
  <c r="J221" i="18" a="1"/>
  <c r="I221" i="18" a="1"/>
  <c r="H221" i="18" a="1"/>
  <c r="K220" i="18" a="1"/>
  <c r="J220" i="18" a="1"/>
  <c r="I220" i="18" a="1"/>
  <c r="H220" i="18" a="1"/>
  <c r="K219" i="18" a="1"/>
  <c r="J219" i="18" a="1"/>
  <c r="I219" i="18" a="1"/>
  <c r="H219" i="18" a="1"/>
  <c r="K218" i="18" a="1"/>
  <c r="J218" i="18" a="1"/>
  <c r="I218" i="18" a="1"/>
  <c r="H218" i="18" a="1"/>
  <c r="K217" i="18" a="1"/>
  <c r="J217" i="18" a="1"/>
  <c r="I217" i="18" a="1"/>
  <c r="H217" i="18" a="1"/>
  <c r="K216" i="18" a="1"/>
  <c r="J216" i="18" a="1"/>
  <c r="I216" i="18" a="1"/>
  <c r="H216" i="18" a="1"/>
  <c r="K215" i="18" a="1"/>
  <c r="J215" i="18" a="1"/>
  <c r="I215" i="18" a="1"/>
  <c r="H215" i="18" a="1"/>
  <c r="K214" i="18" a="1"/>
  <c r="J214" i="18" a="1"/>
  <c r="I214" i="18" a="1"/>
  <c r="H214" i="18" a="1"/>
  <c r="K213" i="18" a="1"/>
  <c r="J213" i="18" a="1"/>
  <c r="I213" i="18" a="1"/>
  <c r="H213" i="18" a="1"/>
  <c r="K212" i="18" a="1"/>
  <c r="J212" i="18" a="1"/>
  <c r="I212" i="18" a="1"/>
  <c r="H212" i="18" a="1"/>
  <c r="K211" i="18" a="1"/>
  <c r="J211" i="18" a="1"/>
  <c r="I211" i="18" a="1"/>
  <c r="H211" i="18" a="1"/>
  <c r="K210" i="18" a="1"/>
  <c r="J210" i="18" a="1"/>
  <c r="I210" i="18" a="1"/>
  <c r="H210" i="18" a="1"/>
  <c r="K209" i="18" a="1"/>
  <c r="J209" i="18" a="1"/>
  <c r="I209" i="18" a="1"/>
  <c r="H209" i="18" a="1"/>
  <c r="K208" i="18" a="1"/>
  <c r="J208" i="18" a="1"/>
  <c r="I208" i="18" a="1"/>
  <c r="H208" i="18" a="1"/>
  <c r="K207" i="18" a="1"/>
  <c r="J207" i="18" a="1"/>
  <c r="I207" i="18" a="1"/>
  <c r="H207" i="18" a="1"/>
  <c r="K206" i="18" a="1"/>
  <c r="J206" i="18" a="1"/>
  <c r="I206" i="18" a="1"/>
  <c r="H206" i="18" a="1"/>
  <c r="K205" i="18" a="1"/>
  <c r="J205" i="18" a="1"/>
  <c r="I205" i="18" a="1"/>
  <c r="H205" i="18" a="1"/>
  <c r="K204" i="18" a="1"/>
  <c r="J204" i="18" a="1"/>
  <c r="I204" i="18" a="1"/>
  <c r="H204" i="18" a="1"/>
  <c r="K203" i="18" a="1"/>
  <c r="J203" i="18" a="1"/>
  <c r="I203" i="18" a="1"/>
  <c r="H203" i="18" a="1"/>
  <c r="K202" i="18" a="1"/>
  <c r="J202" i="18" a="1"/>
  <c r="I202" i="18" a="1"/>
  <c r="H202" i="18" a="1"/>
  <c r="K201" i="18" a="1"/>
  <c r="J201" i="18" a="1"/>
  <c r="I201" i="18" a="1"/>
  <c r="H201" i="18" a="1"/>
  <c r="K200" i="18" a="1"/>
  <c r="J200" i="18" a="1"/>
  <c r="I200" i="18" a="1"/>
  <c r="H200" i="18" a="1"/>
  <c r="K199" i="18" a="1"/>
  <c r="J199" i="18" a="1"/>
  <c r="I199" i="18" a="1"/>
  <c r="H199" i="18" a="1"/>
  <c r="K198" i="18" a="1"/>
  <c r="J198" i="18" a="1"/>
  <c r="I198" i="18" a="1"/>
  <c r="H198" i="18" a="1"/>
  <c r="K197" i="18" a="1"/>
  <c r="J197" i="18" a="1"/>
  <c r="I197" i="18" a="1"/>
  <c r="H197" i="18" a="1"/>
  <c r="K196" i="18" a="1"/>
  <c r="J196" i="18" a="1"/>
  <c r="I196" i="18" a="1"/>
  <c r="H196" i="18" a="1"/>
  <c r="K195" i="18" a="1"/>
  <c r="J195" i="18" a="1"/>
  <c r="I195" i="18" a="1"/>
  <c r="H195" i="18" a="1"/>
  <c r="K194" i="18" a="1"/>
  <c r="J194" i="18" a="1"/>
  <c r="I194" i="18" a="1"/>
  <c r="H194" i="18" a="1"/>
  <c r="K193" i="18" a="1"/>
  <c r="J193" i="18" a="1"/>
  <c r="I193" i="18" a="1"/>
  <c r="H193" i="18" a="1"/>
  <c r="K192" i="18" a="1"/>
  <c r="J192" i="18" a="1"/>
  <c r="I192" i="18" a="1"/>
  <c r="H192" i="18" a="1"/>
  <c r="K191" i="18" a="1"/>
  <c r="J191" i="18" a="1"/>
  <c r="I191" i="18" a="1"/>
  <c r="H191" i="18" a="1"/>
  <c r="K190" i="18" a="1"/>
  <c r="J190" i="18" a="1"/>
  <c r="I190" i="18" a="1"/>
  <c r="H190" i="18" a="1"/>
  <c r="K189" i="18" a="1"/>
  <c r="J189" i="18" a="1"/>
  <c r="I189" i="18" a="1"/>
  <c r="H189" i="18" a="1"/>
  <c r="K188" i="18" a="1"/>
  <c r="J188" i="18" a="1"/>
  <c r="I188" i="18" a="1"/>
  <c r="H188" i="18" a="1"/>
  <c r="K187" i="18" a="1"/>
  <c r="J187" i="18" a="1"/>
  <c r="I187" i="18" a="1"/>
  <c r="H187" i="18" a="1"/>
  <c r="K186" i="18" a="1"/>
  <c r="J186" i="18" a="1"/>
  <c r="I186" i="18" a="1"/>
  <c r="H186" i="18" a="1"/>
  <c r="K185" i="18" a="1"/>
  <c r="J185" i="18" a="1"/>
  <c r="I185" i="18" a="1"/>
  <c r="H185" i="18" a="1"/>
  <c r="K184" i="18" a="1"/>
  <c r="J184" i="18" a="1"/>
  <c r="I184" i="18" a="1"/>
  <c r="H184" i="18" a="1"/>
  <c r="K183" i="18" a="1"/>
  <c r="J183" i="18" a="1"/>
  <c r="I183" i="18" a="1"/>
  <c r="H183" i="18" a="1"/>
  <c r="K182" i="18" a="1"/>
  <c r="J182" i="18" a="1"/>
  <c r="I182" i="18" a="1"/>
  <c r="H182" i="18" a="1"/>
  <c r="K181" i="18" a="1"/>
  <c r="J181" i="18" a="1"/>
  <c r="I181" i="18" a="1"/>
  <c r="H181" i="18" a="1"/>
  <c r="K180" i="18" a="1"/>
  <c r="J180" i="18" a="1"/>
  <c r="I180" i="18" a="1"/>
  <c r="H180" i="18" a="1"/>
  <c r="K179" i="18" a="1"/>
  <c r="J179" i="18" a="1"/>
  <c r="I179" i="18" a="1"/>
  <c r="H179" i="18" a="1"/>
  <c r="K178" i="18" a="1"/>
  <c r="J178" i="18" a="1"/>
  <c r="I178" i="18" a="1"/>
  <c r="H178" i="18" a="1"/>
  <c r="K177" i="18" a="1"/>
  <c r="J177" i="18" a="1"/>
  <c r="I177" i="18" a="1"/>
  <c r="H177" i="18" a="1"/>
  <c r="K176" i="18" a="1"/>
  <c r="J176" i="18" a="1"/>
  <c r="I176" i="18" a="1"/>
  <c r="H176" i="18" a="1"/>
  <c r="K175" i="18" a="1"/>
  <c r="J175" i="18" a="1"/>
  <c r="I175" i="18" a="1"/>
  <c r="H175" i="18" a="1"/>
  <c r="K174" i="18" a="1"/>
  <c r="J174" i="18" a="1"/>
  <c r="I174" i="18" a="1"/>
  <c r="H174" i="18" a="1"/>
  <c r="K173" i="18" a="1"/>
  <c r="J173" i="18" a="1"/>
  <c r="I173" i="18" a="1"/>
  <c r="H173" i="18" a="1"/>
  <c r="K172" i="18" a="1"/>
  <c r="J172" i="18" a="1"/>
  <c r="I172" i="18" a="1"/>
  <c r="H172" i="18" a="1"/>
  <c r="K171" i="18" a="1"/>
  <c r="J171" i="18" a="1"/>
  <c r="I171" i="18" a="1"/>
  <c r="H171" i="18" a="1"/>
  <c r="K170" i="18" a="1"/>
  <c r="J170" i="18" a="1"/>
  <c r="I170" i="18" a="1"/>
  <c r="H170" i="18" a="1"/>
  <c r="K169" i="18" a="1"/>
  <c r="J169" i="18" a="1"/>
  <c r="I169" i="18" a="1"/>
  <c r="H169" i="18" a="1"/>
  <c r="K168" i="18" a="1"/>
  <c r="J168" i="18" a="1"/>
  <c r="I168" i="18" a="1"/>
  <c r="H168" i="18" a="1"/>
  <c r="K167" i="18" a="1"/>
  <c r="J167" i="18" a="1"/>
  <c r="I167" i="18" a="1"/>
  <c r="H167" i="18" a="1"/>
  <c r="K166" i="18" a="1"/>
  <c r="J166" i="18" a="1"/>
  <c r="I166" i="18" a="1"/>
  <c r="H166" i="18" a="1"/>
  <c r="K165" i="18" a="1"/>
  <c r="J165" i="18" a="1"/>
  <c r="I165" i="18" a="1"/>
  <c r="H165" i="18" a="1"/>
  <c r="K164" i="18" a="1"/>
  <c r="J164" i="18" a="1"/>
  <c r="I164" i="18" a="1"/>
  <c r="H164" i="18" a="1"/>
  <c r="K163" i="18" a="1"/>
  <c r="J163" i="18" a="1"/>
  <c r="I163" i="18" a="1"/>
  <c r="H163" i="18" a="1"/>
  <c r="K162" i="18" a="1"/>
  <c r="J162" i="18" a="1"/>
  <c r="I162" i="18" a="1"/>
  <c r="H162" i="18" a="1"/>
  <c r="K161" i="18" a="1"/>
  <c r="J161" i="18" a="1"/>
  <c r="I161" i="18" a="1"/>
  <c r="H161" i="18" a="1"/>
  <c r="K160" i="18" a="1"/>
  <c r="J160" i="18" a="1"/>
  <c r="I160" i="18" a="1"/>
  <c r="H160" i="18" a="1"/>
  <c r="K159" i="18" a="1"/>
  <c r="J159" i="18" a="1"/>
  <c r="I159" i="18" a="1"/>
  <c r="H159" i="18" a="1"/>
  <c r="K158" i="18" a="1"/>
  <c r="J158" i="18" a="1"/>
  <c r="I158" i="18" a="1"/>
  <c r="H158" i="18" a="1"/>
  <c r="K157" i="18" a="1"/>
  <c r="J157" i="18" a="1"/>
  <c r="I157" i="18" a="1"/>
  <c r="H157" i="18" a="1"/>
  <c r="K156" i="18" a="1"/>
  <c r="J156" i="18" a="1"/>
  <c r="I156" i="18" a="1"/>
  <c r="H156" i="18" a="1"/>
  <c r="K155" i="18" a="1"/>
  <c r="J155" i="18" a="1"/>
  <c r="I155" i="18" a="1"/>
  <c r="H155" i="18" a="1"/>
  <c r="K154" i="18" a="1"/>
  <c r="J154" i="18" a="1"/>
  <c r="I154" i="18" a="1"/>
  <c r="H154" i="18" a="1"/>
  <c r="K153" i="18" a="1"/>
  <c r="J153" i="18" a="1"/>
  <c r="I153" i="18" a="1"/>
  <c r="H153" i="18" a="1"/>
  <c r="K152" i="18" a="1"/>
  <c r="J152" i="18" a="1"/>
  <c r="I152" i="18" a="1"/>
  <c r="H152" i="18" a="1"/>
  <c r="K151" i="18" a="1"/>
  <c r="J151" i="18" a="1"/>
  <c r="I151" i="18" a="1"/>
  <c r="H151" i="18" a="1"/>
  <c r="K150" i="18" a="1"/>
  <c r="J150" i="18" a="1"/>
  <c r="I150" i="18" a="1"/>
  <c r="H150" i="18" a="1"/>
  <c r="K149" i="18" a="1"/>
  <c r="J149" i="18" a="1"/>
  <c r="I149" i="18" a="1"/>
  <c r="H149" i="18" a="1"/>
  <c r="K148" i="18" a="1"/>
  <c r="J148" i="18" a="1"/>
  <c r="I148" i="18" a="1"/>
  <c r="H148" i="18" a="1"/>
  <c r="K147" i="18" a="1"/>
  <c r="J147" i="18" a="1"/>
  <c r="I147" i="18" a="1"/>
  <c r="H147" i="18" a="1"/>
  <c r="K146" i="18" a="1"/>
  <c r="J146" i="18" a="1"/>
  <c r="I146" i="18" a="1"/>
  <c r="H146" i="18" a="1"/>
  <c r="K145" i="18" a="1"/>
  <c r="J145" i="18" a="1"/>
  <c r="I145" i="18" a="1"/>
  <c r="H145" i="18" a="1"/>
  <c r="K144" i="18" a="1"/>
  <c r="J144" i="18" a="1"/>
  <c r="I144" i="18" a="1"/>
  <c r="H144" i="18" a="1"/>
  <c r="K143" i="18" a="1"/>
  <c r="J143" i="18" a="1"/>
  <c r="I143" i="18" a="1"/>
  <c r="H143" i="18" a="1"/>
  <c r="K142" i="18" a="1"/>
  <c r="J142" i="18" a="1"/>
  <c r="I142" i="18" a="1"/>
  <c r="H142" i="18" a="1"/>
  <c r="K141" i="18" a="1"/>
  <c r="J141" i="18" a="1"/>
  <c r="I141" i="18" a="1"/>
  <c r="H141" i="18" a="1"/>
  <c r="K140" i="18" a="1"/>
  <c r="J140" i="18" a="1"/>
  <c r="I140" i="18" a="1"/>
  <c r="H140" i="18" a="1"/>
  <c r="K139" i="18" a="1"/>
  <c r="J139" i="18" a="1"/>
  <c r="I139" i="18" a="1"/>
  <c r="H139" i="18" a="1"/>
  <c r="K138" i="18" a="1"/>
  <c r="J138" i="18" a="1"/>
  <c r="I138" i="18" a="1"/>
  <c r="H138" i="18" a="1"/>
  <c r="K137" i="18" a="1"/>
  <c r="J137" i="18" a="1"/>
  <c r="I137" i="18" a="1"/>
  <c r="H137" i="18" a="1"/>
  <c r="K136" i="18" a="1"/>
  <c r="J136" i="18" a="1"/>
  <c r="I136" i="18" a="1"/>
  <c r="H136" i="18" a="1"/>
  <c r="K135" i="18" a="1"/>
  <c r="J135" i="18" a="1"/>
  <c r="I135" i="18" a="1"/>
  <c r="H135" i="18" a="1"/>
  <c r="K134" i="18" a="1"/>
  <c r="J134" i="18" a="1"/>
  <c r="I134" i="18" a="1"/>
  <c r="H134" i="18" a="1"/>
  <c r="K133" i="18" a="1"/>
  <c r="J133" i="18" a="1"/>
  <c r="I133" i="18" a="1"/>
  <c r="H133" i="18" a="1"/>
  <c r="K132" i="18" a="1"/>
  <c r="J132" i="18" a="1"/>
  <c r="I132" i="18" a="1"/>
  <c r="H132" i="18" a="1"/>
  <c r="K131" i="18" a="1"/>
  <c r="J131" i="18" a="1"/>
  <c r="I131" i="18" a="1"/>
  <c r="H131" i="18" a="1"/>
  <c r="K130" i="18" a="1"/>
  <c r="J130" i="18" a="1"/>
  <c r="I130" i="18" a="1"/>
  <c r="H130" i="18" a="1"/>
  <c r="K129" i="18" a="1"/>
  <c r="J129" i="18" a="1"/>
  <c r="I129" i="18" a="1"/>
  <c r="H129" i="18" a="1"/>
  <c r="K128" i="18" a="1"/>
  <c r="J128" i="18" a="1"/>
  <c r="I128" i="18" a="1"/>
  <c r="H128" i="18" a="1"/>
  <c r="K127" i="18" a="1"/>
  <c r="J127" i="18" a="1"/>
  <c r="I127" i="18" a="1"/>
  <c r="H127" i="18" a="1"/>
  <c r="K126" i="18" a="1"/>
  <c r="J126" i="18" a="1"/>
  <c r="I126" i="18" a="1"/>
  <c r="H126" i="18" a="1"/>
  <c r="K125" i="18" a="1"/>
  <c r="J125" i="18" a="1"/>
  <c r="I125" i="18" a="1"/>
  <c r="H125" i="18" a="1"/>
  <c r="K124" i="18" a="1"/>
  <c r="J124" i="18" a="1"/>
  <c r="I124" i="18" a="1"/>
  <c r="H124" i="18" a="1"/>
  <c r="K123" i="18" a="1"/>
  <c r="J123" i="18" a="1"/>
  <c r="I123" i="18" a="1"/>
  <c r="H123" i="18" a="1"/>
  <c r="K122" i="18" a="1"/>
  <c r="J122" i="18" a="1"/>
  <c r="I122" i="18" a="1"/>
  <c r="H122" i="18" a="1"/>
  <c r="K121" i="18" a="1"/>
  <c r="J121" i="18" a="1"/>
  <c r="I121" i="18" a="1"/>
  <c r="H121" i="18" a="1"/>
  <c r="K120" i="18" a="1"/>
  <c r="J120" i="18" a="1"/>
  <c r="I120" i="18" a="1"/>
  <c r="H120" i="18" a="1"/>
  <c r="K119" i="18" a="1"/>
  <c r="J119" i="18" a="1"/>
  <c r="I119" i="18" a="1"/>
  <c r="H119" i="18" a="1"/>
  <c r="K118" i="18" a="1"/>
  <c r="J118" i="18" a="1"/>
  <c r="I118" i="18" a="1"/>
  <c r="H118" i="18" a="1"/>
  <c r="K117" i="18" a="1"/>
  <c r="J117" i="18" a="1"/>
  <c r="I117" i="18" a="1"/>
  <c r="H117" i="18" a="1"/>
  <c r="K116" i="18" a="1"/>
  <c r="J116" i="18" a="1"/>
  <c r="I116" i="18" a="1"/>
  <c r="H116" i="18" a="1"/>
  <c r="K115" i="18" a="1"/>
  <c r="J115" i="18" a="1"/>
  <c r="I115" i="18" a="1"/>
  <c r="H115" i="18" a="1"/>
  <c r="K114" i="18" a="1"/>
  <c r="J114" i="18" a="1"/>
  <c r="I114" i="18" a="1"/>
  <c r="H114" i="18" a="1"/>
  <c r="K113" i="18" a="1"/>
  <c r="J113" i="18" a="1"/>
  <c r="I113" i="18" a="1"/>
  <c r="H113" i="18" a="1"/>
  <c r="K112" i="18" a="1"/>
  <c r="J112" i="18" a="1"/>
  <c r="I112" i="18" a="1"/>
  <c r="H112" i="18" a="1"/>
  <c r="K111" i="18" a="1"/>
  <c r="J111" i="18" a="1"/>
  <c r="I111" i="18" a="1"/>
  <c r="H111" i="18" a="1"/>
  <c r="K110" i="18" a="1"/>
  <c r="J110" i="18" a="1"/>
  <c r="I110" i="18" a="1"/>
  <c r="H110" i="18" a="1"/>
  <c r="K109" i="18" a="1"/>
  <c r="J109" i="18" a="1"/>
  <c r="I109" i="18" a="1"/>
  <c r="H109" i="18" a="1"/>
  <c r="K108" i="18" a="1"/>
  <c r="J108" i="18" a="1"/>
  <c r="I108" i="18" a="1"/>
  <c r="H108" i="18" a="1"/>
  <c r="K107" i="18" a="1"/>
  <c r="J107" i="18" a="1"/>
  <c r="I107" i="18" a="1"/>
  <c r="H107" i="18" a="1"/>
  <c r="K106" i="18" a="1"/>
  <c r="J106" i="18" a="1"/>
  <c r="I106" i="18" a="1"/>
  <c r="H106" i="18" a="1"/>
  <c r="K105" i="18" a="1"/>
  <c r="J105" i="18" a="1"/>
  <c r="I105" i="18" a="1"/>
  <c r="H105" i="18" a="1"/>
  <c r="K104" i="18" a="1"/>
  <c r="J104" i="18" a="1"/>
  <c r="I104" i="18" a="1"/>
  <c r="H104" i="18" a="1"/>
  <c r="K103" i="18" a="1"/>
  <c r="J103" i="18" a="1"/>
  <c r="I103" i="18" a="1"/>
  <c r="H103" i="18" a="1"/>
  <c r="K102" i="18" a="1"/>
  <c r="J102" i="18" a="1"/>
  <c r="I102" i="18" a="1"/>
  <c r="H102" i="18" a="1"/>
  <c r="K101" i="18" a="1"/>
  <c r="J101" i="18" a="1"/>
  <c r="I101" i="18" a="1"/>
  <c r="H101" i="18" a="1"/>
  <c r="K100" i="18" a="1"/>
  <c r="J100" i="18" a="1"/>
  <c r="I100" i="18" a="1"/>
  <c r="H100" i="18" a="1"/>
  <c r="K99" i="18" a="1"/>
  <c r="J99" i="18" a="1"/>
  <c r="I99" i="18" a="1"/>
  <c r="H99" i="18" a="1"/>
  <c r="K98" i="18" a="1"/>
  <c r="J98" i="18" a="1"/>
  <c r="I98" i="18" a="1"/>
  <c r="H98" i="18" a="1"/>
  <c r="K97" i="18" a="1"/>
  <c r="J97" i="18" a="1"/>
  <c r="I97" i="18" a="1"/>
  <c r="H97" i="18" a="1"/>
  <c r="K96" i="18" a="1"/>
  <c r="J96" i="18" a="1"/>
  <c r="I96" i="18" a="1"/>
  <c r="H96" i="18" a="1"/>
  <c r="K95" i="18" a="1"/>
  <c r="J95" i="18" a="1"/>
  <c r="I95" i="18" a="1"/>
  <c r="H95" i="18" a="1"/>
  <c r="K94" i="18" a="1"/>
  <c r="J94" i="18" a="1"/>
  <c r="I94" i="18" a="1"/>
  <c r="H94" i="18" a="1"/>
  <c r="K93" i="18" a="1"/>
  <c r="J93" i="18" a="1"/>
  <c r="I93" i="18" a="1"/>
  <c r="H93" i="18" a="1"/>
  <c r="K92" i="18" a="1"/>
  <c r="J92" i="18" a="1"/>
  <c r="I92" i="18" a="1"/>
  <c r="H92" i="18" a="1"/>
  <c r="K91" i="18" a="1"/>
  <c r="J91" i="18" a="1"/>
  <c r="I91" i="18" a="1"/>
  <c r="H91" i="18" a="1"/>
  <c r="K90" i="18" a="1"/>
  <c r="J90" i="18" a="1"/>
  <c r="I90" i="18" a="1"/>
  <c r="H90" i="18" a="1"/>
  <c r="K89" i="18" a="1"/>
  <c r="J89" i="18" a="1"/>
  <c r="I89" i="18" a="1"/>
  <c r="H89" i="18" a="1"/>
  <c r="K88" i="18" a="1"/>
  <c r="J88" i="18" a="1"/>
  <c r="I88" i="18" a="1"/>
  <c r="H88" i="18" a="1"/>
  <c r="K87" i="18" a="1"/>
  <c r="J87" i="18" a="1"/>
  <c r="I87" i="18" a="1"/>
  <c r="H87" i="18" a="1"/>
  <c r="K86" i="18" a="1"/>
  <c r="J86" i="18" a="1"/>
  <c r="I86" i="18" a="1"/>
  <c r="H86" i="18" a="1"/>
  <c r="K85" i="18" a="1"/>
  <c r="J85" i="18" a="1"/>
  <c r="I85" i="18" a="1"/>
  <c r="H85" i="18" a="1"/>
  <c r="K84" i="18" a="1"/>
  <c r="J84" i="18" a="1"/>
  <c r="I84" i="18" a="1"/>
  <c r="H84" i="18" a="1"/>
  <c r="K83" i="18" a="1"/>
  <c r="J83" i="18" a="1"/>
  <c r="I83" i="18" a="1"/>
  <c r="H83" i="18" a="1"/>
  <c r="K82" i="18" a="1"/>
  <c r="J82" i="18" a="1"/>
  <c r="I82" i="18" a="1"/>
  <c r="H82" i="18" a="1"/>
  <c r="K81" i="18" a="1"/>
  <c r="J81" i="18" a="1"/>
  <c r="I81" i="18" a="1"/>
  <c r="H81" i="18" a="1"/>
  <c r="K80" i="18" a="1"/>
  <c r="J80" i="18" a="1"/>
  <c r="I80" i="18" a="1"/>
  <c r="H80" i="18" a="1"/>
  <c r="K79" i="18" a="1"/>
  <c r="J79" i="18" a="1"/>
  <c r="I79" i="18" a="1"/>
  <c r="H79" i="18" a="1"/>
  <c r="K78" i="18" a="1"/>
  <c r="J78" i="18" a="1"/>
  <c r="I78" i="18" a="1"/>
  <c r="H78" i="18" a="1"/>
  <c r="K77" i="18" a="1"/>
  <c r="J77" i="18" a="1"/>
  <c r="I77" i="18" a="1"/>
  <c r="H77" i="18" a="1"/>
  <c r="K76" i="18" a="1"/>
  <c r="J76" i="18" a="1"/>
  <c r="I76" i="18" a="1"/>
  <c r="H76" i="18" a="1"/>
  <c r="K75" i="18" a="1"/>
  <c r="J75" i="18" a="1"/>
  <c r="I75" i="18" a="1"/>
  <c r="H75" i="18" a="1"/>
  <c r="K74" i="18" a="1"/>
  <c r="J74" i="18" a="1"/>
  <c r="I74" i="18" a="1"/>
  <c r="H74" i="18" a="1"/>
  <c r="K73" i="18" a="1"/>
  <c r="J73" i="18" a="1"/>
  <c r="I73" i="18" a="1"/>
  <c r="H73" i="18" a="1"/>
  <c r="K72" i="18" a="1"/>
  <c r="J72" i="18" a="1"/>
  <c r="I72" i="18" a="1"/>
  <c r="H72" i="18" a="1"/>
  <c r="K71" i="18" a="1"/>
  <c r="J71" i="18" a="1"/>
  <c r="I71" i="18" a="1"/>
  <c r="H71" i="18" a="1"/>
  <c r="K70" i="18" a="1"/>
  <c r="J70" i="18" a="1"/>
  <c r="I70" i="18" a="1"/>
  <c r="H70" i="18" a="1"/>
  <c r="K69" i="18" a="1"/>
  <c r="J69" i="18" a="1"/>
  <c r="I69" i="18" a="1"/>
  <c r="H69" i="18" a="1"/>
  <c r="K68" i="18" a="1"/>
  <c r="J68" i="18" a="1"/>
  <c r="I68" i="18" a="1"/>
  <c r="H68" i="18" a="1"/>
  <c r="K67" i="18" a="1"/>
  <c r="J67" i="18" a="1"/>
  <c r="I67" i="18" a="1"/>
  <c r="H67" i="18" a="1"/>
  <c r="K66" i="18" a="1"/>
  <c r="J66" i="18" a="1"/>
  <c r="I66" i="18" a="1"/>
  <c r="H66" i="18" a="1"/>
  <c r="K65" i="18" a="1"/>
  <c r="J65" i="18" a="1"/>
  <c r="I65" i="18" a="1"/>
  <c r="H65" i="18" a="1"/>
  <c r="K64" i="18" a="1"/>
  <c r="J64" i="18" a="1"/>
  <c r="I64" i="18" a="1"/>
  <c r="H64" i="18" a="1"/>
  <c r="K63" i="18" a="1"/>
  <c r="J63" i="18" a="1"/>
  <c r="I63" i="18" a="1"/>
  <c r="H63" i="18" a="1"/>
  <c r="K62" i="18" a="1"/>
  <c r="J62" i="18" a="1"/>
  <c r="I62" i="18" a="1"/>
  <c r="H62" i="18" a="1"/>
  <c r="K61" i="18" a="1"/>
  <c r="J61" i="18" a="1"/>
  <c r="I61" i="18" a="1"/>
  <c r="H61" i="18" a="1"/>
  <c r="K60" i="18" a="1"/>
  <c r="J60" i="18" a="1"/>
  <c r="I60" i="18" a="1"/>
  <c r="H60" i="18" a="1"/>
  <c r="K59" i="18" a="1"/>
  <c r="J59" i="18" a="1"/>
  <c r="I59" i="18" a="1"/>
  <c r="H59" i="18" a="1"/>
  <c r="K58" i="18" a="1"/>
  <c r="J58" i="18" a="1"/>
  <c r="I58" i="18" a="1"/>
  <c r="H58" i="18" a="1"/>
  <c r="K57" i="18" a="1"/>
  <c r="J57" i="18" a="1"/>
  <c r="I57" i="18" a="1"/>
  <c r="H57" i="18" a="1"/>
  <c r="K56" i="18" a="1"/>
  <c r="J56" i="18" a="1"/>
  <c r="I56" i="18" a="1"/>
  <c r="H56" i="18" a="1"/>
  <c r="K55" i="18" a="1"/>
  <c r="J55" i="18" a="1"/>
  <c r="I55" i="18" a="1"/>
  <c r="H55" i="18" a="1"/>
  <c r="K54" i="18" a="1"/>
  <c r="J54" i="18" a="1"/>
  <c r="I54" i="18" a="1"/>
  <c r="H54" i="18" a="1"/>
  <c r="K53" i="18" a="1"/>
  <c r="J53" i="18" a="1"/>
  <c r="I53" i="18" a="1"/>
  <c r="H53" i="18" a="1"/>
  <c r="K52" i="18" a="1"/>
  <c r="J52" i="18" a="1"/>
  <c r="I52" i="18" a="1"/>
  <c r="H52" i="18" a="1"/>
  <c r="K51" i="18" a="1"/>
  <c r="J51" i="18" a="1"/>
  <c r="I51" i="18" a="1"/>
  <c r="H51" i="18" a="1"/>
  <c r="K50" i="18" a="1"/>
  <c r="J50" i="18" a="1"/>
  <c r="I50" i="18" a="1"/>
  <c r="H50" i="18" a="1"/>
  <c r="K49" i="18" a="1"/>
  <c r="J49" i="18" a="1"/>
  <c r="I49" i="18" a="1"/>
  <c r="H49" i="18" a="1"/>
  <c r="K48" i="18" a="1"/>
  <c r="J48" i="18" a="1"/>
  <c r="I48" i="18" a="1"/>
  <c r="H48" i="18" a="1"/>
  <c r="K47" i="18" a="1"/>
  <c r="J47" i="18" a="1"/>
  <c r="I47" i="18" a="1"/>
  <c r="H47" i="18" a="1"/>
  <c r="K46" i="18" a="1"/>
  <c r="J46" i="18" a="1"/>
  <c r="I46" i="18" a="1"/>
  <c r="H46" i="18" a="1"/>
  <c r="K45" i="18" a="1"/>
  <c r="J45" i="18" a="1"/>
  <c r="I45" i="18" a="1"/>
  <c r="H45" i="18" a="1"/>
  <c r="K44" i="18" a="1"/>
  <c r="J44" i="18" a="1"/>
  <c r="I44" i="18" a="1"/>
  <c r="H44" i="18" a="1"/>
  <c r="K43" i="18" a="1"/>
  <c r="J43" i="18" a="1"/>
  <c r="I43" i="18" a="1"/>
  <c r="H43" i="18" a="1"/>
  <c r="K42" i="18" a="1"/>
  <c r="J42" i="18" a="1"/>
  <c r="I42" i="18" a="1"/>
  <c r="H42" i="18" a="1"/>
  <c r="K41" i="18" a="1"/>
  <c r="J41" i="18" a="1"/>
  <c r="I41" i="18" a="1"/>
  <c r="H41" i="18" a="1"/>
  <c r="K40" i="18" a="1"/>
  <c r="J40" i="18" a="1"/>
  <c r="I40" i="18" a="1"/>
  <c r="H40" i="18" a="1"/>
  <c r="K39" i="18" a="1"/>
  <c r="J39" i="18" a="1"/>
  <c r="I39" i="18" a="1"/>
  <c r="H39" i="18" a="1"/>
  <c r="K38" i="18" a="1"/>
  <c r="J38" i="18" a="1"/>
  <c r="I38" i="18" a="1"/>
  <c r="H38" i="18" a="1"/>
  <c r="K37" i="18" a="1"/>
  <c r="J37" i="18" a="1"/>
  <c r="I37" i="18" a="1"/>
  <c r="H37" i="18" a="1"/>
  <c r="K36" i="18" a="1"/>
  <c r="J36" i="18" a="1"/>
  <c r="I36" i="18" a="1"/>
  <c r="H36" i="18" a="1"/>
  <c r="K35" i="18" a="1"/>
  <c r="J35" i="18" a="1"/>
  <c r="I35" i="18" a="1"/>
  <c r="H35" i="18" a="1"/>
  <c r="K34" i="18" a="1"/>
  <c r="J34" i="18" a="1"/>
  <c r="I34" i="18" a="1"/>
  <c r="H34" i="18" a="1"/>
  <c r="K33" i="18" a="1"/>
  <c r="J33" i="18" a="1"/>
  <c r="I33" i="18" a="1"/>
  <c r="H33" i="18" a="1"/>
  <c r="K32" i="18" a="1"/>
  <c r="J32" i="18" a="1"/>
  <c r="I32" i="18" a="1"/>
  <c r="H32" i="18" a="1"/>
  <c r="K31" i="18" a="1"/>
  <c r="J31" i="18" a="1"/>
  <c r="I31" i="18" a="1"/>
  <c r="H31" i="18" a="1"/>
  <c r="K30" i="18" a="1"/>
  <c r="J30" i="18" a="1"/>
  <c r="I30" i="18" a="1"/>
  <c r="H30" i="18" a="1"/>
  <c r="K29" i="18" a="1"/>
  <c r="J29" i="18" a="1"/>
  <c r="I29" i="18" a="1"/>
  <c r="H29" i="18" a="1"/>
  <c r="K28" i="18" a="1"/>
  <c r="J28" i="18" a="1"/>
  <c r="I28" i="18" a="1"/>
  <c r="H28" i="18" a="1"/>
  <c r="K27" i="18" a="1"/>
  <c r="J27" i="18" a="1"/>
  <c r="I27" i="18" a="1"/>
  <c r="H27" i="18" a="1"/>
  <c r="K26" i="18" a="1"/>
  <c r="J26" i="18" a="1"/>
  <c r="I26" i="18" a="1"/>
  <c r="H26" i="18" a="1"/>
  <c r="K25" i="18" a="1"/>
  <c r="J25" i="18" a="1"/>
  <c r="I25" i="18" a="1"/>
  <c r="H25" i="18" a="1"/>
  <c r="K24" i="18" a="1"/>
  <c r="J24" i="18" a="1"/>
  <c r="I24" i="18" a="1"/>
  <c r="H24" i="18" a="1"/>
  <c r="K23" i="18" a="1"/>
  <c r="J23" i="18" a="1"/>
  <c r="I23" i="18" a="1"/>
  <c r="H23" i="18" a="1"/>
  <c r="K22" i="18" a="1"/>
  <c r="J22" i="18" a="1"/>
  <c r="I22" i="18" a="1"/>
  <c r="H22" i="18" a="1"/>
  <c r="K21" i="18" a="1"/>
  <c r="J21" i="18" a="1"/>
  <c r="I21" i="18" a="1"/>
  <c r="H21" i="18" a="1"/>
  <c r="K20" i="18" a="1"/>
  <c r="J20" i="18" a="1"/>
  <c r="I20" i="18" a="1"/>
  <c r="H20" i="18" a="1"/>
  <c r="K19" i="18" a="1"/>
  <c r="J19" i="18" a="1"/>
  <c r="I19" i="18" a="1"/>
  <c r="H19" i="18" a="1"/>
  <c r="K18" i="18" a="1"/>
  <c r="J18" i="18" a="1"/>
  <c r="I18" i="18" a="1"/>
  <c r="H18" i="18" a="1"/>
  <c r="K17" i="18" a="1"/>
  <c r="J17" i="18" a="1"/>
  <c r="I17" i="18" a="1"/>
  <c r="H17" i="18" a="1"/>
  <c r="K16" i="18" a="1"/>
  <c r="J16" i="18" a="1"/>
  <c r="I16" i="18" a="1"/>
  <c r="H16" i="18" a="1"/>
  <c r="K15" i="18" a="1"/>
  <c r="J15" i="18" a="1"/>
  <c r="I15" i="18" a="1"/>
  <c r="H15" i="18" a="1"/>
  <c r="K14" i="18" a="1"/>
  <c r="J14" i="18" a="1"/>
  <c r="I14" i="18" a="1"/>
  <c r="H14" i="18" a="1"/>
  <c r="K13" i="18" a="1"/>
  <c r="J13" i="18" a="1"/>
  <c r="I13" i="18" a="1"/>
  <c r="H13" i="18" a="1"/>
  <c r="K12" i="18" a="1"/>
  <c r="J12" i="18" a="1"/>
  <c r="I12" i="18" a="1"/>
  <c r="H12" i="18" a="1"/>
  <c r="K11" i="18" a="1"/>
  <c r="J11" i="18" a="1"/>
  <c r="I11" i="18" a="1"/>
  <c r="H11" i="18" a="1"/>
  <c r="K10" i="18" a="1"/>
  <c r="J10" i="18" a="1"/>
  <c r="I10" i="18" a="1"/>
  <c r="H10" i="18" a="1"/>
  <c r="K9" i="18" a="1"/>
  <c r="J9" i="18" a="1"/>
  <c r="I9" i="18" a="1"/>
  <c r="H9" i="18" a="1"/>
  <c r="K8" i="18" a="1"/>
  <c r="J8" i="18" a="1"/>
  <c r="I8" i="18" a="1"/>
  <c r="H8" i="18" a="1"/>
  <c r="K7" i="18" a="1"/>
  <c r="J7" i="18" a="1"/>
  <c r="I7" i="18" a="1"/>
  <c r="H7" i="18" a="1"/>
  <c r="K6" i="18" a="1"/>
  <c r="J6" i="18" a="1"/>
  <c r="I6" i="18" a="1"/>
  <c r="H6" i="18" a="1"/>
  <c r="K5" i="18" a="1"/>
  <c r="J5" i="18" a="1"/>
  <c r="I5" i="18" a="1"/>
  <c r="H5" i="18" a="1"/>
  <c r="K4" i="18" a="1"/>
  <c r="J4" i="18" a="1"/>
  <c r="I4" i="18" a="1"/>
  <c r="H4" i="18" a="1"/>
  <c r="K3" i="18" a="1"/>
  <c r="J3" i="18" a="1"/>
  <c r="I3" i="18" a="1"/>
  <c r="H3" i="18" a="1"/>
  <c r="K2" i="18" a="1"/>
  <c r="J2" i="18" a="1"/>
  <c r="I2" i="18" a="1"/>
  <c r="H2" i="18" a="1"/>
  <c r="J3" i="1" a="1"/>
  <c r="J4" i="1" a="1"/>
  <c r="J5" i="1" a="1"/>
  <c r="J6" i="1" a="1"/>
  <c r="J7" i="1" a="1"/>
  <c r="J8" i="1" a="1"/>
  <c r="J9" i="1" a="1"/>
  <c r="J10" i="1" a="1"/>
  <c r="J11" i="1" a="1"/>
  <c r="J12" i="1" a="1"/>
  <c r="J13" i="1" a="1"/>
  <c r="J14" i="1" a="1"/>
  <c r="J15" i="1" a="1"/>
  <c r="J16" i="1" a="1"/>
  <c r="J17" i="1" a="1"/>
  <c r="J18" i="1" a="1"/>
  <c r="J19" i="1" a="1"/>
  <c r="J20" i="1" a="1"/>
  <c r="J21" i="1" a="1"/>
  <c r="J22" i="1" a="1"/>
  <c r="J23" i="1" a="1"/>
  <c r="J24" i="1" a="1"/>
  <c r="J25" i="1" a="1"/>
  <c r="J26" i="1" a="1"/>
  <c r="J27" i="1" a="1"/>
  <c r="J28" i="1" a="1"/>
  <c r="J29" i="1" a="1"/>
  <c r="J30" i="1" a="1"/>
  <c r="J31" i="1" a="1"/>
  <c r="J32" i="1" a="1"/>
  <c r="J33" i="1" a="1"/>
  <c r="J34" i="1" a="1"/>
  <c r="J35" i="1" a="1"/>
  <c r="J36" i="1" a="1"/>
  <c r="J37" i="1" a="1"/>
  <c r="J38" i="1" a="1"/>
  <c r="J39" i="1" a="1"/>
  <c r="J40" i="1" a="1"/>
  <c r="J41" i="1" a="1"/>
  <c r="J42" i="1" a="1"/>
  <c r="J43" i="1" a="1"/>
  <c r="J44" i="1" a="1"/>
  <c r="J45" i="1" a="1"/>
  <c r="J46" i="1" a="1"/>
  <c r="J47" i="1" a="1"/>
  <c r="J48" i="1" a="1"/>
  <c r="J49" i="1" a="1"/>
  <c r="J50" i="1" a="1"/>
  <c r="J51" i="1" a="1"/>
  <c r="J52" i="1" a="1"/>
  <c r="J53" i="1" a="1"/>
  <c r="J54" i="1" a="1"/>
  <c r="J55" i="1" a="1"/>
  <c r="J56" i="1" a="1"/>
  <c r="J57" i="1" a="1"/>
  <c r="J58" i="1" a="1"/>
  <c r="J59" i="1" a="1"/>
  <c r="J60" i="1" a="1"/>
  <c r="J61" i="1" a="1"/>
  <c r="J62" i="1" a="1"/>
  <c r="J63" i="1" a="1"/>
  <c r="J64" i="1" a="1"/>
  <c r="J65" i="1" a="1"/>
  <c r="J66" i="1" a="1"/>
  <c r="J67" i="1" a="1"/>
  <c r="J68" i="1" a="1"/>
  <c r="J69" i="1" a="1"/>
  <c r="J70" i="1" a="1"/>
  <c r="J71" i="1" a="1"/>
  <c r="J72" i="1" a="1"/>
  <c r="J73" i="1" a="1"/>
  <c r="J74" i="1" a="1"/>
  <c r="J75" i="1" a="1"/>
  <c r="J76" i="1" a="1"/>
  <c r="J77" i="1" a="1"/>
  <c r="J78" i="1" a="1"/>
  <c r="J79" i="1" a="1"/>
  <c r="J80" i="1" a="1"/>
  <c r="J81" i="1" a="1"/>
  <c r="J82" i="1" a="1"/>
  <c r="J83" i="1" a="1"/>
  <c r="J84" i="1" a="1"/>
  <c r="J85" i="1" a="1"/>
  <c r="J86" i="1" a="1"/>
  <c r="J87" i="1" a="1"/>
  <c r="J88" i="1" a="1"/>
  <c r="J89" i="1" a="1"/>
  <c r="J90" i="1" a="1"/>
  <c r="J91" i="1" a="1"/>
  <c r="J92" i="1" a="1"/>
  <c r="J93" i="1" a="1"/>
  <c r="J94" i="1" a="1"/>
  <c r="J95" i="1" a="1"/>
  <c r="J96" i="1" a="1"/>
  <c r="J97" i="1" a="1"/>
  <c r="J98" i="1" a="1"/>
  <c r="J99" i="1" a="1"/>
  <c r="J100" i="1" a="1"/>
  <c r="J101" i="1" a="1"/>
  <c r="J102" i="1" a="1"/>
  <c r="J103" i="1" a="1"/>
  <c r="J104" i="1" a="1"/>
  <c r="J105" i="1" a="1"/>
  <c r="J106" i="1" a="1"/>
  <c r="J107" i="1" a="1"/>
  <c r="J108" i="1" a="1"/>
  <c r="J109" i="1" a="1"/>
  <c r="J110" i="1" a="1"/>
  <c r="J111" i="1" a="1"/>
  <c r="J112" i="1" a="1"/>
  <c r="J113" i="1" a="1"/>
  <c r="J114" i="1" a="1"/>
  <c r="J115" i="1" a="1"/>
  <c r="J116" i="1" a="1"/>
  <c r="J117" i="1" a="1"/>
  <c r="J118" i="1" a="1"/>
  <c r="J119" i="1" a="1"/>
  <c r="J120" i="1" a="1"/>
  <c r="J121" i="1" a="1"/>
  <c r="J122" i="1" a="1"/>
  <c r="J123" i="1" a="1"/>
  <c r="J124" i="1" a="1"/>
  <c r="J125" i="1" a="1"/>
  <c r="J126" i="1" a="1"/>
  <c r="J127" i="1" a="1"/>
  <c r="J128" i="1" a="1"/>
  <c r="J129" i="1" a="1"/>
  <c r="J130" i="1" a="1"/>
  <c r="J131" i="1" a="1"/>
  <c r="J132" i="1" a="1"/>
  <c r="J133" i="1" a="1"/>
  <c r="J134" i="1" a="1"/>
  <c r="J135" i="1" a="1"/>
  <c r="J136" i="1" a="1"/>
  <c r="J137" i="1" a="1"/>
  <c r="J138" i="1" a="1"/>
  <c r="J139" i="1" a="1"/>
  <c r="J140" i="1" a="1"/>
  <c r="J141" i="1" a="1"/>
  <c r="J142" i="1" a="1"/>
  <c r="J143" i="1" a="1"/>
  <c r="J144" i="1" a="1"/>
  <c r="J145" i="1" a="1"/>
  <c r="J146" i="1" a="1"/>
  <c r="J147" i="1" a="1"/>
  <c r="J148" i="1" a="1"/>
  <c r="J149" i="1" a="1"/>
  <c r="J150" i="1" a="1"/>
  <c r="J151" i="1" a="1"/>
  <c r="J152" i="1" a="1"/>
  <c r="J153" i="1" a="1"/>
  <c r="J154" i="1" a="1"/>
  <c r="J155" i="1" a="1"/>
  <c r="J156" i="1" a="1"/>
  <c r="J157" i="1" a="1"/>
  <c r="J158" i="1" a="1"/>
  <c r="J159" i="1" a="1"/>
  <c r="J160" i="1" a="1"/>
  <c r="J161" i="1" a="1"/>
  <c r="J162" i="1" a="1"/>
  <c r="J163" i="1" a="1"/>
  <c r="J164" i="1" a="1"/>
  <c r="J165" i="1" a="1"/>
  <c r="J166" i="1" a="1"/>
  <c r="J167" i="1" a="1"/>
  <c r="J168" i="1" a="1"/>
  <c r="J169" i="1" a="1"/>
  <c r="J170" i="1" a="1"/>
  <c r="J171" i="1" a="1"/>
  <c r="J172" i="1" a="1"/>
  <c r="J173" i="1" a="1"/>
  <c r="J174" i="1" a="1"/>
  <c r="J175" i="1" a="1"/>
  <c r="J176" i="1" a="1"/>
  <c r="J177" i="1" a="1"/>
  <c r="J178" i="1" a="1"/>
  <c r="J179" i="1" a="1"/>
  <c r="J180" i="1" a="1"/>
  <c r="J181" i="1" a="1"/>
  <c r="J182" i="1" a="1"/>
  <c r="J183" i="1" a="1"/>
  <c r="J184" i="1" a="1"/>
  <c r="J185" i="1" a="1"/>
  <c r="J186" i="1" a="1"/>
  <c r="J187" i="1" a="1"/>
  <c r="J188" i="1" a="1"/>
  <c r="J189" i="1" a="1"/>
  <c r="J190" i="1" a="1"/>
  <c r="J191" i="1" a="1"/>
  <c r="J192" i="1" a="1"/>
  <c r="J193" i="1" a="1"/>
  <c r="J194" i="1" a="1"/>
  <c r="J195" i="1" a="1"/>
  <c r="J196" i="1" a="1"/>
  <c r="J197" i="1" a="1"/>
  <c r="J198" i="1" a="1"/>
  <c r="J199" i="1" a="1"/>
  <c r="J200" i="1" a="1"/>
  <c r="J201" i="1" a="1"/>
  <c r="J202" i="1" a="1"/>
  <c r="J203" i="1" a="1"/>
  <c r="J204" i="1" a="1"/>
  <c r="J205" i="1" a="1"/>
  <c r="J206" i="1" a="1"/>
  <c r="J207" i="1" a="1"/>
  <c r="J208" i="1" a="1"/>
  <c r="J209" i="1" a="1"/>
  <c r="J210" i="1" a="1"/>
  <c r="J211" i="1" a="1"/>
  <c r="J212" i="1" a="1"/>
  <c r="J213" i="1" a="1"/>
  <c r="J214" i="1" a="1"/>
  <c r="J215" i="1" a="1"/>
  <c r="J216" i="1" a="1"/>
  <c r="J217" i="1" a="1"/>
  <c r="J218" i="1" a="1"/>
  <c r="J219" i="1" a="1"/>
  <c r="J220" i="1" a="1"/>
  <c r="J221" i="1" a="1"/>
  <c r="J222" i="1" a="1"/>
  <c r="J223" i="1" a="1"/>
  <c r="J224" i="1" a="1"/>
  <c r="J225" i="1" a="1"/>
  <c r="J226" i="1" a="1"/>
  <c r="J227" i="1" a="1"/>
  <c r="J228" i="1" a="1"/>
  <c r="J229" i="1" a="1"/>
  <c r="J230" i="1" a="1"/>
  <c r="J231" i="1" a="1"/>
  <c r="J232" i="1" a="1"/>
  <c r="J233" i="1" a="1"/>
  <c r="J234" i="1" a="1"/>
  <c r="J235" i="1" a="1"/>
  <c r="J236" i="1" a="1"/>
  <c r="J237" i="1" a="1"/>
  <c r="J238" i="1" a="1"/>
  <c r="J239" i="1" a="1"/>
  <c r="J240" i="1" a="1"/>
  <c r="J241" i="1" a="1"/>
  <c r="J242" i="1" a="1"/>
  <c r="J243" i="1" a="1"/>
  <c r="J244" i="1" a="1"/>
  <c r="J245" i="1" a="1"/>
  <c r="J246" i="1" a="1"/>
  <c r="J247" i="1" a="1"/>
  <c r="J248" i="1" a="1"/>
  <c r="J249" i="1" a="1"/>
  <c r="J250" i="1" a="1"/>
  <c r="J251" i="1" a="1"/>
  <c r="J252" i="1" a="1"/>
  <c r="J253" i="1" a="1"/>
  <c r="J254" i="1" a="1"/>
  <c r="J255" i="1" a="1"/>
  <c r="J256" i="1" a="1"/>
  <c r="J257" i="1" a="1"/>
  <c r="J258" i="1" a="1"/>
  <c r="J259" i="1" a="1"/>
  <c r="J260" i="1" a="1"/>
  <c r="J261" i="1" a="1"/>
  <c r="J262" i="1" a="1"/>
  <c r="J263" i="1" a="1"/>
  <c r="J264" i="1" a="1"/>
  <c r="J265" i="1" a="1"/>
  <c r="J266" i="1" a="1"/>
  <c r="J267" i="1" a="1"/>
  <c r="J268" i="1" a="1"/>
  <c r="J269" i="1" a="1"/>
  <c r="J270" i="1" a="1"/>
  <c r="J271" i="1" a="1"/>
  <c r="J272" i="1" a="1"/>
  <c r="J273" i="1" a="1"/>
  <c r="J274" i="1" a="1"/>
  <c r="J275" i="1" a="1"/>
  <c r="J276" i="1" a="1"/>
  <c r="J277" i="1" a="1"/>
  <c r="J278" i="1" a="1"/>
  <c r="J279" i="1" a="1"/>
  <c r="J280" i="1" a="1"/>
  <c r="J281" i="1" a="1"/>
  <c r="J282" i="1" a="1"/>
  <c r="J283" i="1" a="1"/>
  <c r="J284" i="1" a="1"/>
  <c r="J285" i="1" a="1"/>
  <c r="J286" i="1" a="1"/>
  <c r="J287" i="1" a="1"/>
  <c r="J288" i="1" a="1"/>
  <c r="J289" i="1" a="1"/>
  <c r="J290" i="1" a="1"/>
  <c r="J291" i="1" a="1"/>
  <c r="J292" i="1" a="1"/>
  <c r="J293" i="1" a="1"/>
  <c r="J294" i="1" a="1"/>
  <c r="J295" i="1" a="1"/>
  <c r="J296" i="1" a="1"/>
  <c r="J297" i="1" a="1"/>
  <c r="J298" i="1" a="1"/>
  <c r="J299" i="1" a="1"/>
  <c r="J300" i="1" a="1"/>
  <c r="J301" i="1" a="1"/>
  <c r="J302" i="1" a="1"/>
  <c r="J303" i="1" a="1"/>
  <c r="J304" i="1" a="1"/>
  <c r="J305" i="1" a="1"/>
  <c r="J306" i="1" a="1"/>
  <c r="J307" i="1" a="1"/>
  <c r="J308" i="1" a="1"/>
  <c r="J309" i="1" a="1"/>
  <c r="J310" i="1" a="1"/>
  <c r="J311" i="1" a="1"/>
  <c r="J312" i="1" a="1"/>
  <c r="J313" i="1" a="1"/>
  <c r="J314" i="1" a="1"/>
  <c r="J315" i="1" a="1"/>
  <c r="J316" i="1" a="1"/>
  <c r="J317" i="1" a="1"/>
  <c r="J318" i="1" a="1"/>
  <c r="J319" i="1" a="1"/>
  <c r="J320" i="1" a="1"/>
  <c r="J321" i="1" a="1"/>
  <c r="J322" i="1" a="1"/>
  <c r="J323" i="1" a="1"/>
  <c r="J324" i="1" a="1"/>
  <c r="J325" i="1" a="1"/>
  <c r="J326" i="1" a="1"/>
  <c r="J327" i="1" a="1"/>
  <c r="J328" i="1" a="1"/>
  <c r="J329" i="1" a="1"/>
  <c r="J330" i="1" a="1"/>
  <c r="J331" i="1" a="1"/>
  <c r="J332" i="1" a="1"/>
  <c r="J333" i="1" a="1"/>
  <c r="J334" i="1" a="1"/>
  <c r="J335" i="1" a="1"/>
  <c r="J336" i="1" a="1"/>
  <c r="J337" i="1" a="1"/>
  <c r="J338" i="1" a="1"/>
  <c r="J339" i="1" a="1"/>
  <c r="J340" i="1" a="1"/>
  <c r="J341" i="1" a="1"/>
  <c r="J342" i="1" a="1"/>
  <c r="J343" i="1" a="1"/>
  <c r="J344" i="1" a="1"/>
  <c r="J345" i="1" a="1"/>
  <c r="J346" i="1" a="1"/>
  <c r="J347" i="1" a="1"/>
  <c r="J348" i="1" a="1"/>
  <c r="J349" i="1" a="1"/>
  <c r="J350" i="1" a="1"/>
  <c r="J351" i="1" a="1"/>
  <c r="J352" i="1" a="1"/>
  <c r="J353" i="1" a="1"/>
  <c r="J354" i="1" a="1"/>
  <c r="J355" i="1" a="1"/>
  <c r="J356" i="1" a="1"/>
  <c r="J357" i="1" a="1"/>
  <c r="J358" i="1" a="1"/>
  <c r="J359" i="1" a="1"/>
  <c r="J360" i="1" a="1"/>
  <c r="J361" i="1" a="1"/>
  <c r="J362" i="1" a="1"/>
  <c r="J363" i="1" a="1"/>
  <c r="J364" i="1" a="1"/>
  <c r="J365" i="1" a="1"/>
  <c r="J366" i="1" a="1"/>
  <c r="J367" i="1" a="1"/>
  <c r="J368" i="1" a="1"/>
  <c r="J369" i="1" a="1"/>
  <c r="J370" i="1" a="1"/>
  <c r="J371" i="1" a="1"/>
  <c r="J372" i="1" a="1"/>
  <c r="J373" i="1" a="1"/>
  <c r="J374" i="1" a="1"/>
  <c r="J375" i="1" a="1"/>
  <c r="J376" i="1" a="1"/>
  <c r="J377" i="1" a="1"/>
  <c r="J378" i="1" a="1"/>
  <c r="J379" i="1" a="1"/>
  <c r="J380" i="1" a="1"/>
  <c r="J381" i="1" a="1"/>
  <c r="J382" i="1" a="1"/>
  <c r="J383" i="1" a="1"/>
  <c r="J384" i="1" a="1"/>
  <c r="J385" i="1" a="1"/>
  <c r="J386" i="1" a="1"/>
  <c r="J387" i="1" a="1"/>
  <c r="J388" i="1" a="1"/>
  <c r="J389" i="1" a="1"/>
  <c r="J390" i="1" a="1"/>
  <c r="J391" i="1" a="1"/>
  <c r="J392" i="1" a="1"/>
  <c r="J393" i="1" a="1"/>
  <c r="J394" i="1" a="1"/>
  <c r="J395" i="1" a="1"/>
  <c r="J396" i="1" a="1"/>
  <c r="J397" i="1" a="1"/>
  <c r="J398" i="1" a="1"/>
  <c r="J399" i="1" a="1"/>
  <c r="J400" i="1" a="1"/>
  <c r="J401" i="1" a="1"/>
  <c r="J402" i="1" a="1"/>
  <c r="J403" i="1" a="1"/>
  <c r="J404" i="1" a="1"/>
  <c r="J405" i="1" a="1"/>
  <c r="J406" i="1" a="1"/>
  <c r="J407" i="1" a="1"/>
  <c r="J408" i="1" a="1"/>
  <c r="J409" i="1" a="1"/>
  <c r="J410" i="1" a="1"/>
  <c r="J411" i="1" a="1"/>
  <c r="J412" i="1" a="1"/>
  <c r="J413" i="1" a="1"/>
  <c r="J414" i="1" a="1"/>
  <c r="J415" i="1" a="1"/>
  <c r="J416" i="1" a="1"/>
  <c r="J417" i="1" a="1"/>
  <c r="J418" i="1" a="1"/>
  <c r="J419" i="1" a="1"/>
  <c r="J420" i="1" a="1"/>
  <c r="J421" i="1" a="1"/>
  <c r="J422" i="1" a="1"/>
  <c r="J423" i="1" a="1"/>
  <c r="J424" i="1" a="1"/>
  <c r="J425" i="1" a="1"/>
  <c r="J426" i="1" a="1"/>
  <c r="J427" i="1" a="1"/>
  <c r="J428" i="1" a="1"/>
  <c r="J429" i="1" a="1"/>
  <c r="J430" i="1" a="1"/>
  <c r="J431" i="1" a="1"/>
  <c r="J432" i="1" a="1"/>
  <c r="J433" i="1" a="1"/>
  <c r="J434" i="1" a="1"/>
  <c r="J435" i="1" a="1"/>
  <c r="J436" i="1" a="1"/>
  <c r="J437" i="1" a="1"/>
  <c r="J438" i="1" a="1"/>
  <c r="J439" i="1" a="1"/>
  <c r="J440" i="1" a="1"/>
  <c r="J441" i="1" a="1"/>
  <c r="J442" i="1" a="1"/>
  <c r="J443" i="1" a="1"/>
  <c r="J444" i="1" a="1"/>
  <c r="J445" i="1" a="1"/>
  <c r="J446" i="1" a="1"/>
  <c r="J447" i="1" a="1"/>
  <c r="J448" i="1" a="1"/>
  <c r="J449" i="1" a="1"/>
  <c r="J450" i="1" a="1"/>
  <c r="J451" i="1" a="1"/>
  <c r="J452" i="1" a="1"/>
  <c r="J453" i="1" a="1"/>
  <c r="J454" i="1" a="1"/>
  <c r="J455" i="1" a="1"/>
  <c r="J456" i="1" a="1"/>
  <c r="J457" i="1" a="1"/>
  <c r="J458" i="1" a="1"/>
  <c r="J459" i="1" a="1"/>
  <c r="J460" i="1" a="1"/>
  <c r="J461" i="1" a="1"/>
  <c r="J462" i="1" a="1"/>
  <c r="J463" i="1" a="1"/>
  <c r="J464" i="1" a="1"/>
  <c r="J465" i="1" a="1"/>
  <c r="J466" i="1" a="1"/>
  <c r="J467" i="1" a="1"/>
  <c r="J468" i="1" a="1"/>
  <c r="J469" i="1" a="1"/>
  <c r="J470" i="1" a="1"/>
  <c r="J471" i="1" a="1"/>
  <c r="J472" i="1" a="1"/>
  <c r="J473" i="1" a="1"/>
  <c r="J474" i="1" a="1"/>
  <c r="J475" i="1" a="1"/>
  <c r="J476" i="1" a="1"/>
  <c r="J477" i="1" a="1"/>
  <c r="J478" i="1" a="1"/>
  <c r="J479" i="1" a="1"/>
  <c r="J480" i="1" a="1"/>
  <c r="J481" i="1" a="1"/>
  <c r="J482" i="1" a="1"/>
  <c r="J483" i="1" a="1"/>
  <c r="J484" i="1" a="1"/>
  <c r="J485" i="1" a="1"/>
  <c r="J486" i="1" a="1"/>
  <c r="J487" i="1" a="1"/>
  <c r="J488" i="1" a="1"/>
  <c r="J489" i="1" a="1"/>
  <c r="J490" i="1" a="1"/>
  <c r="J491" i="1" a="1"/>
  <c r="J492" i="1" a="1"/>
  <c r="J493" i="1" a="1"/>
  <c r="J494" i="1" a="1"/>
  <c r="J495" i="1" a="1"/>
  <c r="J496" i="1" a="1"/>
  <c r="J497" i="1" a="1"/>
  <c r="J498" i="1" a="1"/>
  <c r="J499" i="1" a="1"/>
  <c r="J500" i="1" a="1"/>
  <c r="J501" i="1" a="1"/>
  <c r="J502" i="1" a="1"/>
  <c r="J503" i="1" a="1"/>
  <c r="J504" i="1" a="1"/>
  <c r="J505" i="1" a="1"/>
  <c r="J506" i="1" a="1"/>
  <c r="J507" i="1" a="1"/>
  <c r="J508" i="1" a="1"/>
  <c r="J509" i="1" a="1"/>
  <c r="J510" i="1" a="1"/>
  <c r="J511" i="1" a="1"/>
  <c r="J512" i="1" a="1"/>
  <c r="J513" i="1" a="1"/>
  <c r="J514" i="1" a="1"/>
  <c r="J515" i="1" a="1"/>
  <c r="J516" i="1" a="1"/>
  <c r="J517" i="1" a="1"/>
  <c r="J518" i="1" a="1"/>
  <c r="J519" i="1" a="1"/>
  <c r="J520" i="1" a="1"/>
  <c r="J521" i="1" a="1"/>
  <c r="J522" i="1" a="1"/>
  <c r="J523" i="1" a="1"/>
  <c r="J524" i="1" a="1"/>
  <c r="J525" i="1" a="1"/>
  <c r="J526" i="1" a="1"/>
  <c r="J527" i="1" a="1"/>
  <c r="J528" i="1" a="1"/>
  <c r="J529" i="1" a="1"/>
  <c r="J530" i="1" a="1"/>
  <c r="J531" i="1" a="1"/>
  <c r="J532" i="1" a="1"/>
  <c r="J533" i="1" a="1"/>
  <c r="J534" i="1" a="1"/>
  <c r="J535" i="1" a="1"/>
  <c r="J536" i="1" a="1"/>
  <c r="J537" i="1" a="1"/>
  <c r="J538" i="1" a="1"/>
  <c r="J539" i="1" a="1"/>
  <c r="J540" i="1" a="1"/>
  <c r="J541" i="1" a="1"/>
  <c r="J542" i="1" a="1"/>
  <c r="J543" i="1" a="1"/>
  <c r="J544" i="1" a="1"/>
  <c r="J545" i="1" a="1"/>
  <c r="J546" i="1" a="1"/>
  <c r="J547" i="1" a="1"/>
  <c r="J548" i="1" a="1"/>
  <c r="J549" i="1" a="1"/>
  <c r="J550" i="1" a="1"/>
  <c r="J551" i="1" a="1"/>
  <c r="J552" i="1" a="1"/>
  <c r="J553" i="1" a="1"/>
  <c r="J554" i="1" a="1"/>
  <c r="J555" i="1" a="1"/>
  <c r="J556" i="1" a="1"/>
  <c r="J557" i="1" a="1"/>
  <c r="J558" i="1" a="1"/>
  <c r="J559" i="1" a="1"/>
  <c r="J560" i="1" a="1"/>
  <c r="J561" i="1" a="1"/>
  <c r="J562" i="1" a="1"/>
  <c r="J563" i="1" a="1"/>
  <c r="J564" i="1" a="1"/>
  <c r="J565" i="1" a="1"/>
  <c r="J566" i="1" a="1"/>
  <c r="J567" i="1" a="1"/>
  <c r="J568" i="1" a="1"/>
  <c r="J569" i="1" a="1"/>
  <c r="J570" i="1" a="1"/>
  <c r="J571" i="1" a="1"/>
  <c r="J572" i="1" a="1"/>
  <c r="J573" i="1" a="1"/>
  <c r="J574" i="1" a="1"/>
  <c r="J575" i="1" a="1"/>
  <c r="J576" i="1" a="1"/>
  <c r="J577" i="1" a="1"/>
  <c r="J578" i="1" a="1"/>
  <c r="J579" i="1" a="1"/>
  <c r="J580" i="1" a="1"/>
  <c r="J581" i="1" a="1"/>
  <c r="J582" i="1" a="1"/>
  <c r="J583" i="1" a="1"/>
  <c r="J584" i="1" a="1"/>
  <c r="J585" i="1" a="1"/>
  <c r="J586" i="1" a="1"/>
  <c r="J587" i="1" a="1"/>
  <c r="J588" i="1" a="1"/>
  <c r="J589" i="1" a="1"/>
  <c r="J590" i="1" a="1"/>
  <c r="J591" i="1" a="1"/>
  <c r="J592" i="1" a="1"/>
  <c r="J593" i="1" a="1"/>
  <c r="J594" i="1" a="1"/>
  <c r="J595" i="1" a="1"/>
  <c r="J596" i="1" a="1"/>
  <c r="J597" i="1" a="1"/>
  <c r="J598" i="1" a="1"/>
  <c r="J599" i="1" a="1"/>
  <c r="J600" i="1" a="1"/>
  <c r="J601" i="1" a="1"/>
  <c r="J602" i="1" a="1"/>
  <c r="J603" i="1" a="1"/>
  <c r="J604" i="1" a="1"/>
  <c r="J605" i="1" a="1"/>
  <c r="J606" i="1" a="1"/>
  <c r="J607" i="1" a="1"/>
  <c r="J608" i="1" a="1"/>
  <c r="J609" i="1" a="1"/>
  <c r="J610" i="1" a="1"/>
  <c r="J611" i="1" a="1"/>
  <c r="J612" i="1" a="1"/>
  <c r="J613" i="1" a="1"/>
  <c r="J614" i="1" a="1"/>
  <c r="J615" i="1" a="1"/>
  <c r="J616" i="1" a="1"/>
  <c r="J617" i="1" a="1"/>
  <c r="J618" i="1" a="1"/>
  <c r="J619" i="1" a="1"/>
  <c r="J620" i="1" a="1"/>
  <c r="J621" i="1" a="1"/>
  <c r="J622" i="1" a="1"/>
  <c r="J623" i="1" a="1"/>
  <c r="J624" i="1" a="1"/>
  <c r="J625" i="1" a="1"/>
  <c r="J626" i="1" a="1"/>
  <c r="J627" i="1" a="1"/>
  <c r="J628" i="1" a="1"/>
  <c r="J629" i="1" a="1"/>
  <c r="J630" i="1" a="1"/>
  <c r="J631" i="1" a="1"/>
  <c r="J632" i="1" a="1"/>
  <c r="J633" i="1" a="1"/>
  <c r="J634" i="1" a="1"/>
  <c r="J635" i="1" a="1"/>
  <c r="J636" i="1" a="1"/>
  <c r="J637" i="1" a="1"/>
  <c r="J638" i="1" a="1"/>
  <c r="J639" i="1" a="1"/>
  <c r="J640" i="1" a="1"/>
  <c r="J641" i="1" a="1"/>
  <c r="J642" i="1" a="1"/>
  <c r="J643" i="1" a="1"/>
  <c r="J644" i="1" a="1"/>
  <c r="J645" i="1" a="1"/>
  <c r="J646" i="1" a="1"/>
  <c r="J647" i="1" a="1"/>
  <c r="J648" i="1" a="1"/>
  <c r="J649" i="1" a="1"/>
  <c r="J650" i="1" a="1"/>
  <c r="J651" i="1" a="1"/>
  <c r="J652" i="1" a="1"/>
  <c r="J653" i="1" a="1"/>
  <c r="J654" i="1" a="1"/>
  <c r="J655" i="1" a="1"/>
  <c r="J656" i="1" a="1"/>
  <c r="J657" i="1" a="1"/>
  <c r="J658" i="1" a="1"/>
  <c r="J659" i="1" a="1"/>
  <c r="J660" i="1" a="1"/>
  <c r="J661" i="1" a="1"/>
  <c r="J662" i="1" a="1"/>
  <c r="J663" i="1" a="1"/>
  <c r="J664" i="1" a="1"/>
  <c r="J665" i="1" a="1"/>
  <c r="J666" i="1" a="1"/>
  <c r="J667" i="1" a="1"/>
  <c r="J668" i="1" a="1"/>
  <c r="J669" i="1" a="1"/>
  <c r="J670" i="1" a="1"/>
  <c r="J671" i="1" a="1"/>
  <c r="J672" i="1" a="1"/>
  <c r="J673" i="1" a="1"/>
  <c r="J674" i="1" a="1"/>
  <c r="J675" i="1" a="1"/>
  <c r="J676" i="1" a="1"/>
  <c r="J677" i="1" a="1"/>
  <c r="J678" i="1" a="1"/>
  <c r="J679" i="1" a="1"/>
  <c r="J680" i="1" a="1"/>
  <c r="J681" i="1" a="1"/>
  <c r="J682" i="1" a="1"/>
  <c r="J683" i="1" a="1"/>
  <c r="J684" i="1" a="1"/>
  <c r="J685" i="1" a="1"/>
  <c r="J686" i="1" a="1"/>
  <c r="J687" i="1" a="1"/>
  <c r="J688" i="1" a="1"/>
  <c r="J689" i="1" a="1"/>
  <c r="J690" i="1" a="1"/>
  <c r="J691" i="1" a="1"/>
  <c r="J692" i="1" a="1"/>
  <c r="J693" i="1" a="1"/>
  <c r="J694" i="1" a="1"/>
  <c r="J695" i="1" a="1"/>
  <c r="J696" i="1" a="1"/>
  <c r="J697" i="1" a="1"/>
  <c r="J698" i="1" a="1"/>
  <c r="J699" i="1" a="1"/>
  <c r="J700" i="1" a="1"/>
  <c r="J701" i="1" a="1"/>
  <c r="J702" i="1" a="1"/>
  <c r="J703" i="1" a="1"/>
  <c r="J704" i="1" a="1"/>
  <c r="J705" i="1" a="1"/>
  <c r="J706" i="1" a="1"/>
  <c r="J707" i="1" a="1"/>
  <c r="J708" i="1" a="1"/>
  <c r="J709" i="1" a="1"/>
  <c r="J710" i="1" a="1"/>
  <c r="J711" i="1" a="1"/>
  <c r="J712" i="1" a="1"/>
  <c r="J713" i="1" a="1"/>
  <c r="J714" i="1" a="1"/>
  <c r="J715" i="1" a="1"/>
  <c r="J716" i="1" a="1"/>
  <c r="J717" i="1" a="1"/>
  <c r="J718" i="1" a="1"/>
  <c r="J719" i="1" a="1"/>
  <c r="J720" i="1" a="1"/>
  <c r="J721" i="1" a="1"/>
  <c r="J722" i="1" a="1"/>
  <c r="J723" i="1" a="1"/>
  <c r="J724" i="1" a="1"/>
  <c r="J725" i="1" a="1"/>
  <c r="J726" i="1" a="1"/>
  <c r="J727" i="1" a="1"/>
  <c r="J728" i="1" a="1"/>
  <c r="J729" i="1" a="1"/>
  <c r="J730" i="1" a="1"/>
  <c r="J731" i="1" a="1"/>
  <c r="J732" i="1" a="1"/>
  <c r="J733" i="1" a="1"/>
  <c r="J734" i="1" a="1"/>
  <c r="J735" i="1" a="1"/>
  <c r="J736" i="1" a="1"/>
  <c r="J737" i="1" a="1"/>
  <c r="J738" i="1" a="1"/>
  <c r="J739" i="1" a="1"/>
  <c r="J740" i="1" a="1"/>
  <c r="J741" i="1" a="1"/>
  <c r="J742" i="1" a="1"/>
  <c r="J743" i="1" a="1"/>
  <c r="J744" i="1" a="1"/>
  <c r="J745" i="1" a="1"/>
  <c r="J746" i="1" a="1"/>
  <c r="J747" i="1" a="1"/>
  <c r="J748" i="1" a="1"/>
  <c r="J749" i="1" a="1"/>
  <c r="J750" i="1" a="1"/>
  <c r="J751" i="1" a="1"/>
  <c r="J752" i="1" a="1"/>
  <c r="J753" i="1" a="1"/>
  <c r="J754" i="1" a="1"/>
  <c r="J755" i="1" a="1"/>
  <c r="J756" i="1" a="1"/>
  <c r="J757" i="1" a="1"/>
  <c r="J758" i="1" a="1"/>
  <c r="J759" i="1" a="1"/>
  <c r="J760" i="1" a="1"/>
  <c r="J761" i="1" a="1"/>
  <c r="J762" i="1" a="1"/>
  <c r="J763" i="1" a="1"/>
  <c r="J764" i="1" a="1"/>
  <c r="J765" i="1" a="1"/>
  <c r="J766" i="1" a="1"/>
  <c r="J767" i="1" a="1"/>
  <c r="J768" i="1" a="1"/>
  <c r="J769" i="1" a="1"/>
  <c r="J770" i="1" a="1"/>
  <c r="J771" i="1" a="1"/>
  <c r="J772" i="1" a="1"/>
  <c r="J773" i="1" a="1"/>
  <c r="J774" i="1" a="1"/>
  <c r="J775" i="1" a="1"/>
  <c r="J776" i="1" a="1"/>
  <c r="J777" i="1" a="1"/>
  <c r="J778" i="1" a="1"/>
  <c r="J779" i="1" a="1"/>
  <c r="J780" i="1" a="1"/>
  <c r="J781" i="1" a="1"/>
  <c r="J782" i="1" a="1"/>
  <c r="J783" i="1" a="1"/>
  <c r="J784" i="1" a="1"/>
  <c r="J785" i="1" a="1"/>
  <c r="J786" i="1" a="1"/>
  <c r="J787" i="1" a="1"/>
  <c r="J788" i="1" a="1"/>
  <c r="J789" i="1" a="1"/>
  <c r="J790" i="1" a="1"/>
  <c r="J791" i="1" a="1"/>
  <c r="J792" i="1" a="1"/>
  <c r="J793" i="1" a="1"/>
  <c r="J794" i="1" a="1"/>
  <c r="J795" i="1" a="1"/>
  <c r="J796" i="1" a="1"/>
  <c r="J797" i="1" a="1"/>
  <c r="J798" i="1" a="1"/>
  <c r="J799" i="1" a="1"/>
  <c r="J800" i="1" a="1"/>
  <c r="J801" i="1" a="1"/>
  <c r="J802" i="1" a="1"/>
  <c r="J803" i="1" a="1"/>
  <c r="J804" i="1" a="1"/>
  <c r="J805" i="1" a="1"/>
  <c r="J806" i="1" a="1"/>
  <c r="J807" i="1" a="1"/>
  <c r="J808" i="1" a="1"/>
  <c r="J809" i="1" a="1"/>
  <c r="J810" i="1" a="1"/>
  <c r="J811" i="1" a="1"/>
  <c r="J812" i="1" a="1"/>
  <c r="J813" i="1" a="1"/>
  <c r="J814" i="1" a="1"/>
  <c r="J815" i="1" a="1"/>
  <c r="J816" i="1" a="1"/>
  <c r="J817" i="1" a="1"/>
  <c r="J818" i="1" a="1"/>
  <c r="J819" i="1" a="1"/>
  <c r="J820" i="1" a="1"/>
  <c r="J821" i="1" a="1"/>
  <c r="J822" i="1" a="1"/>
  <c r="J823" i="1" a="1"/>
  <c r="J824" i="1" a="1"/>
  <c r="J825" i="1" a="1"/>
  <c r="J826" i="1" a="1"/>
  <c r="J827" i="1" a="1"/>
  <c r="J828" i="1" a="1"/>
  <c r="J829" i="1" a="1"/>
  <c r="J830" i="1" a="1"/>
  <c r="J831" i="1" a="1"/>
  <c r="J832" i="1" a="1"/>
  <c r="J833" i="1" a="1"/>
  <c r="J834" i="1" a="1"/>
  <c r="J835" i="1" a="1"/>
  <c r="J836" i="1" a="1"/>
  <c r="J837" i="1" a="1"/>
  <c r="J838" i="1" a="1"/>
  <c r="J839" i="1" a="1"/>
  <c r="J840" i="1" a="1"/>
  <c r="J841" i="1" a="1"/>
  <c r="J842" i="1" a="1"/>
  <c r="J843" i="1" a="1"/>
  <c r="J844" i="1" a="1"/>
  <c r="J845" i="1" a="1"/>
  <c r="J846" i="1" a="1"/>
  <c r="J847" i="1" a="1"/>
  <c r="J848" i="1" a="1"/>
  <c r="J849" i="1" a="1"/>
  <c r="J850" i="1" a="1"/>
  <c r="J851" i="1" a="1"/>
  <c r="J852" i="1" a="1"/>
  <c r="J853" i="1" a="1"/>
  <c r="J854" i="1" a="1"/>
  <c r="J855" i="1" a="1"/>
  <c r="J856" i="1" a="1"/>
  <c r="J857" i="1" a="1"/>
  <c r="J858" i="1" a="1"/>
  <c r="J859" i="1" a="1"/>
  <c r="J860" i="1" a="1"/>
  <c r="J861" i="1" a="1"/>
  <c r="J862" i="1" a="1"/>
  <c r="J863" i="1" a="1"/>
  <c r="J864" i="1" a="1"/>
  <c r="J865" i="1" a="1"/>
  <c r="J866" i="1" a="1"/>
  <c r="J867" i="1" a="1"/>
  <c r="J868" i="1" a="1"/>
  <c r="J869" i="1" a="1"/>
  <c r="J870" i="1" a="1"/>
  <c r="J871" i="1" a="1"/>
  <c r="J872" i="1" a="1"/>
  <c r="J873" i="1" a="1"/>
  <c r="J874" i="1" a="1"/>
  <c r="J875" i="1" a="1"/>
  <c r="J876" i="1" a="1"/>
  <c r="J877" i="1" a="1"/>
  <c r="J878" i="1" a="1"/>
  <c r="J879" i="1" a="1"/>
  <c r="J880" i="1" a="1"/>
  <c r="J881" i="1" a="1"/>
  <c r="J882" i="1" a="1"/>
  <c r="J883" i="1" a="1"/>
  <c r="J884" i="1" a="1"/>
  <c r="J885" i="1" a="1"/>
  <c r="J886" i="1" a="1"/>
  <c r="J887" i="1" a="1"/>
  <c r="J888" i="1" a="1"/>
  <c r="J889" i="1" a="1"/>
  <c r="J890" i="1" a="1"/>
  <c r="J891" i="1" a="1"/>
  <c r="J892" i="1" a="1"/>
  <c r="J893" i="1" a="1"/>
  <c r="J894" i="1" a="1"/>
  <c r="J895" i="1" a="1"/>
  <c r="J896" i="1" a="1"/>
  <c r="J897" i="1" a="1"/>
  <c r="J898" i="1" a="1"/>
  <c r="J899" i="1" a="1"/>
  <c r="J900" i="1" a="1"/>
  <c r="J901" i="1" a="1"/>
  <c r="J902" i="1" a="1"/>
  <c r="J903" i="1" a="1"/>
  <c r="J904" i="1" a="1"/>
  <c r="J905" i="1" a="1"/>
  <c r="J906" i="1" a="1"/>
  <c r="J907" i="1" a="1"/>
  <c r="J908" i="1" a="1"/>
  <c r="J909" i="1" a="1"/>
  <c r="J910" i="1" a="1"/>
  <c r="J911" i="1" a="1"/>
  <c r="J912" i="1" a="1"/>
  <c r="J913" i="1" a="1"/>
  <c r="J914" i="1" a="1"/>
  <c r="J915" i="1" a="1"/>
  <c r="J916" i="1" a="1"/>
  <c r="J917" i="1" a="1"/>
  <c r="J918" i="1" a="1"/>
  <c r="J919" i="1" a="1"/>
  <c r="J920" i="1" a="1"/>
  <c r="J921" i="1" a="1"/>
  <c r="J922" i="1" a="1"/>
  <c r="J923" i="1" a="1"/>
  <c r="J924" i="1" a="1"/>
  <c r="J925" i="1" a="1"/>
  <c r="J926" i="1" a="1"/>
  <c r="J927" i="1" a="1"/>
  <c r="J928" i="1" a="1"/>
  <c r="J929" i="1" a="1"/>
  <c r="J930" i="1" a="1"/>
  <c r="J931" i="1" a="1"/>
  <c r="J932" i="1" a="1"/>
  <c r="J933" i="1" a="1"/>
  <c r="J934" i="1" a="1"/>
  <c r="J935" i="1" a="1"/>
  <c r="J936" i="1" a="1"/>
  <c r="J937" i="1" a="1"/>
  <c r="J938" i="1" a="1"/>
  <c r="J939" i="1" a="1"/>
  <c r="J940" i="1" a="1"/>
  <c r="J941" i="1" a="1"/>
  <c r="J942" i="1" a="1"/>
  <c r="J943" i="1" a="1"/>
  <c r="J944" i="1" a="1"/>
  <c r="J945" i="1" a="1"/>
  <c r="J946" i="1" a="1"/>
  <c r="J947" i="1" a="1"/>
  <c r="J948" i="1" a="1"/>
  <c r="J949" i="1" a="1"/>
  <c r="J950" i="1" a="1"/>
  <c r="J951" i="1" a="1"/>
  <c r="J952" i="1" a="1"/>
  <c r="J953" i="1" a="1"/>
  <c r="J954" i="1" a="1"/>
  <c r="J955" i="1" a="1"/>
  <c r="J956" i="1" a="1"/>
  <c r="J957" i="1" a="1"/>
  <c r="J958" i="1" a="1"/>
  <c r="J959" i="1" a="1"/>
  <c r="J960" i="1" a="1"/>
  <c r="J961" i="1" a="1"/>
  <c r="J962" i="1" a="1"/>
  <c r="J963" i="1" a="1"/>
  <c r="J964" i="1" a="1"/>
  <c r="J965" i="1" a="1"/>
  <c r="J966" i="1" a="1"/>
  <c r="J967" i="1" a="1"/>
  <c r="J968" i="1" a="1"/>
  <c r="J969" i="1" a="1"/>
  <c r="J970" i="1" a="1"/>
  <c r="J971" i="1" a="1"/>
  <c r="J972" i="1" a="1"/>
  <c r="J973" i="1" a="1"/>
  <c r="J974" i="1" a="1"/>
  <c r="J975" i="1" a="1"/>
  <c r="J976" i="1" a="1"/>
  <c r="J977" i="1" a="1"/>
  <c r="J978" i="1" a="1"/>
  <c r="J979" i="1" a="1"/>
  <c r="J980" i="1" a="1"/>
  <c r="J981" i="1" a="1"/>
  <c r="J982" i="1" a="1"/>
  <c r="J983" i="1" a="1"/>
  <c r="J984" i="1" a="1"/>
  <c r="J985" i="1" a="1"/>
  <c r="J986" i="1" a="1"/>
  <c r="J987" i="1" a="1"/>
  <c r="J988" i="1" a="1"/>
  <c r="J989" i="1" a="1"/>
  <c r="J990" i="1" a="1"/>
  <c r="J991" i="1" a="1"/>
  <c r="J992" i="1" a="1"/>
  <c r="J993" i="1" a="1"/>
  <c r="J994" i="1" a="1"/>
  <c r="J995" i="1" a="1"/>
  <c r="J996" i="1" a="1"/>
  <c r="J997" i="1" a="1"/>
  <c r="J998" i="1" a="1"/>
  <c r="J999" i="1" a="1"/>
  <c r="J1000" i="1" a="1"/>
  <c r="J1001" i="1" a="1"/>
  <c r="J1002" i="1" a="1"/>
  <c r="J1003" i="1" a="1"/>
  <c r="J1004" i="1" a="1"/>
  <c r="J1005" i="1" a="1"/>
  <c r="J1006" i="1" a="1"/>
  <c r="J1007" i="1" a="1"/>
  <c r="J1008" i="1" a="1"/>
  <c r="J1009" i="1" a="1"/>
  <c r="J1010" i="1" a="1"/>
  <c r="J1011" i="1" a="1"/>
  <c r="J1012" i="1" a="1"/>
  <c r="J1013" i="1" a="1"/>
  <c r="J1014" i="1" a="1"/>
  <c r="J1015" i="1" a="1"/>
  <c r="J1016" i="1" a="1"/>
  <c r="J1017" i="1" a="1"/>
  <c r="J1018" i="1" a="1"/>
  <c r="J1019" i="1" a="1"/>
  <c r="J1020" i="1" a="1"/>
  <c r="J1021" i="1" a="1"/>
  <c r="J1022" i="1" a="1"/>
  <c r="J1023" i="1" a="1"/>
  <c r="J1024" i="1" a="1"/>
  <c r="J1025" i="1" a="1"/>
  <c r="J1026" i="1" a="1"/>
  <c r="J1027" i="1" a="1"/>
  <c r="J1028" i="1" a="1"/>
  <c r="J1029" i="1" a="1"/>
  <c r="J1030" i="1" a="1"/>
  <c r="J1031" i="1" a="1"/>
  <c r="J1032" i="1" a="1"/>
  <c r="J1033" i="1" a="1"/>
  <c r="J1034" i="1" a="1"/>
  <c r="J1035" i="1" a="1"/>
  <c r="J1036" i="1" a="1"/>
  <c r="J1037" i="1" a="1"/>
  <c r="J1038" i="1" a="1"/>
  <c r="J1039" i="1" a="1"/>
  <c r="J1040" i="1" a="1"/>
  <c r="J1041" i="1" a="1"/>
  <c r="J1042" i="1" a="1"/>
  <c r="J1043" i="1" a="1"/>
  <c r="J1044" i="1" a="1"/>
  <c r="J1045" i="1" a="1"/>
  <c r="J1046" i="1" a="1"/>
  <c r="J1047" i="1" a="1"/>
  <c r="J1048" i="1" a="1"/>
  <c r="J1049" i="1" a="1"/>
  <c r="J1050" i="1" a="1"/>
  <c r="J1051" i="1" a="1"/>
  <c r="J1052" i="1" a="1"/>
  <c r="J1053" i="1" a="1"/>
  <c r="J1054" i="1" a="1"/>
  <c r="J1055" i="1" a="1"/>
  <c r="J1056" i="1" a="1"/>
  <c r="J1057" i="1" a="1"/>
  <c r="J1058" i="1" a="1"/>
  <c r="J1059" i="1" a="1"/>
  <c r="J1060" i="1" a="1"/>
  <c r="J1061" i="1" a="1"/>
  <c r="J1062" i="1" a="1"/>
  <c r="J1063" i="1" a="1"/>
  <c r="J1064" i="1" a="1"/>
  <c r="J1065" i="1" a="1"/>
  <c r="J1066" i="1" a="1"/>
  <c r="J1067" i="1" a="1"/>
  <c r="J1068" i="1" a="1"/>
  <c r="J1069" i="1" a="1"/>
  <c r="J1070" i="1" a="1"/>
  <c r="J1071" i="1" a="1"/>
  <c r="J1072" i="1" a="1"/>
  <c r="J1073" i="1" a="1"/>
  <c r="J1074" i="1" a="1"/>
  <c r="J1075" i="1" a="1"/>
  <c r="J1076" i="1" a="1"/>
  <c r="J1077" i="1" a="1"/>
  <c r="J1078" i="1" a="1"/>
  <c r="J1079" i="1" a="1"/>
  <c r="J1080" i="1" a="1"/>
  <c r="J1081" i="1" a="1"/>
  <c r="J1082" i="1" a="1"/>
  <c r="J1083" i="1" a="1"/>
  <c r="J1084" i="1" a="1"/>
  <c r="J1085" i="1" a="1"/>
  <c r="J1086" i="1" a="1"/>
  <c r="J1087" i="1" a="1"/>
  <c r="J1088" i="1" a="1"/>
  <c r="J1089" i="1" a="1"/>
  <c r="J1090" i="1" a="1"/>
  <c r="J1091" i="1" a="1"/>
  <c r="J1092" i="1" a="1"/>
  <c r="J1093" i="1" a="1"/>
  <c r="J1094" i="1" a="1"/>
  <c r="J1095" i="1" a="1"/>
  <c r="J1096" i="1" a="1"/>
  <c r="J1097" i="1" a="1"/>
  <c r="J1098" i="1" a="1"/>
  <c r="J1099" i="1" a="1"/>
  <c r="J1100" i="1" a="1"/>
  <c r="J1101" i="1" a="1"/>
  <c r="J1102" i="1" a="1"/>
  <c r="J1103" i="1" a="1"/>
  <c r="J1104" i="1" a="1"/>
  <c r="J1105" i="1" a="1"/>
  <c r="J1106" i="1" a="1"/>
  <c r="J1107" i="1" a="1"/>
  <c r="J1108" i="1" a="1"/>
  <c r="J1109" i="1" a="1"/>
  <c r="J1110" i="1" a="1"/>
  <c r="J1111" i="1" a="1"/>
  <c r="J1112" i="1" a="1"/>
  <c r="J1113" i="1" a="1"/>
  <c r="J1114" i="1" a="1"/>
  <c r="J1115" i="1" a="1"/>
  <c r="J1116" i="1" a="1"/>
  <c r="J1117" i="1" a="1"/>
  <c r="J1118" i="1" a="1"/>
  <c r="J1119" i="1" a="1"/>
  <c r="J1120" i="1" a="1"/>
  <c r="J1121" i="1" a="1"/>
  <c r="J1122" i="1" a="1"/>
  <c r="J1123" i="1" a="1"/>
  <c r="J1124" i="1" a="1"/>
  <c r="J1125" i="1" a="1"/>
  <c r="J1126" i="1" a="1"/>
  <c r="J1127" i="1" a="1"/>
  <c r="J1128" i="1" a="1"/>
  <c r="J1129" i="1" a="1"/>
  <c r="J1130" i="1" a="1"/>
  <c r="J1131" i="1" a="1"/>
  <c r="J1132" i="1" a="1"/>
  <c r="J1133" i="1" a="1"/>
  <c r="J1134" i="1" a="1"/>
  <c r="J1135" i="1" a="1"/>
  <c r="J1136" i="1" a="1"/>
  <c r="J1137" i="1" a="1"/>
  <c r="J1138" i="1" a="1"/>
  <c r="J1139" i="1" a="1"/>
  <c r="J1140" i="1" a="1"/>
  <c r="J1141" i="1" a="1"/>
  <c r="J1142" i="1" a="1"/>
  <c r="J1143" i="1" a="1"/>
  <c r="J1144" i="1" a="1"/>
  <c r="J1145" i="1" a="1"/>
  <c r="J1146" i="1" a="1"/>
  <c r="J1147" i="1" a="1"/>
  <c r="J1148" i="1" a="1"/>
  <c r="J1149" i="1" a="1"/>
  <c r="J1150" i="1" a="1"/>
  <c r="J1151" i="1" a="1"/>
  <c r="J1152" i="1" a="1"/>
  <c r="J1153" i="1" a="1"/>
  <c r="J1154" i="1" a="1"/>
  <c r="J1155" i="1" a="1"/>
  <c r="J1156" i="1" a="1"/>
  <c r="J1157" i="1" a="1"/>
  <c r="J1158" i="1" a="1"/>
  <c r="J1159" i="1" a="1"/>
  <c r="J1160" i="1" a="1"/>
  <c r="J1161" i="1" a="1"/>
  <c r="J1162" i="1" a="1"/>
  <c r="J1163" i="1" a="1"/>
  <c r="J1164" i="1" a="1"/>
  <c r="J1165" i="1" a="1"/>
  <c r="J1166" i="1" a="1"/>
  <c r="J1167" i="1" a="1"/>
  <c r="J1168" i="1" a="1"/>
  <c r="J1169" i="1" a="1"/>
  <c r="J1170" i="1" a="1"/>
  <c r="J1171" i="1" a="1"/>
  <c r="J1172" i="1" a="1"/>
  <c r="J1173" i="1" a="1"/>
  <c r="J1174" i="1" a="1"/>
  <c r="J1175" i="1" a="1"/>
  <c r="J1176" i="1" a="1"/>
  <c r="J1177" i="1" a="1"/>
  <c r="J1178" i="1" a="1"/>
  <c r="J1179" i="1" a="1"/>
  <c r="J1180" i="1" a="1"/>
  <c r="J1181" i="1" a="1"/>
  <c r="J1182" i="1" a="1"/>
  <c r="J1183" i="1" a="1"/>
  <c r="J1184" i="1" a="1"/>
  <c r="J1185" i="1" a="1"/>
  <c r="J1186" i="1" a="1"/>
  <c r="J1187" i="1" a="1"/>
  <c r="J1188" i="1" a="1"/>
  <c r="J1189" i="1" a="1"/>
  <c r="J1190" i="1" a="1"/>
  <c r="J1191" i="1" a="1"/>
  <c r="J1192" i="1" a="1"/>
  <c r="J1193" i="1" a="1"/>
  <c r="J1194" i="1" a="1"/>
  <c r="J1195" i="1" a="1"/>
  <c r="J1196" i="1" a="1"/>
  <c r="J1197" i="1" a="1"/>
  <c r="J1198" i="1" a="1"/>
  <c r="J1199" i="1" a="1"/>
  <c r="J1200" i="1" a="1"/>
  <c r="J1201" i="1" a="1"/>
  <c r="J1202" i="1" a="1"/>
  <c r="J1203" i="1" a="1"/>
  <c r="J1204" i="1" a="1"/>
  <c r="J1205" i="1" a="1"/>
  <c r="J1206" i="1" a="1"/>
  <c r="J1207" i="1" a="1"/>
  <c r="J1208" i="1" a="1"/>
  <c r="J1209" i="1" a="1"/>
  <c r="J1210" i="1" a="1"/>
  <c r="J1211" i="1" a="1"/>
  <c r="J1212" i="1" a="1"/>
  <c r="J1213" i="1" a="1"/>
  <c r="J1214" i="1" a="1"/>
  <c r="J1215" i="1" a="1"/>
  <c r="J1216" i="1" a="1"/>
  <c r="J1217" i="1" a="1"/>
  <c r="J1218" i="1" a="1"/>
  <c r="J1219" i="1" a="1"/>
  <c r="J1220" i="1" a="1"/>
  <c r="J1221" i="1" a="1"/>
  <c r="J1222" i="1" a="1"/>
  <c r="J1223" i="1" a="1"/>
  <c r="J1224" i="1" a="1"/>
  <c r="J1225" i="1" a="1"/>
  <c r="J1226" i="1" a="1"/>
  <c r="J1227" i="1" a="1"/>
  <c r="J1228" i="1" a="1"/>
  <c r="J1229" i="1" a="1"/>
  <c r="J1230" i="1" a="1"/>
  <c r="J1231" i="1" a="1"/>
  <c r="J1232" i="1" a="1"/>
  <c r="J1233" i="1" a="1"/>
  <c r="J1234" i="1" a="1"/>
  <c r="J1235" i="1" a="1"/>
  <c r="J1236" i="1" a="1"/>
  <c r="J1237" i="1" a="1"/>
  <c r="J1238" i="1" a="1"/>
  <c r="J1239" i="1" a="1"/>
  <c r="J1240" i="1" a="1"/>
  <c r="J1241" i="1" a="1"/>
  <c r="J1242" i="1" a="1"/>
  <c r="J1243" i="1" a="1"/>
  <c r="J1244" i="1" a="1"/>
  <c r="J1245" i="1" a="1"/>
  <c r="J1246" i="1" a="1"/>
  <c r="J1247" i="1" a="1"/>
  <c r="J1248" i="1" a="1"/>
  <c r="J1249" i="1" a="1"/>
  <c r="J1250" i="1" a="1"/>
  <c r="J1251" i="1" a="1"/>
  <c r="J1252" i="1" a="1"/>
  <c r="J1253" i="1" a="1"/>
  <c r="J1254" i="1" a="1"/>
  <c r="J1255" i="1" a="1"/>
  <c r="J1256" i="1" a="1"/>
  <c r="J1257" i="1" a="1"/>
  <c r="J1258" i="1" a="1"/>
  <c r="J1259" i="1" a="1"/>
  <c r="J1260" i="1" a="1"/>
  <c r="J1261" i="1" a="1"/>
  <c r="J1262" i="1" a="1"/>
  <c r="J1263" i="1" a="1"/>
  <c r="J1264" i="1" a="1"/>
  <c r="J1265" i="1" a="1"/>
  <c r="J1266" i="1" a="1"/>
  <c r="J1267" i="1" a="1"/>
  <c r="J1268" i="1" a="1"/>
  <c r="J1269" i="1" a="1"/>
  <c r="J1270" i="1" a="1"/>
  <c r="J1271" i="1" a="1"/>
  <c r="J1272" i="1" a="1"/>
  <c r="J1273" i="1" a="1"/>
  <c r="J1274" i="1" a="1"/>
  <c r="J1275" i="1" a="1"/>
  <c r="J1276" i="1" a="1"/>
  <c r="J1277" i="1" a="1"/>
  <c r="J1278" i="1" a="1"/>
  <c r="J1279" i="1" a="1"/>
  <c r="J1280" i="1" a="1"/>
  <c r="J1281" i="1" a="1"/>
  <c r="J1282" i="1" a="1"/>
  <c r="J1283" i="1" a="1"/>
  <c r="J1284" i="1" a="1"/>
  <c r="J1285" i="1" a="1"/>
  <c r="J1286" i="1" a="1"/>
  <c r="J1287" i="1" a="1"/>
  <c r="J1288" i="1" a="1"/>
  <c r="J1289" i="1" a="1"/>
  <c r="J1290" i="1" a="1"/>
  <c r="J1291" i="1" a="1"/>
  <c r="J1292" i="1" a="1"/>
  <c r="J1293" i="1" a="1"/>
  <c r="J1294" i="1" a="1"/>
  <c r="J1295" i="1" a="1"/>
  <c r="J1296" i="1" a="1"/>
  <c r="J1297" i="1" a="1"/>
  <c r="J1298" i="1" a="1"/>
  <c r="J1299" i="1" a="1"/>
  <c r="J1300" i="1" a="1"/>
  <c r="J1301" i="1" a="1"/>
  <c r="J1302" i="1" a="1"/>
  <c r="J1303" i="1" a="1"/>
  <c r="J1304" i="1" a="1"/>
  <c r="J1305" i="1" a="1"/>
  <c r="J1306" i="1" a="1"/>
  <c r="J1307" i="1" a="1"/>
  <c r="J1308" i="1" a="1"/>
  <c r="J1309" i="1" a="1"/>
  <c r="J1310" i="1" a="1"/>
  <c r="J1311" i="1" a="1"/>
  <c r="J1312" i="1" a="1"/>
  <c r="J1313" i="1" a="1"/>
  <c r="J1314" i="1" a="1"/>
  <c r="J1315" i="1" a="1"/>
  <c r="J1316" i="1" a="1"/>
  <c r="J1317" i="1" a="1"/>
  <c r="J1318" i="1" a="1"/>
  <c r="J1319" i="1" a="1"/>
  <c r="J1320" i="1" a="1"/>
  <c r="J1321" i="1" a="1"/>
  <c r="J1322" i="1" a="1"/>
  <c r="J1323" i="1" a="1"/>
  <c r="J1324" i="1" a="1"/>
  <c r="J1325" i="1" a="1"/>
  <c r="J1326" i="1" a="1"/>
  <c r="J1327" i="1" a="1"/>
  <c r="J1328" i="1" a="1"/>
  <c r="J1329" i="1" a="1"/>
  <c r="J1330" i="1" a="1"/>
  <c r="J1331" i="1" a="1"/>
  <c r="J1332" i="1" a="1"/>
  <c r="J1333" i="1" a="1"/>
  <c r="J1334" i="1" a="1"/>
  <c r="J1335" i="1" a="1"/>
  <c r="J1336" i="1" a="1"/>
  <c r="J1337" i="1" a="1"/>
  <c r="J1338" i="1" a="1"/>
  <c r="J2" i="1" a="1"/>
  <c r="B11" i="3"/>
  <c r="B10" i="3"/>
  <c r="B9" i="3"/>
  <c r="B8" i="3"/>
  <c r="B7" i="3"/>
  <c r="B6" i="3"/>
  <c r="B5" i="3"/>
  <c r="B3" i="3"/>
  <c r="K3" i="1" a="1"/>
  <c r="K4" i="1" a="1"/>
  <c r="K5" i="1" a="1"/>
  <c r="K6" i="1" a="1"/>
  <c r="K7" i="1" a="1"/>
  <c r="K8" i="1" a="1"/>
  <c r="K9" i="1" a="1"/>
  <c r="K10" i="1" a="1"/>
  <c r="K11" i="1" a="1"/>
  <c r="K12" i="1" a="1"/>
  <c r="K13" i="1" a="1"/>
  <c r="K14" i="1" a="1"/>
  <c r="K15" i="1" a="1"/>
  <c r="K16" i="1" a="1"/>
  <c r="K17" i="1" a="1"/>
  <c r="K18" i="1" a="1"/>
  <c r="K19" i="1" a="1"/>
  <c r="K20" i="1" a="1"/>
  <c r="K21" i="1" a="1"/>
  <c r="K22" i="1" a="1"/>
  <c r="K23" i="1" a="1"/>
  <c r="K24" i="1" a="1"/>
  <c r="K25" i="1" a="1"/>
  <c r="K26" i="1" a="1"/>
  <c r="K27" i="1" a="1"/>
  <c r="K28" i="1" a="1"/>
  <c r="K29" i="1" a="1"/>
  <c r="K30" i="1" a="1"/>
  <c r="K31" i="1" a="1"/>
  <c r="K32" i="1" a="1"/>
  <c r="K33" i="1" a="1"/>
  <c r="K34" i="1" a="1"/>
  <c r="K35" i="1" a="1"/>
  <c r="K36" i="1" a="1"/>
  <c r="K37" i="1" a="1"/>
  <c r="K38" i="1" a="1"/>
  <c r="K39" i="1" a="1"/>
  <c r="K40" i="1" a="1"/>
  <c r="K41" i="1" a="1"/>
  <c r="K42" i="1" a="1"/>
  <c r="K43" i="1" a="1"/>
  <c r="K44" i="1" a="1"/>
  <c r="K45" i="1" a="1"/>
  <c r="K46" i="1" a="1"/>
  <c r="K47" i="1" a="1"/>
  <c r="K48" i="1" a="1"/>
  <c r="K49" i="1" a="1"/>
  <c r="K50" i="1" a="1"/>
  <c r="K51" i="1" a="1"/>
  <c r="K52" i="1" a="1"/>
  <c r="K53" i="1" a="1"/>
  <c r="K54" i="1" a="1"/>
  <c r="K55" i="1" a="1"/>
  <c r="K56" i="1" a="1"/>
  <c r="K57" i="1" a="1"/>
  <c r="K58" i="1" a="1"/>
  <c r="K59" i="1" a="1"/>
  <c r="K60" i="1" a="1"/>
  <c r="K61" i="1" a="1"/>
  <c r="K62" i="1" a="1"/>
  <c r="K63" i="1" a="1"/>
  <c r="K64" i="1" a="1"/>
  <c r="K65" i="1" a="1"/>
  <c r="K66" i="1" a="1"/>
  <c r="K67" i="1" a="1"/>
  <c r="K68" i="1" a="1"/>
  <c r="K69" i="1" a="1"/>
  <c r="K70" i="1" a="1"/>
  <c r="K71" i="1" a="1"/>
  <c r="K72" i="1" a="1"/>
  <c r="K73" i="1" a="1"/>
  <c r="K74" i="1" a="1"/>
  <c r="K75" i="1" a="1"/>
  <c r="K76" i="1" a="1"/>
  <c r="K77" i="1" a="1"/>
  <c r="K78" i="1" a="1"/>
  <c r="K79" i="1" a="1"/>
  <c r="K80" i="1" a="1"/>
  <c r="K81" i="1" a="1"/>
  <c r="K82" i="1" a="1"/>
  <c r="K83" i="1" a="1"/>
  <c r="K84" i="1" a="1"/>
  <c r="K85" i="1" a="1"/>
  <c r="K86" i="1" a="1"/>
  <c r="K87" i="1" a="1"/>
  <c r="K88" i="1" a="1"/>
  <c r="K89" i="1" a="1"/>
  <c r="K90" i="1" a="1"/>
  <c r="K91" i="1" a="1"/>
  <c r="K92" i="1" a="1"/>
  <c r="K93" i="1" a="1"/>
  <c r="K94" i="1" a="1"/>
  <c r="K95" i="1" a="1"/>
  <c r="K96" i="1" a="1"/>
  <c r="K97" i="1" a="1"/>
  <c r="K98" i="1" a="1"/>
  <c r="K99" i="1" a="1"/>
  <c r="K100" i="1" a="1"/>
  <c r="K101" i="1" a="1"/>
  <c r="K102" i="1" a="1"/>
  <c r="K103" i="1" a="1"/>
  <c r="K104" i="1" a="1"/>
  <c r="K105" i="1" a="1"/>
  <c r="K106" i="1" a="1"/>
  <c r="K107" i="1" a="1"/>
  <c r="K108" i="1" a="1"/>
  <c r="K109" i="1" a="1"/>
  <c r="K110" i="1" a="1"/>
  <c r="K111" i="1" a="1"/>
  <c r="K112" i="1" a="1"/>
  <c r="K113" i="1" a="1"/>
  <c r="K114" i="1" a="1"/>
  <c r="K115" i="1" a="1"/>
  <c r="K116" i="1" a="1"/>
  <c r="K117" i="1" a="1"/>
  <c r="K118" i="1" a="1"/>
  <c r="K119" i="1" a="1"/>
  <c r="K120" i="1" a="1"/>
  <c r="K121" i="1" a="1"/>
  <c r="K122" i="1" a="1"/>
  <c r="K123" i="1" a="1"/>
  <c r="K124" i="1" a="1"/>
  <c r="K125" i="1" a="1"/>
  <c r="K126" i="1" a="1"/>
  <c r="K127" i="1" a="1"/>
  <c r="K128" i="1" a="1"/>
  <c r="K129" i="1" a="1"/>
  <c r="K130" i="1" a="1"/>
  <c r="K131" i="1" a="1"/>
  <c r="K132" i="1" a="1"/>
  <c r="K133" i="1" a="1"/>
  <c r="K134" i="1" a="1"/>
  <c r="K135" i="1" a="1"/>
  <c r="K136" i="1" a="1"/>
  <c r="K137" i="1" a="1"/>
  <c r="K138" i="1" a="1"/>
  <c r="K139" i="1" a="1"/>
  <c r="K140" i="1" a="1"/>
  <c r="K141" i="1" a="1"/>
  <c r="K142" i="1" a="1"/>
  <c r="K143" i="1" a="1"/>
  <c r="K144" i="1" a="1"/>
  <c r="K145" i="1" a="1"/>
  <c r="K146" i="1" a="1"/>
  <c r="K147" i="1" a="1"/>
  <c r="K148" i="1" a="1"/>
  <c r="K149" i="1" a="1"/>
  <c r="K150" i="1" a="1"/>
  <c r="K151" i="1" a="1"/>
  <c r="K152" i="1" a="1"/>
  <c r="K153" i="1" a="1"/>
  <c r="K154" i="1" a="1"/>
  <c r="K155" i="1" a="1"/>
  <c r="K156" i="1" a="1"/>
  <c r="K157" i="1" a="1"/>
  <c r="K158" i="1" a="1"/>
  <c r="K159" i="1" a="1"/>
  <c r="K160" i="1" a="1"/>
  <c r="K161" i="1" a="1"/>
  <c r="K162" i="1" a="1"/>
  <c r="K163" i="1" a="1"/>
  <c r="K164" i="1" a="1"/>
  <c r="K165" i="1" a="1"/>
  <c r="K166" i="1" a="1"/>
  <c r="K167" i="1" a="1"/>
  <c r="K168" i="1" a="1"/>
  <c r="K169" i="1" a="1"/>
  <c r="K170" i="1" a="1"/>
  <c r="K171" i="1" a="1"/>
  <c r="K172" i="1" a="1"/>
  <c r="K173" i="1" a="1"/>
  <c r="K174" i="1" a="1"/>
  <c r="K175" i="1" a="1"/>
  <c r="K176" i="1" a="1"/>
  <c r="K177" i="1" a="1"/>
  <c r="K178" i="1" a="1"/>
  <c r="K179" i="1" a="1"/>
  <c r="K180" i="1" a="1"/>
  <c r="K181" i="1" a="1"/>
  <c r="K182" i="1" a="1"/>
  <c r="K183" i="1" a="1"/>
  <c r="K184" i="1" a="1"/>
  <c r="K185" i="1" a="1"/>
  <c r="K186" i="1" a="1"/>
  <c r="K187" i="1" a="1"/>
  <c r="K188" i="1" a="1"/>
  <c r="K189" i="1" a="1"/>
  <c r="K190" i="1" a="1"/>
  <c r="K191" i="1" a="1"/>
  <c r="K192" i="1" a="1"/>
  <c r="K193" i="1" a="1"/>
  <c r="K194" i="1" a="1"/>
  <c r="K195" i="1" a="1"/>
  <c r="K196" i="1" a="1"/>
  <c r="K197" i="1" a="1"/>
  <c r="K198" i="1" a="1"/>
  <c r="K199" i="1" a="1"/>
  <c r="K200" i="1" a="1"/>
  <c r="K201" i="1" a="1"/>
  <c r="K202" i="1" a="1"/>
  <c r="K203" i="1" a="1"/>
  <c r="K204" i="1" a="1"/>
  <c r="K205" i="1" a="1"/>
  <c r="K206" i="1" a="1"/>
  <c r="K207" i="1" a="1"/>
  <c r="K208" i="1" a="1"/>
  <c r="K209" i="1" a="1"/>
  <c r="K210" i="1" a="1"/>
  <c r="K211" i="1" a="1"/>
  <c r="K212" i="1" a="1"/>
  <c r="K213" i="1" a="1"/>
  <c r="K214" i="1" a="1"/>
  <c r="K215" i="1" a="1"/>
  <c r="K216" i="1" a="1"/>
  <c r="K217" i="1" a="1"/>
  <c r="K218" i="1" a="1"/>
  <c r="K219" i="1" a="1"/>
  <c r="K220" i="1" a="1"/>
  <c r="K221" i="1" a="1"/>
  <c r="K222" i="1" a="1"/>
  <c r="K223" i="1" a="1"/>
  <c r="K224" i="1" a="1"/>
  <c r="K225" i="1" a="1"/>
  <c r="K226" i="1" a="1"/>
  <c r="K227" i="1" a="1"/>
  <c r="K228" i="1" a="1"/>
  <c r="K229" i="1" a="1"/>
  <c r="K230" i="1" a="1"/>
  <c r="K231" i="1" a="1"/>
  <c r="K232" i="1" a="1"/>
  <c r="K233" i="1" a="1"/>
  <c r="K234" i="1" a="1"/>
  <c r="K235" i="1" a="1"/>
  <c r="K236" i="1" a="1"/>
  <c r="K237" i="1" a="1"/>
  <c r="K238" i="1" a="1"/>
  <c r="K239" i="1" a="1"/>
  <c r="K240" i="1" a="1"/>
  <c r="K241" i="1" a="1"/>
  <c r="K242" i="1" a="1"/>
  <c r="K243" i="1" a="1"/>
  <c r="K244" i="1" a="1"/>
  <c r="K245" i="1" a="1"/>
  <c r="K246" i="1" a="1"/>
  <c r="K247" i="1" a="1"/>
  <c r="K248" i="1" a="1"/>
  <c r="K249" i="1" a="1"/>
  <c r="K250" i="1" a="1"/>
  <c r="K251" i="1" a="1"/>
  <c r="K252" i="1" a="1"/>
  <c r="K253" i="1" a="1"/>
  <c r="K254" i="1" a="1"/>
  <c r="K255" i="1" a="1"/>
  <c r="K256" i="1" a="1"/>
  <c r="K257" i="1" a="1"/>
  <c r="K258" i="1" a="1"/>
  <c r="K259" i="1" a="1"/>
  <c r="K260" i="1" a="1"/>
  <c r="K261" i="1" a="1"/>
  <c r="K262" i="1" a="1"/>
  <c r="K263" i="1" a="1"/>
  <c r="K264" i="1" a="1"/>
  <c r="K265" i="1" a="1"/>
  <c r="K266" i="1" a="1"/>
  <c r="K267" i="1" a="1"/>
  <c r="K268" i="1" a="1"/>
  <c r="K269" i="1" a="1"/>
  <c r="K270" i="1" a="1"/>
  <c r="K271" i="1" a="1"/>
  <c r="K272" i="1" a="1"/>
  <c r="K273" i="1" a="1"/>
  <c r="K274" i="1" a="1"/>
  <c r="K275" i="1" a="1"/>
  <c r="K276" i="1" a="1"/>
  <c r="K277" i="1" a="1"/>
  <c r="K278" i="1" a="1"/>
  <c r="K279" i="1" a="1"/>
  <c r="K280" i="1" a="1"/>
  <c r="K281" i="1" a="1"/>
  <c r="K282" i="1" a="1"/>
  <c r="K283" i="1" a="1"/>
  <c r="K284" i="1" a="1"/>
  <c r="K285" i="1" a="1"/>
  <c r="K286" i="1" a="1"/>
  <c r="K287" i="1" a="1"/>
  <c r="K288" i="1" a="1"/>
  <c r="K289" i="1" a="1"/>
  <c r="K290" i="1" a="1"/>
  <c r="K291" i="1" a="1"/>
  <c r="K292" i="1" a="1"/>
  <c r="K293" i="1" a="1"/>
  <c r="K294" i="1" a="1"/>
  <c r="K295" i="1" a="1"/>
  <c r="K296" i="1" a="1"/>
  <c r="K297" i="1" a="1"/>
  <c r="K298" i="1" a="1"/>
  <c r="K299" i="1" a="1"/>
  <c r="K300" i="1" a="1"/>
  <c r="K301" i="1" a="1"/>
  <c r="K302" i="1" a="1"/>
  <c r="K303" i="1" a="1"/>
  <c r="K304" i="1" a="1"/>
  <c r="K305" i="1" a="1"/>
  <c r="K306" i="1" a="1"/>
  <c r="K307" i="1" a="1"/>
  <c r="K308" i="1" a="1"/>
  <c r="K309" i="1" a="1"/>
  <c r="K310" i="1" a="1"/>
  <c r="K311" i="1" a="1"/>
  <c r="K312" i="1" a="1"/>
  <c r="K313" i="1" a="1"/>
  <c r="K314" i="1" a="1"/>
  <c r="K315" i="1" a="1"/>
  <c r="K316" i="1" a="1"/>
  <c r="K317" i="1" a="1"/>
  <c r="K318" i="1" a="1"/>
  <c r="K319" i="1" a="1"/>
  <c r="K320" i="1" a="1"/>
  <c r="K321" i="1" a="1"/>
  <c r="K322" i="1" a="1"/>
  <c r="K323" i="1" a="1"/>
  <c r="K324" i="1" a="1"/>
  <c r="K325" i="1" a="1"/>
  <c r="K326" i="1" a="1"/>
  <c r="K327" i="1" a="1"/>
  <c r="K328" i="1" a="1"/>
  <c r="K329" i="1" a="1"/>
  <c r="K330" i="1" a="1"/>
  <c r="K331" i="1" a="1"/>
  <c r="K332" i="1" a="1"/>
  <c r="K333" i="1" a="1"/>
  <c r="K334" i="1" a="1"/>
  <c r="K335" i="1" a="1"/>
  <c r="K336" i="1" a="1"/>
  <c r="K337" i="1" a="1"/>
  <c r="K338" i="1" a="1"/>
  <c r="K339" i="1" a="1"/>
  <c r="K340" i="1" a="1"/>
  <c r="K341" i="1" a="1"/>
  <c r="K342" i="1" a="1"/>
  <c r="K343" i="1" a="1"/>
  <c r="K344" i="1" a="1"/>
  <c r="K345" i="1" a="1"/>
  <c r="K346" i="1" a="1"/>
  <c r="K347" i="1" a="1"/>
  <c r="K348" i="1" a="1"/>
  <c r="K349" i="1" a="1"/>
  <c r="K350" i="1" a="1"/>
  <c r="K351" i="1" a="1"/>
  <c r="K352" i="1" a="1"/>
  <c r="K353" i="1" a="1"/>
  <c r="K354" i="1" a="1"/>
  <c r="K355" i="1" a="1"/>
  <c r="K356" i="1" a="1"/>
  <c r="K357" i="1" a="1"/>
  <c r="K358" i="1" a="1"/>
  <c r="K359" i="1" a="1"/>
  <c r="K360" i="1" a="1"/>
  <c r="K361" i="1" a="1"/>
  <c r="K362" i="1" a="1"/>
  <c r="K363" i="1" a="1"/>
  <c r="K364" i="1" a="1"/>
  <c r="K365" i="1" a="1"/>
  <c r="K366" i="1" a="1"/>
  <c r="K367" i="1" a="1"/>
  <c r="K368" i="1" a="1"/>
  <c r="K369" i="1" a="1"/>
  <c r="K370" i="1" a="1"/>
  <c r="K371" i="1" a="1"/>
  <c r="K372" i="1" a="1"/>
  <c r="K373" i="1" a="1"/>
  <c r="K374" i="1" a="1"/>
  <c r="K375" i="1" a="1"/>
  <c r="K376" i="1" a="1"/>
  <c r="K377" i="1" a="1"/>
  <c r="K378" i="1" a="1"/>
  <c r="K379" i="1" a="1"/>
  <c r="K380" i="1" a="1"/>
  <c r="K381" i="1" a="1"/>
  <c r="K382" i="1" a="1"/>
  <c r="K383" i="1" a="1"/>
  <c r="K384" i="1" a="1"/>
  <c r="K385" i="1" a="1"/>
  <c r="K386" i="1" a="1"/>
  <c r="K387" i="1" a="1"/>
  <c r="K388" i="1" a="1"/>
  <c r="K389" i="1" a="1"/>
  <c r="K390" i="1" a="1"/>
  <c r="K391" i="1" a="1"/>
  <c r="K392" i="1" a="1"/>
  <c r="K393" i="1" a="1"/>
  <c r="K394" i="1" a="1"/>
  <c r="K395" i="1" a="1"/>
  <c r="K396" i="1" a="1"/>
  <c r="K397" i="1" a="1"/>
  <c r="K398" i="1" a="1"/>
  <c r="K399" i="1" a="1"/>
  <c r="K400" i="1" a="1"/>
  <c r="K401" i="1" a="1"/>
  <c r="K402" i="1" a="1"/>
  <c r="K403" i="1" a="1"/>
  <c r="K404" i="1" a="1"/>
  <c r="K405" i="1" a="1"/>
  <c r="K406" i="1" a="1"/>
  <c r="K407" i="1" a="1"/>
  <c r="K408" i="1" a="1"/>
  <c r="K409" i="1" a="1"/>
  <c r="K410" i="1" a="1"/>
  <c r="K411" i="1" a="1"/>
  <c r="K412" i="1" a="1"/>
  <c r="K413" i="1" a="1"/>
  <c r="K414" i="1" a="1"/>
  <c r="K415" i="1" a="1"/>
  <c r="K416" i="1" a="1"/>
  <c r="K417" i="1" a="1"/>
  <c r="K418" i="1" a="1"/>
  <c r="K419" i="1" a="1"/>
  <c r="K420" i="1" a="1"/>
  <c r="K421" i="1" a="1"/>
  <c r="K422" i="1" a="1"/>
  <c r="K423" i="1" a="1"/>
  <c r="K424" i="1" a="1"/>
  <c r="K425" i="1" a="1"/>
  <c r="K426" i="1" a="1"/>
  <c r="K427" i="1" a="1"/>
  <c r="K428" i="1" a="1"/>
  <c r="K429" i="1" a="1"/>
  <c r="K430" i="1" a="1"/>
  <c r="K431" i="1" a="1"/>
  <c r="K432" i="1" a="1"/>
  <c r="K433" i="1" a="1"/>
  <c r="K434" i="1" a="1"/>
  <c r="K435" i="1" a="1"/>
  <c r="K436" i="1" a="1"/>
  <c r="K437" i="1" a="1"/>
  <c r="K438" i="1" a="1"/>
  <c r="K439" i="1" a="1"/>
  <c r="K440" i="1" a="1"/>
  <c r="K441" i="1" a="1"/>
  <c r="K442" i="1" a="1"/>
  <c r="K443" i="1" a="1"/>
  <c r="K444" i="1" a="1"/>
  <c r="K445" i="1" a="1"/>
  <c r="K446" i="1" a="1"/>
  <c r="K447" i="1" a="1"/>
  <c r="K448" i="1" a="1"/>
  <c r="K449" i="1" a="1"/>
  <c r="K450" i="1" a="1"/>
  <c r="K451" i="1" a="1"/>
  <c r="K452" i="1" a="1"/>
  <c r="K453" i="1" a="1"/>
  <c r="K454" i="1" a="1"/>
  <c r="K455" i="1" a="1"/>
  <c r="K456" i="1" a="1"/>
  <c r="K457" i="1" a="1"/>
  <c r="K458" i="1" a="1"/>
  <c r="K459" i="1" a="1"/>
  <c r="K460" i="1" a="1"/>
  <c r="K461" i="1" a="1"/>
  <c r="K462" i="1" a="1"/>
  <c r="K463" i="1" a="1"/>
  <c r="K464" i="1" a="1"/>
  <c r="K465" i="1" a="1"/>
  <c r="K466" i="1" a="1"/>
  <c r="K467" i="1" a="1"/>
  <c r="K468" i="1" a="1"/>
  <c r="K469" i="1" a="1"/>
  <c r="K470" i="1" a="1"/>
  <c r="K471" i="1" a="1"/>
  <c r="K472" i="1" a="1"/>
  <c r="K473" i="1" a="1"/>
  <c r="K474" i="1" a="1"/>
  <c r="K475" i="1" a="1"/>
  <c r="K476" i="1" a="1"/>
  <c r="K477" i="1" a="1"/>
  <c r="K478" i="1" a="1"/>
  <c r="K479" i="1" a="1"/>
  <c r="K480" i="1" a="1"/>
  <c r="K481" i="1" a="1"/>
  <c r="K482" i="1" a="1"/>
  <c r="K483" i="1" a="1"/>
  <c r="K484" i="1" a="1"/>
  <c r="K485" i="1" a="1"/>
  <c r="K486" i="1" a="1"/>
  <c r="K487" i="1" a="1"/>
  <c r="K488" i="1" a="1"/>
  <c r="K489" i="1" a="1"/>
  <c r="K490" i="1" a="1"/>
  <c r="K491" i="1" a="1"/>
  <c r="K492" i="1" a="1"/>
  <c r="K493" i="1" a="1"/>
  <c r="K494" i="1" a="1"/>
  <c r="K495" i="1" a="1"/>
  <c r="K496" i="1" a="1"/>
  <c r="K497" i="1" a="1"/>
  <c r="K498" i="1" a="1"/>
  <c r="K499" i="1" a="1"/>
  <c r="K500" i="1" a="1"/>
  <c r="K501" i="1" a="1"/>
  <c r="K502" i="1" a="1"/>
  <c r="K503" i="1" a="1"/>
  <c r="K504" i="1" a="1"/>
  <c r="K505" i="1" a="1"/>
  <c r="K506" i="1" a="1"/>
  <c r="K507" i="1" a="1"/>
  <c r="K508" i="1" a="1"/>
  <c r="K509" i="1" a="1"/>
  <c r="K510" i="1" a="1"/>
  <c r="K511" i="1" a="1"/>
  <c r="K512" i="1" a="1"/>
  <c r="K513" i="1" a="1"/>
  <c r="K514" i="1" a="1"/>
  <c r="K515" i="1" a="1"/>
  <c r="K516" i="1" a="1"/>
  <c r="K517" i="1" a="1"/>
  <c r="K518" i="1" a="1"/>
  <c r="K519" i="1" a="1"/>
  <c r="K520" i="1" a="1"/>
  <c r="K521" i="1" a="1"/>
  <c r="K522" i="1" a="1"/>
  <c r="K523" i="1" a="1"/>
  <c r="K524" i="1" a="1"/>
  <c r="K525" i="1" a="1"/>
  <c r="K526" i="1" a="1"/>
  <c r="K527" i="1" a="1"/>
  <c r="K528" i="1" a="1"/>
  <c r="K529" i="1" a="1"/>
  <c r="K530" i="1" a="1"/>
  <c r="K531" i="1" a="1"/>
  <c r="K532" i="1" a="1"/>
  <c r="K533" i="1" a="1"/>
  <c r="K534" i="1" a="1"/>
  <c r="K535" i="1" a="1"/>
  <c r="K536" i="1" a="1"/>
  <c r="K537" i="1" a="1"/>
  <c r="K538" i="1" a="1"/>
  <c r="K539" i="1" a="1"/>
  <c r="K540" i="1" a="1"/>
  <c r="K541" i="1" a="1"/>
  <c r="K542" i="1" a="1"/>
  <c r="K543" i="1" a="1"/>
  <c r="K544" i="1" a="1"/>
  <c r="K545" i="1" a="1"/>
  <c r="K546" i="1" a="1"/>
  <c r="K547" i="1" a="1"/>
  <c r="K548" i="1" a="1"/>
  <c r="K549" i="1" a="1"/>
  <c r="K550" i="1" a="1"/>
  <c r="K551" i="1" a="1"/>
  <c r="K552" i="1" a="1"/>
  <c r="K553" i="1" a="1"/>
  <c r="K554" i="1" a="1"/>
  <c r="K555" i="1" a="1"/>
  <c r="K556" i="1" a="1"/>
  <c r="K557" i="1" a="1"/>
  <c r="K558" i="1" a="1"/>
  <c r="K559" i="1" a="1"/>
  <c r="K560" i="1" a="1"/>
  <c r="K561" i="1" a="1"/>
  <c r="K562" i="1" a="1"/>
  <c r="K563" i="1" a="1"/>
  <c r="K564" i="1" a="1"/>
  <c r="K565" i="1" a="1"/>
  <c r="K566" i="1" a="1"/>
  <c r="K567" i="1" a="1"/>
  <c r="K568" i="1" a="1"/>
  <c r="K569" i="1" a="1"/>
  <c r="K570" i="1" a="1"/>
  <c r="K571" i="1" a="1"/>
  <c r="K572" i="1" a="1"/>
  <c r="K573" i="1" a="1"/>
  <c r="K574" i="1" a="1"/>
  <c r="K575" i="1" a="1"/>
  <c r="K576" i="1" a="1"/>
  <c r="K577" i="1" a="1"/>
  <c r="K578" i="1" a="1"/>
  <c r="K579" i="1" a="1"/>
  <c r="K580" i="1" a="1"/>
  <c r="K581" i="1" a="1"/>
  <c r="K582" i="1" a="1"/>
  <c r="K583" i="1" a="1"/>
  <c r="K584" i="1" a="1"/>
  <c r="K585" i="1" a="1"/>
  <c r="K586" i="1" a="1"/>
  <c r="K587" i="1" a="1"/>
  <c r="K588" i="1" a="1"/>
  <c r="K589" i="1" a="1"/>
  <c r="K590" i="1" a="1"/>
  <c r="K591" i="1" a="1"/>
  <c r="K592" i="1" a="1"/>
  <c r="K593" i="1" a="1"/>
  <c r="K594" i="1" a="1"/>
  <c r="K595" i="1" a="1"/>
  <c r="K596" i="1" a="1"/>
  <c r="K597" i="1" a="1"/>
  <c r="K598" i="1" a="1"/>
  <c r="K599" i="1" a="1"/>
  <c r="K600" i="1" a="1"/>
  <c r="K601" i="1" a="1"/>
  <c r="K602" i="1" a="1"/>
  <c r="K603" i="1" a="1"/>
  <c r="K604" i="1" a="1"/>
  <c r="K605" i="1" a="1"/>
  <c r="K606" i="1" a="1"/>
  <c r="K607" i="1" a="1"/>
  <c r="K608" i="1" a="1"/>
  <c r="K609" i="1" a="1"/>
  <c r="K610" i="1" a="1"/>
  <c r="K611" i="1" a="1"/>
  <c r="K612" i="1" a="1"/>
  <c r="K613" i="1" a="1"/>
  <c r="K614" i="1" a="1"/>
  <c r="K615" i="1" a="1"/>
  <c r="K616" i="1" a="1"/>
  <c r="K617" i="1" a="1"/>
  <c r="K618" i="1" a="1"/>
  <c r="K619" i="1" a="1"/>
  <c r="K620" i="1" a="1"/>
  <c r="K621" i="1" a="1"/>
  <c r="K622" i="1" a="1"/>
  <c r="K623" i="1" a="1"/>
  <c r="K624" i="1" a="1"/>
  <c r="K625" i="1" a="1"/>
  <c r="K626" i="1" a="1"/>
  <c r="K627" i="1" a="1"/>
  <c r="K628" i="1" a="1"/>
  <c r="K629" i="1" a="1"/>
  <c r="K630" i="1" a="1"/>
  <c r="K631" i="1" a="1"/>
  <c r="K632" i="1" a="1"/>
  <c r="K633" i="1" a="1"/>
  <c r="K634" i="1" a="1"/>
  <c r="K635" i="1" a="1"/>
  <c r="K636" i="1" a="1"/>
  <c r="K637" i="1" a="1"/>
  <c r="K638" i="1" a="1"/>
  <c r="K639" i="1" a="1"/>
  <c r="K640" i="1" a="1"/>
  <c r="K641" i="1" a="1"/>
  <c r="K642" i="1" a="1"/>
  <c r="K643" i="1" a="1"/>
  <c r="K644" i="1" a="1"/>
  <c r="K645" i="1" a="1"/>
  <c r="K646" i="1" a="1"/>
  <c r="K647" i="1" a="1"/>
  <c r="K648" i="1" a="1"/>
  <c r="K649" i="1" a="1"/>
  <c r="K650" i="1" a="1"/>
  <c r="K651" i="1" a="1"/>
  <c r="K652" i="1" a="1"/>
  <c r="K653" i="1" a="1"/>
  <c r="K654" i="1" a="1"/>
  <c r="K655" i="1" a="1"/>
  <c r="K656" i="1" a="1"/>
  <c r="K657" i="1" a="1"/>
  <c r="K658" i="1" a="1"/>
  <c r="K659" i="1" a="1"/>
  <c r="K660" i="1" a="1"/>
  <c r="K661" i="1" a="1"/>
  <c r="K662" i="1" a="1"/>
  <c r="K663" i="1" a="1"/>
  <c r="K664" i="1" a="1"/>
  <c r="K665" i="1" a="1"/>
  <c r="K666" i="1" a="1"/>
  <c r="K667" i="1" a="1"/>
  <c r="K668" i="1" a="1"/>
  <c r="K669" i="1" a="1"/>
  <c r="K670" i="1" a="1"/>
  <c r="K671" i="1" a="1"/>
  <c r="K672" i="1" a="1"/>
  <c r="K673" i="1" a="1"/>
  <c r="K674" i="1" a="1"/>
  <c r="K675" i="1" a="1"/>
  <c r="K676" i="1" a="1"/>
  <c r="K677" i="1" a="1"/>
  <c r="K678" i="1" a="1"/>
  <c r="K679" i="1" a="1"/>
  <c r="K680" i="1" a="1"/>
  <c r="K681" i="1" a="1"/>
  <c r="K682" i="1" a="1"/>
  <c r="K683" i="1" a="1"/>
  <c r="K684" i="1" a="1"/>
  <c r="K685" i="1" a="1"/>
  <c r="K686" i="1" a="1"/>
  <c r="K687" i="1" a="1"/>
  <c r="K688" i="1" a="1"/>
  <c r="K689" i="1" a="1"/>
  <c r="K690" i="1" a="1"/>
  <c r="K691" i="1" a="1"/>
  <c r="K692" i="1" a="1"/>
  <c r="K693" i="1" a="1"/>
  <c r="K694" i="1" a="1"/>
  <c r="K695" i="1" a="1"/>
  <c r="K696" i="1" a="1"/>
  <c r="K697" i="1" a="1"/>
  <c r="K698" i="1" a="1"/>
  <c r="K699" i="1" a="1"/>
  <c r="K700" i="1" a="1"/>
  <c r="K701" i="1" a="1"/>
  <c r="K702" i="1" a="1"/>
  <c r="K703" i="1" a="1"/>
  <c r="K704" i="1" a="1"/>
  <c r="K705" i="1" a="1"/>
  <c r="K706" i="1" a="1"/>
  <c r="K707" i="1" a="1"/>
  <c r="K708" i="1" a="1"/>
  <c r="K709" i="1" a="1"/>
  <c r="K710" i="1" a="1"/>
  <c r="K711" i="1" a="1"/>
  <c r="K712" i="1" a="1"/>
  <c r="K713" i="1" a="1"/>
  <c r="K714" i="1" a="1"/>
  <c r="K715" i="1" a="1"/>
  <c r="K716" i="1" a="1"/>
  <c r="K717" i="1" a="1"/>
  <c r="K718" i="1" a="1"/>
  <c r="K719" i="1" a="1"/>
  <c r="K720" i="1" a="1"/>
  <c r="K721" i="1" a="1"/>
  <c r="K722" i="1" a="1"/>
  <c r="K723" i="1" a="1"/>
  <c r="K724" i="1" a="1"/>
  <c r="K725" i="1" a="1"/>
  <c r="K726" i="1" a="1"/>
  <c r="K727" i="1" a="1"/>
  <c r="K728" i="1" a="1"/>
  <c r="K729" i="1" a="1"/>
  <c r="K730" i="1" a="1"/>
  <c r="K731" i="1" a="1"/>
  <c r="K732" i="1" a="1"/>
  <c r="K733" i="1" a="1"/>
  <c r="K734" i="1" a="1"/>
  <c r="K735" i="1" a="1"/>
  <c r="K736" i="1" a="1"/>
  <c r="K737" i="1" a="1"/>
  <c r="K738" i="1" a="1"/>
  <c r="K739" i="1" a="1"/>
  <c r="K740" i="1" a="1"/>
  <c r="K741" i="1" a="1"/>
  <c r="K742" i="1" a="1"/>
  <c r="K743" i="1" a="1"/>
  <c r="K744" i="1" a="1"/>
  <c r="K745" i="1" a="1"/>
  <c r="K746" i="1" a="1"/>
  <c r="K747" i="1" a="1"/>
  <c r="K748" i="1" a="1"/>
  <c r="K749" i="1" a="1"/>
  <c r="K750" i="1" a="1"/>
  <c r="K751" i="1" a="1"/>
  <c r="K752" i="1" a="1"/>
  <c r="K753" i="1" a="1"/>
  <c r="K754" i="1" a="1"/>
  <c r="K755" i="1" a="1"/>
  <c r="K756" i="1" a="1"/>
  <c r="K757" i="1" a="1"/>
  <c r="K758" i="1" a="1"/>
  <c r="K759" i="1" a="1"/>
  <c r="K760" i="1" a="1"/>
  <c r="K761" i="1" a="1"/>
  <c r="K762" i="1" a="1"/>
  <c r="K763" i="1" a="1"/>
  <c r="K764" i="1" a="1"/>
  <c r="K765" i="1" a="1"/>
  <c r="K766" i="1" a="1"/>
  <c r="K767" i="1" a="1"/>
  <c r="K768" i="1" a="1"/>
  <c r="K769" i="1" a="1"/>
  <c r="K770" i="1" a="1"/>
  <c r="K771" i="1" a="1"/>
  <c r="K772" i="1" a="1"/>
  <c r="K773" i="1" a="1"/>
  <c r="K774" i="1" a="1"/>
  <c r="K775" i="1" a="1"/>
  <c r="K776" i="1" a="1"/>
  <c r="K777" i="1" a="1"/>
  <c r="K778" i="1" a="1"/>
  <c r="K779" i="1" a="1"/>
  <c r="K780" i="1" a="1"/>
  <c r="K781" i="1" a="1"/>
  <c r="K782" i="1" a="1"/>
  <c r="K783" i="1" a="1"/>
  <c r="K784" i="1" a="1"/>
  <c r="K785" i="1" a="1"/>
  <c r="K786" i="1" a="1"/>
  <c r="K787" i="1" a="1"/>
  <c r="K788" i="1" a="1"/>
  <c r="K789" i="1" a="1"/>
  <c r="K790" i="1" a="1"/>
  <c r="K791" i="1" a="1"/>
  <c r="K792" i="1" a="1"/>
  <c r="K793" i="1" a="1"/>
  <c r="K794" i="1" a="1"/>
  <c r="K795" i="1" a="1"/>
  <c r="K796" i="1" a="1"/>
  <c r="K797" i="1" a="1"/>
  <c r="K798" i="1" a="1"/>
  <c r="K799" i="1" a="1"/>
  <c r="K800" i="1" a="1"/>
  <c r="K801" i="1" a="1"/>
  <c r="K802" i="1" a="1"/>
  <c r="K803" i="1" a="1"/>
  <c r="K804" i="1" a="1"/>
  <c r="K805" i="1" a="1"/>
  <c r="K806" i="1" a="1"/>
  <c r="K807" i="1" a="1"/>
  <c r="K808" i="1" a="1"/>
  <c r="K809" i="1" a="1"/>
  <c r="K810" i="1" a="1"/>
  <c r="K811" i="1" a="1"/>
  <c r="K812" i="1" a="1"/>
  <c r="K813" i="1" a="1"/>
  <c r="K814" i="1" a="1"/>
  <c r="K815" i="1" a="1"/>
  <c r="K816" i="1" a="1"/>
  <c r="K817" i="1" a="1"/>
  <c r="K818" i="1" a="1"/>
  <c r="K819" i="1" a="1"/>
  <c r="K820" i="1" a="1"/>
  <c r="K821" i="1" a="1"/>
  <c r="K822" i="1" a="1"/>
  <c r="K823" i="1" a="1"/>
  <c r="K824" i="1" a="1"/>
  <c r="K825" i="1" a="1"/>
  <c r="K826" i="1" a="1"/>
  <c r="K827" i="1" a="1"/>
  <c r="K828" i="1" a="1"/>
  <c r="K829" i="1" a="1"/>
  <c r="K830" i="1" a="1"/>
  <c r="K831" i="1" a="1"/>
  <c r="K832" i="1" a="1"/>
  <c r="K833" i="1" a="1"/>
  <c r="K834" i="1" a="1"/>
  <c r="K835" i="1" a="1"/>
  <c r="K836" i="1" a="1"/>
  <c r="K837" i="1" a="1"/>
  <c r="K838" i="1" a="1"/>
  <c r="K839" i="1" a="1"/>
  <c r="K840" i="1" a="1"/>
  <c r="K841" i="1" a="1"/>
  <c r="K842" i="1" a="1"/>
  <c r="K843" i="1" a="1"/>
  <c r="K844" i="1" a="1"/>
  <c r="K845" i="1" a="1"/>
  <c r="K846" i="1" a="1"/>
  <c r="K847" i="1" a="1"/>
  <c r="K848" i="1" a="1"/>
  <c r="K849" i="1" a="1"/>
  <c r="K850" i="1" a="1"/>
  <c r="K851" i="1" a="1"/>
  <c r="K852" i="1" a="1"/>
  <c r="K853" i="1" a="1"/>
  <c r="K854" i="1" a="1"/>
  <c r="K855" i="1" a="1"/>
  <c r="K856" i="1" a="1"/>
  <c r="K857" i="1" a="1"/>
  <c r="K858" i="1" a="1"/>
  <c r="K859" i="1" a="1"/>
  <c r="K860" i="1" a="1"/>
  <c r="K861" i="1" a="1"/>
  <c r="K862" i="1" a="1"/>
  <c r="K863" i="1" a="1"/>
  <c r="K864" i="1" a="1"/>
  <c r="K865" i="1" a="1"/>
  <c r="K866" i="1" a="1"/>
  <c r="K867" i="1" a="1"/>
  <c r="K868" i="1" a="1"/>
  <c r="K869" i="1" a="1"/>
  <c r="K870" i="1" a="1"/>
  <c r="K871" i="1" a="1"/>
  <c r="K872" i="1" a="1"/>
  <c r="K873" i="1" a="1"/>
  <c r="K874" i="1" a="1"/>
  <c r="K875" i="1" a="1"/>
  <c r="K876" i="1" a="1"/>
  <c r="K877" i="1" a="1"/>
  <c r="K878" i="1" a="1"/>
  <c r="K879" i="1" a="1"/>
  <c r="K880" i="1" a="1"/>
  <c r="K881" i="1" a="1"/>
  <c r="K882" i="1" a="1"/>
  <c r="K883" i="1" a="1"/>
  <c r="K884" i="1" a="1"/>
  <c r="K885" i="1" a="1"/>
  <c r="K886" i="1" a="1"/>
  <c r="K887" i="1" a="1"/>
  <c r="K888" i="1" a="1"/>
  <c r="K889" i="1" a="1"/>
  <c r="K890" i="1" a="1"/>
  <c r="K891" i="1" a="1"/>
  <c r="K892" i="1" a="1"/>
  <c r="K893" i="1" a="1"/>
  <c r="K894" i="1" a="1"/>
  <c r="K895" i="1" a="1"/>
  <c r="K896" i="1" a="1"/>
  <c r="K897" i="1" a="1"/>
  <c r="K898" i="1" a="1"/>
  <c r="K899" i="1" a="1"/>
  <c r="K900" i="1" a="1"/>
  <c r="K901" i="1" a="1"/>
  <c r="K902" i="1" a="1"/>
  <c r="K903" i="1" a="1"/>
  <c r="K904" i="1" a="1"/>
  <c r="K905" i="1" a="1"/>
  <c r="K906" i="1" a="1"/>
  <c r="K907" i="1" a="1"/>
  <c r="K908" i="1" a="1"/>
  <c r="K909" i="1" a="1"/>
  <c r="K910" i="1" a="1"/>
  <c r="K911" i="1" a="1"/>
  <c r="K912" i="1" a="1"/>
  <c r="K913" i="1" a="1"/>
  <c r="K914" i="1" a="1"/>
  <c r="K915" i="1" a="1"/>
  <c r="K916" i="1" a="1"/>
  <c r="K917" i="1" a="1"/>
  <c r="K918" i="1" a="1"/>
  <c r="K919" i="1" a="1"/>
  <c r="K920" i="1" a="1"/>
  <c r="K921" i="1" a="1"/>
  <c r="K922" i="1" a="1"/>
  <c r="K923" i="1" a="1"/>
  <c r="K924" i="1" a="1"/>
  <c r="K925" i="1" a="1"/>
  <c r="K926" i="1" a="1"/>
  <c r="K927" i="1" a="1"/>
  <c r="K928" i="1" a="1"/>
  <c r="K929" i="1" a="1"/>
  <c r="K930" i="1" a="1"/>
  <c r="K931" i="1" a="1"/>
  <c r="K932" i="1" a="1"/>
  <c r="K933" i="1" a="1"/>
  <c r="K934" i="1" a="1"/>
  <c r="K935" i="1" a="1"/>
  <c r="K936" i="1" a="1"/>
  <c r="K937" i="1" a="1"/>
  <c r="K938" i="1" a="1"/>
  <c r="K939" i="1" a="1"/>
  <c r="K940" i="1" a="1"/>
  <c r="K941" i="1" a="1"/>
  <c r="K942" i="1" a="1"/>
  <c r="K943" i="1" a="1"/>
  <c r="K944" i="1" a="1"/>
  <c r="K945" i="1" a="1"/>
  <c r="K946" i="1" a="1"/>
  <c r="K947" i="1" a="1"/>
  <c r="K948" i="1" a="1"/>
  <c r="K949" i="1" a="1"/>
  <c r="K950" i="1" a="1"/>
  <c r="K951" i="1" a="1"/>
  <c r="K952" i="1" a="1"/>
  <c r="K953" i="1" a="1"/>
  <c r="K954" i="1" a="1"/>
  <c r="K955" i="1" a="1"/>
  <c r="K956" i="1" a="1"/>
  <c r="K957" i="1" a="1"/>
  <c r="K958" i="1" a="1"/>
  <c r="K959" i="1" a="1"/>
  <c r="K960" i="1" a="1"/>
  <c r="K961" i="1" a="1"/>
  <c r="K962" i="1" a="1"/>
  <c r="K963" i="1" a="1"/>
  <c r="K964" i="1" a="1"/>
  <c r="K965" i="1" a="1"/>
  <c r="K966" i="1" a="1"/>
  <c r="K967" i="1" a="1"/>
  <c r="K968" i="1" a="1"/>
  <c r="K969" i="1" a="1"/>
  <c r="K970" i="1" a="1"/>
  <c r="K971" i="1" a="1"/>
  <c r="K972" i="1" a="1"/>
  <c r="K973" i="1" a="1"/>
  <c r="K974" i="1" a="1"/>
  <c r="K975" i="1" a="1"/>
  <c r="K976" i="1" a="1"/>
  <c r="K977" i="1" a="1"/>
  <c r="K978" i="1" a="1"/>
  <c r="K979" i="1" a="1"/>
  <c r="K980" i="1" a="1"/>
  <c r="K981" i="1" a="1"/>
  <c r="K982" i="1" a="1"/>
  <c r="K983" i="1" a="1"/>
  <c r="K984" i="1" a="1"/>
  <c r="K985" i="1" a="1"/>
  <c r="K986" i="1" a="1"/>
  <c r="K987" i="1" a="1"/>
  <c r="K988" i="1" a="1"/>
  <c r="K989" i="1" a="1"/>
  <c r="K990" i="1" a="1"/>
  <c r="K991" i="1" a="1"/>
  <c r="K992" i="1" a="1"/>
  <c r="K993" i="1" a="1"/>
  <c r="K994" i="1" a="1"/>
  <c r="K995" i="1" a="1"/>
  <c r="K996" i="1" a="1"/>
  <c r="K997" i="1" a="1"/>
  <c r="K998" i="1" a="1"/>
  <c r="K999" i="1" a="1"/>
  <c r="K1000" i="1" a="1"/>
  <c r="K1001" i="1" a="1"/>
  <c r="K1002" i="1" a="1"/>
  <c r="K1003" i="1" a="1"/>
  <c r="K1004" i="1" a="1"/>
  <c r="K1005" i="1" a="1"/>
  <c r="K1006" i="1" a="1"/>
  <c r="K1007" i="1" a="1"/>
  <c r="K1008" i="1" a="1"/>
  <c r="K1009" i="1" a="1"/>
  <c r="K1010" i="1" a="1"/>
  <c r="K1011" i="1" a="1"/>
  <c r="K1012" i="1" a="1"/>
  <c r="K1013" i="1" a="1"/>
  <c r="K1014" i="1" a="1"/>
  <c r="K1015" i="1" a="1"/>
  <c r="K1016" i="1" a="1"/>
  <c r="K1017" i="1" a="1"/>
  <c r="K1018" i="1" a="1"/>
  <c r="K1019" i="1" a="1"/>
  <c r="K1020" i="1" a="1"/>
  <c r="K1021" i="1" a="1"/>
  <c r="K1022" i="1" a="1"/>
  <c r="K1023" i="1" a="1"/>
  <c r="K1024" i="1" a="1"/>
  <c r="K1025" i="1" a="1"/>
  <c r="K1026" i="1" a="1"/>
  <c r="K1027" i="1" a="1"/>
  <c r="K1028" i="1" a="1"/>
  <c r="K1029" i="1" a="1"/>
  <c r="K1030" i="1" a="1"/>
  <c r="K1031" i="1" a="1"/>
  <c r="K1032" i="1" a="1"/>
  <c r="K1033" i="1" a="1"/>
  <c r="K1034" i="1" a="1"/>
  <c r="K1035" i="1" a="1"/>
  <c r="K1036" i="1" a="1"/>
  <c r="K1037" i="1" a="1"/>
  <c r="K1038" i="1" a="1"/>
  <c r="K1039" i="1" a="1"/>
  <c r="K1040" i="1" a="1"/>
  <c r="K1041" i="1" a="1"/>
  <c r="K1042" i="1" a="1"/>
  <c r="K1043" i="1" a="1"/>
  <c r="K1044" i="1" a="1"/>
  <c r="K1045" i="1" a="1"/>
  <c r="K1046" i="1" a="1"/>
  <c r="K1047" i="1" a="1"/>
  <c r="K1048" i="1" a="1"/>
  <c r="K1049" i="1" a="1"/>
  <c r="K1050" i="1" a="1"/>
  <c r="K1051" i="1" a="1"/>
  <c r="K1052" i="1" a="1"/>
  <c r="K1053" i="1" a="1"/>
  <c r="K1054" i="1" a="1"/>
  <c r="K1055" i="1" a="1"/>
  <c r="K1056" i="1" a="1"/>
  <c r="K1057" i="1" a="1"/>
  <c r="K1058" i="1" a="1"/>
  <c r="K1059" i="1" a="1"/>
  <c r="K1060" i="1" a="1"/>
  <c r="K1061" i="1" a="1"/>
  <c r="K1062" i="1" a="1"/>
  <c r="K1063" i="1" a="1"/>
  <c r="K1064" i="1" a="1"/>
  <c r="K1065" i="1" a="1"/>
  <c r="K1066" i="1" a="1"/>
  <c r="K1067" i="1" a="1"/>
  <c r="K1068" i="1" a="1"/>
  <c r="K1069" i="1" a="1"/>
  <c r="K1070" i="1" a="1"/>
  <c r="K1071" i="1" a="1"/>
  <c r="K1072" i="1" a="1"/>
  <c r="K1073" i="1" a="1"/>
  <c r="K1074" i="1" a="1"/>
  <c r="K1075" i="1" a="1"/>
  <c r="K1076" i="1" a="1"/>
  <c r="K1077" i="1" a="1"/>
  <c r="K1078" i="1" a="1"/>
  <c r="K1079" i="1" a="1"/>
  <c r="K1080" i="1" a="1"/>
  <c r="K1081" i="1" a="1"/>
  <c r="K1082" i="1" a="1"/>
  <c r="K1083" i="1" a="1"/>
  <c r="K1084" i="1" a="1"/>
  <c r="K1085" i="1" a="1"/>
  <c r="K1086" i="1" a="1"/>
  <c r="K1087" i="1" a="1"/>
  <c r="K1088" i="1" a="1"/>
  <c r="K1089" i="1" a="1"/>
  <c r="K1090" i="1" a="1"/>
  <c r="K1091" i="1" a="1"/>
  <c r="K1092" i="1" a="1"/>
  <c r="K1093" i="1" a="1"/>
  <c r="K1094" i="1" a="1"/>
  <c r="K1095" i="1" a="1"/>
  <c r="K1096" i="1" a="1"/>
  <c r="K1097" i="1" a="1"/>
  <c r="K1098" i="1" a="1"/>
  <c r="K1099" i="1" a="1"/>
  <c r="K1100" i="1" a="1"/>
  <c r="K1101" i="1" a="1"/>
  <c r="K1102" i="1" a="1"/>
  <c r="K1103" i="1" a="1"/>
  <c r="K1104" i="1" a="1"/>
  <c r="K1105" i="1" a="1"/>
  <c r="K1106" i="1" a="1"/>
  <c r="K1107" i="1" a="1"/>
  <c r="K1108" i="1" a="1"/>
  <c r="K1109" i="1" a="1"/>
  <c r="K1110" i="1" a="1"/>
  <c r="K1111" i="1" a="1"/>
  <c r="K1112" i="1" a="1"/>
  <c r="K1113" i="1" a="1"/>
  <c r="K1114" i="1" a="1"/>
  <c r="K1115" i="1" a="1"/>
  <c r="K1116" i="1" a="1"/>
  <c r="K1117" i="1" a="1"/>
  <c r="K1118" i="1" a="1"/>
  <c r="K1119" i="1" a="1"/>
  <c r="K1120" i="1" a="1"/>
  <c r="K1121" i="1" a="1"/>
  <c r="K1122" i="1" a="1"/>
  <c r="K1123" i="1" a="1"/>
  <c r="K1124" i="1" a="1"/>
  <c r="K1125" i="1" a="1"/>
  <c r="K1126" i="1" a="1"/>
  <c r="K1127" i="1" a="1"/>
  <c r="K1128" i="1" a="1"/>
  <c r="K1129" i="1" a="1"/>
  <c r="K1130" i="1" a="1"/>
  <c r="K1131" i="1" a="1"/>
  <c r="K1132" i="1" a="1"/>
  <c r="K1133" i="1" a="1"/>
  <c r="K1134" i="1" a="1"/>
  <c r="K1135" i="1" a="1"/>
  <c r="K1136" i="1" a="1"/>
  <c r="K1137" i="1" a="1"/>
  <c r="K1138" i="1" a="1"/>
  <c r="K1139" i="1" a="1"/>
  <c r="K1140" i="1" a="1"/>
  <c r="K1141" i="1" a="1"/>
  <c r="K1142" i="1" a="1"/>
  <c r="K1143" i="1" a="1"/>
  <c r="K1144" i="1" a="1"/>
  <c r="K1145" i="1" a="1"/>
  <c r="K1146" i="1" a="1"/>
  <c r="K1147" i="1" a="1"/>
  <c r="K1148" i="1" a="1"/>
  <c r="K1149" i="1" a="1"/>
  <c r="K1150" i="1" a="1"/>
  <c r="K1151" i="1" a="1"/>
  <c r="K1152" i="1" a="1"/>
  <c r="K1153" i="1" a="1"/>
  <c r="K1154" i="1" a="1"/>
  <c r="K1155" i="1" a="1"/>
  <c r="K1156" i="1" a="1"/>
  <c r="K1157" i="1" a="1"/>
  <c r="K1158" i="1" a="1"/>
  <c r="K1159" i="1" a="1"/>
  <c r="K1160" i="1" a="1"/>
  <c r="K1161" i="1" a="1"/>
  <c r="K1162" i="1" a="1"/>
  <c r="K1163" i="1" a="1"/>
  <c r="K1164" i="1" a="1"/>
  <c r="K1165" i="1" a="1"/>
  <c r="K1166" i="1" a="1"/>
  <c r="K1167" i="1" a="1"/>
  <c r="K1168" i="1" a="1"/>
  <c r="K1169" i="1" a="1"/>
  <c r="K1170" i="1" a="1"/>
  <c r="K1171" i="1" a="1"/>
  <c r="K1172" i="1" a="1"/>
  <c r="K1173" i="1" a="1"/>
  <c r="K1174" i="1" a="1"/>
  <c r="K1175" i="1" a="1"/>
  <c r="K1176" i="1" a="1"/>
  <c r="K1177" i="1" a="1"/>
  <c r="K1178" i="1" a="1"/>
  <c r="K1179" i="1" a="1"/>
  <c r="K1180" i="1" a="1"/>
  <c r="K1181" i="1" a="1"/>
  <c r="K1182" i="1" a="1"/>
  <c r="K1183" i="1" a="1"/>
  <c r="K1184" i="1" a="1"/>
  <c r="K1185" i="1" a="1"/>
  <c r="K1186" i="1" a="1"/>
  <c r="K1187" i="1" a="1"/>
  <c r="K1188" i="1" a="1"/>
  <c r="K1189" i="1" a="1"/>
  <c r="K1190" i="1" a="1"/>
  <c r="K1191" i="1" a="1"/>
  <c r="K1192" i="1" a="1"/>
  <c r="K1193" i="1" a="1"/>
  <c r="K1194" i="1" a="1"/>
  <c r="K1195" i="1" a="1"/>
  <c r="K1196" i="1" a="1"/>
  <c r="K1197" i="1" a="1"/>
  <c r="K1198" i="1" a="1"/>
  <c r="K1199" i="1" a="1"/>
  <c r="K1200" i="1" a="1"/>
  <c r="K1201" i="1" a="1"/>
  <c r="K1202" i="1" a="1"/>
  <c r="K1203" i="1" a="1"/>
  <c r="K1204" i="1" a="1"/>
  <c r="K1205" i="1" a="1"/>
  <c r="K1206" i="1" a="1"/>
  <c r="K1207" i="1" a="1"/>
  <c r="K1208" i="1" a="1"/>
  <c r="K1209" i="1" a="1"/>
  <c r="K1210" i="1" a="1"/>
  <c r="K1211" i="1" a="1"/>
  <c r="K1212" i="1" a="1"/>
  <c r="K1213" i="1" a="1"/>
  <c r="K1214" i="1" a="1"/>
  <c r="K1215" i="1" a="1"/>
  <c r="K1216" i="1" a="1"/>
  <c r="K1217" i="1" a="1"/>
  <c r="K1218" i="1" a="1"/>
  <c r="K1219" i="1" a="1"/>
  <c r="K1220" i="1" a="1"/>
  <c r="K1221" i="1" a="1"/>
  <c r="K1222" i="1" a="1"/>
  <c r="K1223" i="1" a="1"/>
  <c r="K1224" i="1" a="1"/>
  <c r="K1225" i="1" a="1"/>
  <c r="K1226" i="1" a="1"/>
  <c r="K1227" i="1" a="1"/>
  <c r="K1228" i="1" a="1"/>
  <c r="K1229" i="1" a="1"/>
  <c r="K1230" i="1" a="1"/>
  <c r="K1231" i="1" a="1"/>
  <c r="K1232" i="1" a="1"/>
  <c r="K1233" i="1" a="1"/>
  <c r="K1234" i="1" a="1"/>
  <c r="K1235" i="1" a="1"/>
  <c r="K1236" i="1" a="1"/>
  <c r="K1237" i="1" a="1"/>
  <c r="K1238" i="1" a="1"/>
  <c r="K1239" i="1" a="1"/>
  <c r="K1240" i="1" a="1"/>
  <c r="K1241" i="1" a="1"/>
  <c r="K1242" i="1" a="1"/>
  <c r="K1243" i="1" a="1"/>
  <c r="K1244" i="1" a="1"/>
  <c r="K1245" i="1" a="1"/>
  <c r="K1246" i="1" a="1"/>
  <c r="K1247" i="1" a="1"/>
  <c r="K1248" i="1" a="1"/>
  <c r="K1249" i="1" a="1"/>
  <c r="K1250" i="1" a="1"/>
  <c r="K1251" i="1" a="1"/>
  <c r="K1252" i="1" a="1"/>
  <c r="K1253" i="1" a="1"/>
  <c r="K1254" i="1" a="1"/>
  <c r="K1255" i="1" a="1"/>
  <c r="K1256" i="1" a="1"/>
  <c r="K1257" i="1" a="1"/>
  <c r="K1258" i="1" a="1"/>
  <c r="K1259" i="1" a="1"/>
  <c r="K1260" i="1" a="1"/>
  <c r="K1261" i="1" a="1"/>
  <c r="K1262" i="1" a="1"/>
  <c r="K1263" i="1" a="1"/>
  <c r="K1264" i="1" a="1"/>
  <c r="K1265" i="1" a="1"/>
  <c r="K1266" i="1" a="1"/>
  <c r="K1267" i="1" a="1"/>
  <c r="K1268" i="1" a="1"/>
  <c r="K1269" i="1" a="1"/>
  <c r="K1270" i="1" a="1"/>
  <c r="K1271" i="1" a="1"/>
  <c r="K1272" i="1" a="1"/>
  <c r="K1273" i="1" a="1"/>
  <c r="K1274" i="1" a="1"/>
  <c r="K1275" i="1" a="1"/>
  <c r="K1276" i="1" a="1"/>
  <c r="K1277" i="1" a="1"/>
  <c r="K1278" i="1" a="1"/>
  <c r="K1279" i="1" a="1"/>
  <c r="K1280" i="1" a="1"/>
  <c r="K1281" i="1" a="1"/>
  <c r="K1282" i="1" a="1"/>
  <c r="K1283" i="1" a="1"/>
  <c r="K1284" i="1" a="1"/>
  <c r="K1285" i="1" a="1"/>
  <c r="K1286" i="1" a="1"/>
  <c r="K1287" i="1" a="1"/>
  <c r="K1288" i="1" a="1"/>
  <c r="K1289" i="1" a="1"/>
  <c r="K1290" i="1" a="1"/>
  <c r="K1291" i="1" a="1"/>
  <c r="K1292" i="1" a="1"/>
  <c r="K1293" i="1" a="1"/>
  <c r="K1294" i="1" a="1"/>
  <c r="K1295" i="1" a="1"/>
  <c r="K1296" i="1" a="1"/>
  <c r="K1297" i="1" a="1"/>
  <c r="K1298" i="1" a="1"/>
  <c r="K1299" i="1" a="1"/>
  <c r="K1300" i="1" a="1"/>
  <c r="K1301" i="1" a="1"/>
  <c r="K1302" i="1" a="1"/>
  <c r="K1303" i="1" a="1"/>
  <c r="K1304" i="1" a="1"/>
  <c r="K1305" i="1" a="1"/>
  <c r="K1306" i="1" a="1"/>
  <c r="K1307" i="1" a="1"/>
  <c r="K1308" i="1" a="1"/>
  <c r="K1309" i="1" a="1"/>
  <c r="K1310" i="1" a="1"/>
  <c r="K1311" i="1" a="1"/>
  <c r="K1312" i="1" a="1"/>
  <c r="K1313" i="1" a="1"/>
  <c r="K1314" i="1" a="1"/>
  <c r="K1315" i="1" a="1"/>
  <c r="K1316" i="1" a="1"/>
  <c r="K1317" i="1" a="1"/>
  <c r="K1318" i="1" a="1"/>
  <c r="K1319" i="1" a="1"/>
  <c r="K1320" i="1" a="1"/>
  <c r="K1321" i="1" a="1"/>
  <c r="K1322" i="1" a="1"/>
  <c r="K1323" i="1" a="1"/>
  <c r="K1324" i="1" a="1"/>
  <c r="K1325" i="1" a="1"/>
  <c r="K1326" i="1" a="1"/>
  <c r="K1327" i="1" a="1"/>
  <c r="K1328" i="1" a="1"/>
  <c r="K1329" i="1" a="1"/>
  <c r="K1330" i="1" a="1"/>
  <c r="K1331" i="1" a="1"/>
  <c r="K1332" i="1" a="1"/>
  <c r="K1333" i="1" a="1"/>
  <c r="K1334" i="1" a="1"/>
  <c r="K1335" i="1" a="1"/>
  <c r="K1336" i="1" a="1"/>
  <c r="K1337" i="1" a="1"/>
  <c r="K1338" i="1" a="1"/>
  <c r="K2" i="1" a="1"/>
  <c r="I3" i="1" a="1"/>
  <c r="I4" i="1" a="1"/>
  <c r="I5" i="1" a="1"/>
  <c r="I6" i="1" a="1"/>
  <c r="I7" i="1" a="1"/>
  <c r="I8" i="1" a="1"/>
  <c r="I9" i="1" a="1"/>
  <c r="I10" i="1" a="1"/>
  <c r="I11" i="1" a="1"/>
  <c r="I12" i="1" a="1"/>
  <c r="I13" i="1" a="1"/>
  <c r="I14" i="1" a="1"/>
  <c r="I15" i="1" a="1"/>
  <c r="I16" i="1" a="1"/>
  <c r="I17" i="1" a="1"/>
  <c r="I18" i="1" a="1"/>
  <c r="I19" i="1" a="1"/>
  <c r="I20" i="1" a="1"/>
  <c r="I21" i="1" a="1"/>
  <c r="I22" i="1" a="1"/>
  <c r="I23" i="1" a="1"/>
  <c r="I24" i="1" a="1"/>
  <c r="I25" i="1" a="1"/>
  <c r="I26" i="1" a="1"/>
  <c r="I27" i="1" a="1"/>
  <c r="I28" i="1" a="1"/>
  <c r="I29" i="1" a="1"/>
  <c r="I30" i="1" a="1"/>
  <c r="I31" i="1" a="1"/>
  <c r="I32" i="1" a="1"/>
  <c r="I33" i="1" a="1"/>
  <c r="I34" i="1" a="1"/>
  <c r="I35" i="1" a="1"/>
  <c r="I36" i="1" a="1"/>
  <c r="I37" i="1" a="1"/>
  <c r="I38" i="1" a="1"/>
  <c r="I39" i="1" a="1"/>
  <c r="I40" i="1" a="1"/>
  <c r="I41" i="1" a="1"/>
  <c r="I42" i="1" a="1"/>
  <c r="I43" i="1" a="1"/>
  <c r="I44" i="1" a="1"/>
  <c r="I45" i="1" a="1"/>
  <c r="I46" i="1" a="1"/>
  <c r="I47" i="1" a="1"/>
  <c r="I48" i="1" a="1"/>
  <c r="I49" i="1" a="1"/>
  <c r="I50" i="1" a="1"/>
  <c r="I51" i="1" a="1"/>
  <c r="I52" i="1" a="1"/>
  <c r="I53" i="1" a="1"/>
  <c r="I54" i="1" a="1"/>
  <c r="I55" i="1" a="1"/>
  <c r="I56" i="1" a="1"/>
  <c r="I57" i="1" a="1"/>
  <c r="I58" i="1" a="1"/>
  <c r="I59" i="1" a="1"/>
  <c r="I60" i="1" a="1"/>
  <c r="I61" i="1" a="1"/>
  <c r="I62" i="1" a="1"/>
  <c r="I63" i="1" a="1"/>
  <c r="I64" i="1" a="1"/>
  <c r="I65" i="1" a="1"/>
  <c r="I66" i="1" a="1"/>
  <c r="I67" i="1" a="1"/>
  <c r="I68" i="1" a="1"/>
  <c r="I69" i="1" a="1"/>
  <c r="I70" i="1" a="1"/>
  <c r="I71" i="1" a="1"/>
  <c r="I72" i="1" a="1"/>
  <c r="I73" i="1" a="1"/>
  <c r="I74" i="1" a="1"/>
  <c r="I75" i="1" a="1"/>
  <c r="I76" i="1" a="1"/>
  <c r="I77" i="1" a="1"/>
  <c r="I78" i="1" a="1"/>
  <c r="I79" i="1" a="1"/>
  <c r="I80" i="1" a="1"/>
  <c r="I81" i="1" a="1"/>
  <c r="I82" i="1" a="1"/>
  <c r="I83" i="1" a="1"/>
  <c r="I84" i="1" a="1"/>
  <c r="I85" i="1" a="1"/>
  <c r="I86" i="1" a="1"/>
  <c r="I87" i="1" a="1"/>
  <c r="I88" i="1" a="1"/>
  <c r="I89" i="1" a="1"/>
  <c r="I90" i="1" a="1"/>
  <c r="I91" i="1" a="1"/>
  <c r="I92" i="1" a="1"/>
  <c r="I93" i="1" a="1"/>
  <c r="I94" i="1" a="1"/>
  <c r="I95" i="1" a="1"/>
  <c r="I96" i="1" a="1"/>
  <c r="I97" i="1" a="1"/>
  <c r="I98" i="1" a="1"/>
  <c r="I99" i="1" a="1"/>
  <c r="I100" i="1" a="1"/>
  <c r="I101" i="1" a="1"/>
  <c r="I102" i="1" a="1"/>
  <c r="I103" i="1" a="1"/>
  <c r="I104" i="1" a="1"/>
  <c r="I105" i="1" a="1"/>
  <c r="I106" i="1" a="1"/>
  <c r="I107" i="1" a="1"/>
  <c r="I108" i="1" a="1"/>
  <c r="I109" i="1" a="1"/>
  <c r="I110" i="1" a="1"/>
  <c r="I111" i="1" a="1"/>
  <c r="I112" i="1" a="1"/>
  <c r="I113" i="1" a="1"/>
  <c r="I114" i="1" a="1"/>
  <c r="I115" i="1" a="1"/>
  <c r="I116" i="1" a="1"/>
  <c r="I117" i="1" a="1"/>
  <c r="I118" i="1" a="1"/>
  <c r="I119" i="1" a="1"/>
  <c r="I120" i="1" a="1"/>
  <c r="I121" i="1" a="1"/>
  <c r="I122" i="1" a="1"/>
  <c r="I123" i="1" a="1"/>
  <c r="I124" i="1" a="1"/>
  <c r="I125" i="1" a="1"/>
  <c r="I126" i="1" a="1"/>
  <c r="I127" i="1" a="1"/>
  <c r="I128" i="1" a="1"/>
  <c r="I129" i="1" a="1"/>
  <c r="I130" i="1" a="1"/>
  <c r="I131" i="1" a="1"/>
  <c r="I132" i="1" a="1"/>
  <c r="I133" i="1" a="1"/>
  <c r="I134" i="1" a="1"/>
  <c r="I135" i="1" a="1"/>
  <c r="I136" i="1" a="1"/>
  <c r="I137" i="1" a="1"/>
  <c r="I138" i="1" a="1"/>
  <c r="I139" i="1" a="1"/>
  <c r="I140" i="1" a="1"/>
  <c r="I141" i="1" a="1"/>
  <c r="I142" i="1" a="1"/>
  <c r="I143" i="1" a="1"/>
  <c r="I144" i="1" a="1"/>
  <c r="I145" i="1" a="1"/>
  <c r="I146" i="1" a="1"/>
  <c r="I147" i="1" a="1"/>
  <c r="I148" i="1" a="1"/>
  <c r="I149" i="1" a="1"/>
  <c r="I150" i="1" a="1"/>
  <c r="I151" i="1" a="1"/>
  <c r="I152" i="1" a="1"/>
  <c r="I153" i="1" a="1"/>
  <c r="I154" i="1" a="1"/>
  <c r="I155" i="1" a="1"/>
  <c r="I156" i="1" a="1"/>
  <c r="I157" i="1" a="1"/>
  <c r="I158" i="1" a="1"/>
  <c r="I159" i="1" a="1"/>
  <c r="I160" i="1" a="1"/>
  <c r="I161" i="1" a="1"/>
  <c r="I162" i="1" a="1"/>
  <c r="I163" i="1" a="1"/>
  <c r="I164" i="1" a="1"/>
  <c r="I165" i="1" a="1"/>
  <c r="I166" i="1" a="1"/>
  <c r="I167" i="1" a="1"/>
  <c r="I168" i="1" a="1"/>
  <c r="I169" i="1" a="1"/>
  <c r="I170" i="1" a="1"/>
  <c r="I171" i="1" a="1"/>
  <c r="I172" i="1" a="1"/>
  <c r="I173" i="1" a="1"/>
  <c r="I174" i="1" a="1"/>
  <c r="I175" i="1" a="1"/>
  <c r="I176" i="1" a="1"/>
  <c r="I177" i="1" a="1"/>
  <c r="I178" i="1" a="1"/>
  <c r="I179" i="1" a="1"/>
  <c r="I180" i="1" a="1"/>
  <c r="I181" i="1" a="1"/>
  <c r="I182" i="1" a="1"/>
  <c r="I183" i="1" a="1"/>
  <c r="I184" i="1" a="1"/>
  <c r="I185" i="1" a="1"/>
  <c r="I186" i="1" a="1"/>
  <c r="I187" i="1" a="1"/>
  <c r="I188" i="1" a="1"/>
  <c r="I189" i="1" a="1"/>
  <c r="I190" i="1" a="1"/>
  <c r="I191" i="1" a="1"/>
  <c r="I192" i="1" a="1"/>
  <c r="I193" i="1" a="1"/>
  <c r="I194" i="1" a="1"/>
  <c r="I195" i="1" a="1"/>
  <c r="I196" i="1" a="1"/>
  <c r="I197" i="1" a="1"/>
  <c r="I198" i="1" a="1"/>
  <c r="I199" i="1" a="1"/>
  <c r="I200" i="1" a="1"/>
  <c r="I201" i="1" a="1"/>
  <c r="I202" i="1" a="1"/>
  <c r="I203" i="1" a="1"/>
  <c r="I204" i="1" a="1"/>
  <c r="I205" i="1" a="1"/>
  <c r="I206" i="1" a="1"/>
  <c r="I207" i="1" a="1"/>
  <c r="I208" i="1" a="1"/>
  <c r="I209" i="1" a="1"/>
  <c r="I210" i="1" a="1"/>
  <c r="I211" i="1" a="1"/>
  <c r="I212" i="1" a="1"/>
  <c r="I213" i="1" a="1"/>
  <c r="I214" i="1" a="1"/>
  <c r="I215" i="1" a="1"/>
  <c r="I216" i="1" a="1"/>
  <c r="I217" i="1" a="1"/>
  <c r="I218" i="1" a="1"/>
  <c r="I219" i="1" a="1"/>
  <c r="I220" i="1" a="1"/>
  <c r="I221" i="1" a="1"/>
  <c r="I222" i="1" a="1"/>
  <c r="I223" i="1" a="1"/>
  <c r="I224" i="1" a="1"/>
  <c r="I225" i="1" a="1"/>
  <c r="I226" i="1" a="1"/>
  <c r="I227" i="1" a="1"/>
  <c r="I228" i="1" a="1"/>
  <c r="I229" i="1" a="1"/>
  <c r="I230" i="1" a="1"/>
  <c r="I231" i="1" a="1"/>
  <c r="I232" i="1" a="1"/>
  <c r="I233" i="1" a="1"/>
  <c r="I234" i="1" a="1"/>
  <c r="I235" i="1" a="1"/>
  <c r="I236" i="1" a="1"/>
  <c r="I237" i="1" a="1"/>
  <c r="I238" i="1" a="1"/>
  <c r="I239" i="1" a="1"/>
  <c r="I240" i="1" a="1"/>
  <c r="I241" i="1" a="1"/>
  <c r="I242" i="1" a="1"/>
  <c r="I243" i="1" a="1"/>
  <c r="I244" i="1" a="1"/>
  <c r="I245" i="1" a="1"/>
  <c r="I246" i="1" a="1"/>
  <c r="I247" i="1" a="1"/>
  <c r="I248" i="1" a="1"/>
  <c r="I249" i="1" a="1"/>
  <c r="I250" i="1" a="1"/>
  <c r="I251" i="1" a="1"/>
  <c r="I252" i="1" a="1"/>
  <c r="I253" i="1" a="1"/>
  <c r="I254" i="1" a="1"/>
  <c r="I255" i="1" a="1"/>
  <c r="I256" i="1" a="1"/>
  <c r="I257" i="1" a="1"/>
  <c r="I258" i="1" a="1"/>
  <c r="I259" i="1" a="1"/>
  <c r="I260" i="1" a="1"/>
  <c r="I261" i="1" a="1"/>
  <c r="I262" i="1" a="1"/>
  <c r="I263" i="1" a="1"/>
  <c r="I264" i="1" a="1"/>
  <c r="I265" i="1" a="1"/>
  <c r="I266" i="1" a="1"/>
  <c r="I267" i="1" a="1"/>
  <c r="I268" i="1" a="1"/>
  <c r="I269" i="1" a="1"/>
  <c r="I270" i="1" a="1"/>
  <c r="I271" i="1" a="1"/>
  <c r="I272" i="1" a="1"/>
  <c r="I273" i="1" a="1"/>
  <c r="I274" i="1" a="1"/>
  <c r="I275" i="1" a="1"/>
  <c r="I276" i="1" a="1"/>
  <c r="I277" i="1" a="1"/>
  <c r="I278" i="1" a="1"/>
  <c r="I279" i="1" a="1"/>
  <c r="I280" i="1" a="1"/>
  <c r="I281" i="1" a="1"/>
  <c r="I282" i="1" a="1"/>
  <c r="I283" i="1" a="1"/>
  <c r="I284" i="1" a="1"/>
  <c r="I285" i="1" a="1"/>
  <c r="I286" i="1" a="1"/>
  <c r="I287" i="1" a="1"/>
  <c r="I288" i="1" a="1"/>
  <c r="I289" i="1" a="1"/>
  <c r="I290" i="1" a="1"/>
  <c r="I291" i="1" a="1"/>
  <c r="I292" i="1" a="1"/>
  <c r="I293" i="1" a="1"/>
  <c r="I294" i="1" a="1"/>
  <c r="I295" i="1" a="1"/>
  <c r="I296" i="1" a="1"/>
  <c r="I297" i="1" a="1"/>
  <c r="I298" i="1" a="1"/>
  <c r="I299" i="1" a="1"/>
  <c r="I300" i="1" a="1"/>
  <c r="I301" i="1" a="1"/>
  <c r="I302" i="1" a="1"/>
  <c r="I303" i="1" a="1"/>
  <c r="I304" i="1" a="1"/>
  <c r="I305" i="1" a="1"/>
  <c r="I306" i="1" a="1"/>
  <c r="I307" i="1" a="1"/>
  <c r="I308" i="1" a="1"/>
  <c r="I309" i="1" a="1"/>
  <c r="I310" i="1" a="1"/>
  <c r="I311" i="1" a="1"/>
  <c r="I312" i="1" a="1"/>
  <c r="I313" i="1" a="1"/>
  <c r="I314" i="1" a="1"/>
  <c r="I315" i="1" a="1"/>
  <c r="I316" i="1" a="1"/>
  <c r="I317" i="1" a="1"/>
  <c r="I318" i="1" a="1"/>
  <c r="I319" i="1" a="1"/>
  <c r="I320" i="1" a="1"/>
  <c r="I321" i="1" a="1"/>
  <c r="I322" i="1" a="1"/>
  <c r="I323" i="1" a="1"/>
  <c r="I324" i="1" a="1"/>
  <c r="I325" i="1" a="1"/>
  <c r="I326" i="1" a="1"/>
  <c r="I327" i="1" a="1"/>
  <c r="I328" i="1" a="1"/>
  <c r="I329" i="1" a="1"/>
  <c r="I330" i="1" a="1"/>
  <c r="I331" i="1" a="1"/>
  <c r="I332" i="1" a="1"/>
  <c r="I333" i="1" a="1"/>
  <c r="I334" i="1" a="1"/>
  <c r="I335" i="1" a="1"/>
  <c r="I336" i="1" a="1"/>
  <c r="I337" i="1" a="1"/>
  <c r="I338" i="1" a="1"/>
  <c r="I339" i="1" a="1"/>
  <c r="I340" i="1" a="1"/>
  <c r="I341" i="1" a="1"/>
  <c r="I342" i="1" a="1"/>
  <c r="I343" i="1" a="1"/>
  <c r="I344" i="1" a="1"/>
  <c r="I345" i="1" a="1"/>
  <c r="I346" i="1" a="1"/>
  <c r="I347" i="1" a="1"/>
  <c r="I348" i="1" a="1"/>
  <c r="I349" i="1" a="1"/>
  <c r="I350" i="1" a="1"/>
  <c r="I351" i="1" a="1"/>
  <c r="I352" i="1" a="1"/>
  <c r="I353" i="1" a="1"/>
  <c r="I354" i="1" a="1"/>
  <c r="I355" i="1" a="1"/>
  <c r="I356" i="1" a="1"/>
  <c r="I357" i="1" a="1"/>
  <c r="I358" i="1" a="1"/>
  <c r="I359" i="1" a="1"/>
  <c r="I360" i="1" a="1"/>
  <c r="I361" i="1" a="1"/>
  <c r="I362" i="1" a="1"/>
  <c r="I363" i="1" a="1"/>
  <c r="I364" i="1" a="1"/>
  <c r="I365" i="1" a="1"/>
  <c r="I366" i="1" a="1"/>
  <c r="I367" i="1" a="1"/>
  <c r="I368" i="1" a="1"/>
  <c r="I369" i="1" a="1"/>
  <c r="I370" i="1" a="1"/>
  <c r="I371" i="1" a="1"/>
  <c r="I372" i="1" a="1"/>
  <c r="I373" i="1" a="1"/>
  <c r="I374" i="1" a="1"/>
  <c r="I375" i="1" a="1"/>
  <c r="I376" i="1" a="1"/>
  <c r="I377" i="1" a="1"/>
  <c r="I378" i="1" a="1"/>
  <c r="I379" i="1" a="1"/>
  <c r="I380" i="1" a="1"/>
  <c r="I381" i="1" a="1"/>
  <c r="I382" i="1" a="1"/>
  <c r="I383" i="1" a="1"/>
  <c r="I384" i="1" a="1"/>
  <c r="I385" i="1" a="1"/>
  <c r="I386" i="1" a="1"/>
  <c r="I387" i="1" a="1"/>
  <c r="I388" i="1" a="1"/>
  <c r="I389" i="1" a="1"/>
  <c r="I390" i="1" a="1"/>
  <c r="I391" i="1" a="1"/>
  <c r="I392" i="1" a="1"/>
  <c r="I393" i="1" a="1"/>
  <c r="I394" i="1" a="1"/>
  <c r="I395" i="1" a="1"/>
  <c r="I396" i="1" a="1"/>
  <c r="I397" i="1" a="1"/>
  <c r="I398" i="1" a="1"/>
  <c r="I399" i="1" a="1"/>
  <c r="I400" i="1" a="1"/>
  <c r="I401" i="1" a="1"/>
  <c r="I402" i="1" a="1"/>
  <c r="I403" i="1" a="1"/>
  <c r="I404" i="1" a="1"/>
  <c r="I405" i="1" a="1"/>
  <c r="I406" i="1" a="1"/>
  <c r="I407" i="1" a="1"/>
  <c r="I408" i="1" a="1"/>
  <c r="I409" i="1" a="1"/>
  <c r="I410" i="1" a="1"/>
  <c r="I411" i="1" a="1"/>
  <c r="I412" i="1" a="1"/>
  <c r="I413" i="1" a="1"/>
  <c r="I414" i="1" a="1"/>
  <c r="I415" i="1" a="1"/>
  <c r="I416" i="1" a="1"/>
  <c r="I417" i="1" a="1"/>
  <c r="I418" i="1" a="1"/>
  <c r="I419" i="1" a="1"/>
  <c r="I420" i="1" a="1"/>
  <c r="I421" i="1" a="1"/>
  <c r="I422" i="1" a="1"/>
  <c r="I423" i="1" a="1"/>
  <c r="I424" i="1" a="1"/>
  <c r="I425" i="1" a="1"/>
  <c r="I426" i="1" a="1"/>
  <c r="I427" i="1" a="1"/>
  <c r="I428" i="1" a="1"/>
  <c r="I429" i="1" a="1"/>
  <c r="I430" i="1" a="1"/>
  <c r="I431" i="1" a="1"/>
  <c r="I432" i="1" a="1"/>
  <c r="I433" i="1" a="1"/>
  <c r="I434" i="1" a="1"/>
  <c r="I435" i="1" a="1"/>
  <c r="I436" i="1" a="1"/>
  <c r="I437" i="1" a="1"/>
  <c r="I438" i="1" a="1"/>
  <c r="I439" i="1" a="1"/>
  <c r="I440" i="1" a="1"/>
  <c r="I441" i="1" a="1"/>
  <c r="I442" i="1" a="1"/>
  <c r="I443" i="1" a="1"/>
  <c r="I444" i="1" a="1"/>
  <c r="I445" i="1" a="1"/>
  <c r="I446" i="1" a="1"/>
  <c r="I447" i="1" a="1"/>
  <c r="I448" i="1" a="1"/>
  <c r="I449" i="1" a="1"/>
  <c r="I450" i="1" a="1"/>
  <c r="I451" i="1" a="1"/>
  <c r="I452" i="1" a="1"/>
  <c r="I453" i="1" a="1"/>
  <c r="I454" i="1" a="1"/>
  <c r="I455" i="1" a="1"/>
  <c r="I456" i="1" a="1"/>
  <c r="I457" i="1" a="1"/>
  <c r="I458" i="1" a="1"/>
  <c r="I459" i="1" a="1"/>
  <c r="I460" i="1" a="1"/>
  <c r="I461" i="1" a="1"/>
  <c r="I462" i="1" a="1"/>
  <c r="I463" i="1" a="1"/>
  <c r="I464" i="1" a="1"/>
  <c r="I465" i="1" a="1"/>
  <c r="I466" i="1" a="1"/>
  <c r="I467" i="1" a="1"/>
  <c r="I468" i="1" a="1"/>
  <c r="I469" i="1" a="1"/>
  <c r="I470" i="1" a="1"/>
  <c r="I471" i="1" a="1"/>
  <c r="I472" i="1" a="1"/>
  <c r="I473" i="1" a="1"/>
  <c r="I474" i="1" a="1"/>
  <c r="I475" i="1" a="1"/>
  <c r="I476" i="1" a="1"/>
  <c r="I477" i="1" a="1"/>
  <c r="I478" i="1" a="1"/>
  <c r="I479" i="1" a="1"/>
  <c r="I480" i="1" a="1"/>
  <c r="I481" i="1" a="1"/>
  <c r="I482" i="1" a="1"/>
  <c r="I483" i="1" a="1"/>
  <c r="I484" i="1" a="1"/>
  <c r="I485" i="1" a="1"/>
  <c r="I486" i="1" a="1"/>
  <c r="I487" i="1" a="1"/>
  <c r="I488" i="1" a="1"/>
  <c r="I489" i="1" a="1"/>
  <c r="I490" i="1" a="1"/>
  <c r="I491" i="1" a="1"/>
  <c r="I492" i="1" a="1"/>
  <c r="I493" i="1" a="1"/>
  <c r="I494" i="1" a="1"/>
  <c r="I495" i="1" a="1"/>
  <c r="I496" i="1" a="1"/>
  <c r="I497" i="1" a="1"/>
  <c r="I498" i="1" a="1"/>
  <c r="I499" i="1" a="1"/>
  <c r="I500" i="1" a="1"/>
  <c r="I501" i="1" a="1"/>
  <c r="I502" i="1" a="1"/>
  <c r="I503" i="1" a="1"/>
  <c r="I504" i="1" a="1"/>
  <c r="I505" i="1" a="1"/>
  <c r="I506" i="1" a="1"/>
  <c r="I507" i="1" a="1"/>
  <c r="I508" i="1" a="1"/>
  <c r="I509" i="1" a="1"/>
  <c r="I510" i="1" a="1"/>
  <c r="I511" i="1" a="1"/>
  <c r="I512" i="1" a="1"/>
  <c r="I513" i="1" a="1"/>
  <c r="I514" i="1" a="1"/>
  <c r="I515" i="1" a="1"/>
  <c r="I516" i="1" a="1"/>
  <c r="I517" i="1" a="1"/>
  <c r="I518" i="1" a="1"/>
  <c r="I519" i="1" a="1"/>
  <c r="I520" i="1" a="1"/>
  <c r="I521" i="1" a="1"/>
  <c r="I522" i="1" a="1"/>
  <c r="I523" i="1" a="1"/>
  <c r="I524" i="1" a="1"/>
  <c r="I525" i="1" a="1"/>
  <c r="I526" i="1" a="1"/>
  <c r="I527" i="1" a="1"/>
  <c r="I528" i="1" a="1"/>
  <c r="I529" i="1" a="1"/>
  <c r="I530" i="1" a="1"/>
  <c r="I531" i="1" a="1"/>
  <c r="I532" i="1" a="1"/>
  <c r="I533" i="1" a="1"/>
  <c r="I534" i="1" a="1"/>
  <c r="I535" i="1" a="1"/>
  <c r="I536" i="1" a="1"/>
  <c r="I537" i="1" a="1"/>
  <c r="I538" i="1" a="1"/>
  <c r="I539" i="1" a="1"/>
  <c r="I540" i="1" a="1"/>
  <c r="I541" i="1" a="1"/>
  <c r="I542" i="1" a="1"/>
  <c r="I543" i="1" a="1"/>
  <c r="I544" i="1" a="1"/>
  <c r="I545" i="1" a="1"/>
  <c r="I546" i="1" a="1"/>
  <c r="I547" i="1" a="1"/>
  <c r="I548" i="1" a="1"/>
  <c r="I549" i="1" a="1"/>
  <c r="I550" i="1" a="1"/>
  <c r="I551" i="1" a="1"/>
  <c r="I552" i="1" a="1"/>
  <c r="I553" i="1" a="1"/>
  <c r="I554" i="1" a="1"/>
  <c r="I555" i="1" a="1"/>
  <c r="I556" i="1" a="1"/>
  <c r="I557" i="1" a="1"/>
  <c r="I558" i="1" a="1"/>
  <c r="I559" i="1" a="1"/>
  <c r="I560" i="1" a="1"/>
  <c r="I561" i="1" a="1"/>
  <c r="I562" i="1" a="1"/>
  <c r="I563" i="1" a="1"/>
  <c r="I564" i="1" a="1"/>
  <c r="I565" i="1" a="1"/>
  <c r="I566" i="1" a="1"/>
  <c r="I567" i="1" a="1"/>
  <c r="I568" i="1" a="1"/>
  <c r="I569" i="1" a="1"/>
  <c r="I570" i="1" a="1"/>
  <c r="I571" i="1" a="1"/>
  <c r="I572" i="1" a="1"/>
  <c r="I573" i="1" a="1"/>
  <c r="I574" i="1" a="1"/>
  <c r="I575" i="1" a="1"/>
  <c r="I576" i="1" a="1"/>
  <c r="I577" i="1" a="1"/>
  <c r="I578" i="1" a="1"/>
  <c r="I579" i="1" a="1"/>
  <c r="I580" i="1" a="1"/>
  <c r="I581" i="1" a="1"/>
  <c r="I582" i="1" a="1"/>
  <c r="I583" i="1" a="1"/>
  <c r="I584" i="1" a="1"/>
  <c r="I585" i="1" a="1"/>
  <c r="I586" i="1" a="1"/>
  <c r="I587" i="1" a="1"/>
  <c r="I588" i="1" a="1"/>
  <c r="I589" i="1" a="1"/>
  <c r="I590" i="1" a="1"/>
  <c r="I591" i="1" a="1"/>
  <c r="I592" i="1" a="1"/>
  <c r="I593" i="1" a="1"/>
  <c r="I594" i="1" a="1"/>
  <c r="I595" i="1" a="1"/>
  <c r="I596" i="1" a="1"/>
  <c r="I597" i="1" a="1"/>
  <c r="I598" i="1" a="1"/>
  <c r="I599" i="1" a="1"/>
  <c r="I600" i="1" a="1"/>
  <c r="I601" i="1" a="1"/>
  <c r="I602" i="1" a="1"/>
  <c r="I603" i="1" a="1"/>
  <c r="I604" i="1" a="1"/>
  <c r="I605" i="1" a="1"/>
  <c r="I606" i="1" a="1"/>
  <c r="I607" i="1" a="1"/>
  <c r="I608" i="1" a="1"/>
  <c r="I609" i="1" a="1"/>
  <c r="I610" i="1" a="1"/>
  <c r="I611" i="1" a="1"/>
  <c r="I612" i="1" a="1"/>
  <c r="I613" i="1" a="1"/>
  <c r="I614" i="1" a="1"/>
  <c r="I615" i="1" a="1"/>
  <c r="I616" i="1" a="1"/>
  <c r="I617" i="1" a="1"/>
  <c r="I618" i="1" a="1"/>
  <c r="I619" i="1" a="1"/>
  <c r="I620" i="1" a="1"/>
  <c r="I621" i="1" a="1"/>
  <c r="I622" i="1" a="1"/>
  <c r="I623" i="1" a="1"/>
  <c r="I624" i="1" a="1"/>
  <c r="I625" i="1" a="1"/>
  <c r="I626" i="1" a="1"/>
  <c r="I627" i="1" a="1"/>
  <c r="I628" i="1" a="1"/>
  <c r="I629" i="1" a="1"/>
  <c r="I630" i="1" a="1"/>
  <c r="I631" i="1" a="1"/>
  <c r="I632" i="1" a="1"/>
  <c r="I633" i="1" a="1"/>
  <c r="I634" i="1" a="1"/>
  <c r="I635" i="1" a="1"/>
  <c r="I636" i="1" a="1"/>
  <c r="I637" i="1" a="1"/>
  <c r="I638" i="1" a="1"/>
  <c r="I639" i="1" a="1"/>
  <c r="I640" i="1" a="1"/>
  <c r="I641" i="1" a="1"/>
  <c r="I642" i="1" a="1"/>
  <c r="I643" i="1" a="1"/>
  <c r="I644" i="1" a="1"/>
  <c r="I645" i="1" a="1"/>
  <c r="I646" i="1" a="1"/>
  <c r="I647" i="1" a="1"/>
  <c r="I648" i="1" a="1"/>
  <c r="I649" i="1" a="1"/>
  <c r="I650" i="1" a="1"/>
  <c r="I651" i="1" a="1"/>
  <c r="I652" i="1" a="1"/>
  <c r="I653" i="1" a="1"/>
  <c r="I654" i="1" a="1"/>
  <c r="I655" i="1" a="1"/>
  <c r="I656" i="1" a="1"/>
  <c r="I657" i="1" a="1"/>
  <c r="I658" i="1" a="1"/>
  <c r="I659" i="1" a="1"/>
  <c r="I660" i="1" a="1"/>
  <c r="I661" i="1" a="1"/>
  <c r="I662" i="1" a="1"/>
  <c r="I663" i="1" a="1"/>
  <c r="I664" i="1" a="1"/>
  <c r="I665" i="1" a="1"/>
  <c r="I666" i="1" a="1"/>
  <c r="I667" i="1" a="1"/>
  <c r="I668" i="1" a="1"/>
  <c r="I669" i="1" a="1"/>
  <c r="I670" i="1" a="1"/>
  <c r="I671" i="1" a="1"/>
  <c r="I672" i="1" a="1"/>
  <c r="I673" i="1" a="1"/>
  <c r="I674" i="1" a="1"/>
  <c r="I675" i="1" a="1"/>
  <c r="I676" i="1" a="1"/>
  <c r="I677" i="1" a="1"/>
  <c r="I678" i="1" a="1"/>
  <c r="I679" i="1" a="1"/>
  <c r="I680" i="1" a="1"/>
  <c r="I681" i="1" a="1"/>
  <c r="I682" i="1" a="1"/>
  <c r="I683" i="1" a="1"/>
  <c r="I684" i="1" a="1"/>
  <c r="I685" i="1" a="1"/>
  <c r="I686" i="1" a="1"/>
  <c r="I687" i="1" a="1"/>
  <c r="I688" i="1" a="1"/>
  <c r="I689" i="1" a="1"/>
  <c r="I690" i="1" a="1"/>
  <c r="I691" i="1" a="1"/>
  <c r="I692" i="1" a="1"/>
  <c r="I693" i="1" a="1"/>
  <c r="I694" i="1" a="1"/>
  <c r="I695" i="1" a="1"/>
  <c r="I696" i="1" a="1"/>
  <c r="I697" i="1" a="1"/>
  <c r="I698" i="1" a="1"/>
  <c r="I699" i="1" a="1"/>
  <c r="I700" i="1" a="1"/>
  <c r="I701" i="1" a="1"/>
  <c r="I702" i="1" a="1"/>
  <c r="I703" i="1" a="1"/>
  <c r="I704" i="1" a="1"/>
  <c r="I705" i="1" a="1"/>
  <c r="I706" i="1" a="1"/>
  <c r="I707" i="1" a="1"/>
  <c r="I708" i="1" a="1"/>
  <c r="I709" i="1" a="1"/>
  <c r="I710" i="1" a="1"/>
  <c r="I711" i="1" a="1"/>
  <c r="I712" i="1" a="1"/>
  <c r="I713" i="1" a="1"/>
  <c r="I714" i="1" a="1"/>
  <c r="I715" i="1" a="1"/>
  <c r="I716" i="1" a="1"/>
  <c r="I717" i="1" a="1"/>
  <c r="I718" i="1" a="1"/>
  <c r="I719" i="1" a="1"/>
  <c r="I720" i="1" a="1"/>
  <c r="I721" i="1" a="1"/>
  <c r="I722" i="1" a="1"/>
  <c r="I723" i="1" a="1"/>
  <c r="I724" i="1" a="1"/>
  <c r="I725" i="1" a="1"/>
  <c r="I726" i="1" a="1"/>
  <c r="I727" i="1" a="1"/>
  <c r="I728" i="1" a="1"/>
  <c r="I729" i="1" a="1"/>
  <c r="I730" i="1" a="1"/>
  <c r="I731" i="1" a="1"/>
  <c r="I732" i="1" a="1"/>
  <c r="I733" i="1" a="1"/>
  <c r="I734" i="1" a="1"/>
  <c r="I735" i="1" a="1"/>
  <c r="I736" i="1" a="1"/>
  <c r="I737" i="1" a="1"/>
  <c r="I738" i="1" a="1"/>
  <c r="I739" i="1" a="1"/>
  <c r="I740" i="1" a="1"/>
  <c r="I741" i="1" a="1"/>
  <c r="I742" i="1" a="1"/>
  <c r="I743" i="1" a="1"/>
  <c r="I744" i="1" a="1"/>
  <c r="I745" i="1" a="1"/>
  <c r="I746" i="1" a="1"/>
  <c r="I747" i="1" a="1"/>
  <c r="I748" i="1" a="1"/>
  <c r="I749" i="1" a="1"/>
  <c r="I750" i="1" a="1"/>
  <c r="I751" i="1" a="1"/>
  <c r="I752" i="1" a="1"/>
  <c r="I753" i="1" a="1"/>
  <c r="I754" i="1" a="1"/>
  <c r="I755" i="1" a="1"/>
  <c r="I756" i="1" a="1"/>
  <c r="I757" i="1" a="1"/>
  <c r="I758" i="1" a="1"/>
  <c r="I759" i="1" a="1"/>
  <c r="I760" i="1" a="1"/>
  <c r="I761" i="1" a="1"/>
  <c r="I762" i="1" a="1"/>
  <c r="I763" i="1" a="1"/>
  <c r="I764" i="1" a="1"/>
  <c r="I765" i="1" a="1"/>
  <c r="I766" i="1" a="1"/>
  <c r="I767" i="1" a="1"/>
  <c r="I768" i="1" a="1"/>
  <c r="I769" i="1" a="1"/>
  <c r="I770" i="1" a="1"/>
  <c r="I771" i="1" a="1"/>
  <c r="I772" i="1" a="1"/>
  <c r="I773" i="1" a="1"/>
  <c r="I774" i="1" a="1"/>
  <c r="I775" i="1" a="1"/>
  <c r="I776" i="1" a="1"/>
  <c r="I777" i="1" a="1"/>
  <c r="I778" i="1" a="1"/>
  <c r="I779" i="1" a="1"/>
  <c r="I780" i="1" a="1"/>
  <c r="I781" i="1" a="1"/>
  <c r="I782" i="1" a="1"/>
  <c r="I783" i="1" a="1"/>
  <c r="I784" i="1" a="1"/>
  <c r="I785" i="1" a="1"/>
  <c r="I786" i="1" a="1"/>
  <c r="I787" i="1" a="1"/>
  <c r="I788" i="1" a="1"/>
  <c r="I789" i="1" a="1"/>
  <c r="I790" i="1" a="1"/>
  <c r="I791" i="1" a="1"/>
  <c r="I792" i="1" a="1"/>
  <c r="I793" i="1" a="1"/>
  <c r="I794" i="1" a="1"/>
  <c r="I795" i="1" a="1"/>
  <c r="I796" i="1" a="1"/>
  <c r="I797" i="1" a="1"/>
  <c r="I798" i="1" a="1"/>
  <c r="I799" i="1" a="1"/>
  <c r="I800" i="1" a="1"/>
  <c r="I801" i="1" a="1"/>
  <c r="I802" i="1" a="1"/>
  <c r="I803" i="1" a="1"/>
  <c r="I804" i="1" a="1"/>
  <c r="I805" i="1" a="1"/>
  <c r="I806" i="1" a="1"/>
  <c r="I807" i="1" a="1"/>
  <c r="I808" i="1" a="1"/>
  <c r="I809" i="1" a="1"/>
  <c r="I810" i="1" a="1"/>
  <c r="I811" i="1" a="1"/>
  <c r="I812" i="1" a="1"/>
  <c r="I813" i="1" a="1"/>
  <c r="I814" i="1" a="1"/>
  <c r="I815" i="1" a="1"/>
  <c r="I816" i="1" a="1"/>
  <c r="I817" i="1" a="1"/>
  <c r="I818" i="1" a="1"/>
  <c r="I819" i="1" a="1"/>
  <c r="I820" i="1" a="1"/>
  <c r="I821" i="1" a="1"/>
  <c r="I822" i="1" a="1"/>
  <c r="I823" i="1" a="1"/>
  <c r="I824" i="1" a="1"/>
  <c r="I825" i="1" a="1"/>
  <c r="I826" i="1" a="1"/>
  <c r="I827" i="1" a="1"/>
  <c r="I828" i="1" a="1"/>
  <c r="I829" i="1" a="1"/>
  <c r="I830" i="1" a="1"/>
  <c r="I831" i="1" a="1"/>
  <c r="I832" i="1" a="1"/>
  <c r="I833" i="1" a="1"/>
  <c r="I834" i="1" a="1"/>
  <c r="I835" i="1" a="1"/>
  <c r="I836" i="1" a="1"/>
  <c r="I837" i="1" a="1"/>
  <c r="I838" i="1" a="1"/>
  <c r="I839" i="1" a="1"/>
  <c r="I840" i="1" a="1"/>
  <c r="I841" i="1" a="1"/>
  <c r="I842" i="1" a="1"/>
  <c r="I843" i="1" a="1"/>
  <c r="I844" i="1" a="1"/>
  <c r="I845" i="1" a="1"/>
  <c r="I846" i="1" a="1"/>
  <c r="I847" i="1" a="1"/>
  <c r="I848" i="1" a="1"/>
  <c r="I849" i="1" a="1"/>
  <c r="I850" i="1" a="1"/>
  <c r="I851" i="1" a="1"/>
  <c r="I852" i="1" a="1"/>
  <c r="I853" i="1" a="1"/>
  <c r="I854" i="1" a="1"/>
  <c r="I855" i="1" a="1"/>
  <c r="I856" i="1" a="1"/>
  <c r="I857" i="1" a="1"/>
  <c r="I858" i="1" a="1"/>
  <c r="I859" i="1" a="1"/>
  <c r="I860" i="1" a="1"/>
  <c r="I861" i="1" a="1"/>
  <c r="I862" i="1" a="1"/>
  <c r="I863" i="1" a="1"/>
  <c r="I864" i="1" a="1"/>
  <c r="I865" i="1" a="1"/>
  <c r="I866" i="1" a="1"/>
  <c r="I867" i="1" a="1"/>
  <c r="I868" i="1" a="1"/>
  <c r="I869" i="1" a="1"/>
  <c r="I870" i="1" a="1"/>
  <c r="I871" i="1" a="1"/>
  <c r="I872" i="1" a="1"/>
  <c r="I873" i="1" a="1"/>
  <c r="I874" i="1" a="1"/>
  <c r="I875" i="1" a="1"/>
  <c r="I876" i="1" a="1"/>
  <c r="I877" i="1" a="1"/>
  <c r="I878" i="1" a="1"/>
  <c r="I879" i="1" a="1"/>
  <c r="I880" i="1" a="1"/>
  <c r="I881" i="1" a="1"/>
  <c r="I882" i="1" a="1"/>
  <c r="I883" i="1" a="1"/>
  <c r="I884" i="1" a="1"/>
  <c r="I885" i="1" a="1"/>
  <c r="I886" i="1" a="1"/>
  <c r="I887" i="1" a="1"/>
  <c r="I888" i="1" a="1"/>
  <c r="I889" i="1" a="1"/>
  <c r="I890" i="1" a="1"/>
  <c r="I891" i="1" a="1"/>
  <c r="I892" i="1" a="1"/>
  <c r="I893" i="1" a="1"/>
  <c r="I894" i="1" a="1"/>
  <c r="I895" i="1" a="1"/>
  <c r="I896" i="1" a="1"/>
  <c r="I897" i="1" a="1"/>
  <c r="I898" i="1" a="1"/>
  <c r="I899" i="1" a="1"/>
  <c r="I900" i="1" a="1"/>
  <c r="I901" i="1" a="1"/>
  <c r="I902" i="1" a="1"/>
  <c r="I903" i="1" a="1"/>
  <c r="I904" i="1" a="1"/>
  <c r="I905" i="1" a="1"/>
  <c r="I906" i="1" a="1"/>
  <c r="I907" i="1" a="1"/>
  <c r="I908" i="1" a="1"/>
  <c r="I909" i="1" a="1"/>
  <c r="I910" i="1" a="1"/>
  <c r="I911" i="1" a="1"/>
  <c r="I912" i="1" a="1"/>
  <c r="I913" i="1" a="1"/>
  <c r="I914" i="1" a="1"/>
  <c r="I915" i="1" a="1"/>
  <c r="I916" i="1" a="1"/>
  <c r="I917" i="1" a="1"/>
  <c r="I918" i="1" a="1"/>
  <c r="I919" i="1" a="1"/>
  <c r="I920" i="1" a="1"/>
  <c r="I921" i="1" a="1"/>
  <c r="I922" i="1" a="1"/>
  <c r="I923" i="1" a="1"/>
  <c r="I924" i="1" a="1"/>
  <c r="I925" i="1" a="1"/>
  <c r="I926" i="1" a="1"/>
  <c r="I927" i="1" a="1"/>
  <c r="I928" i="1" a="1"/>
  <c r="I929" i="1" a="1"/>
  <c r="I930" i="1" a="1"/>
  <c r="I931" i="1" a="1"/>
  <c r="I932" i="1" a="1"/>
  <c r="I933" i="1" a="1"/>
  <c r="I934" i="1" a="1"/>
  <c r="I935" i="1" a="1"/>
  <c r="I936" i="1" a="1"/>
  <c r="I937" i="1" a="1"/>
  <c r="I938" i="1" a="1"/>
  <c r="I939" i="1" a="1"/>
  <c r="I940" i="1" a="1"/>
  <c r="I941" i="1" a="1"/>
  <c r="I942" i="1" a="1"/>
  <c r="I943" i="1" a="1"/>
  <c r="I944" i="1" a="1"/>
  <c r="I945" i="1" a="1"/>
  <c r="I946" i="1" a="1"/>
  <c r="I947" i="1" a="1"/>
  <c r="I948" i="1" a="1"/>
  <c r="I949" i="1" a="1"/>
  <c r="I950" i="1" a="1"/>
  <c r="I951" i="1" a="1"/>
  <c r="I952" i="1" a="1"/>
  <c r="I953" i="1" a="1"/>
  <c r="I954" i="1" a="1"/>
  <c r="I955" i="1" a="1"/>
  <c r="I956" i="1" a="1"/>
  <c r="I957" i="1" a="1"/>
  <c r="I958" i="1" a="1"/>
  <c r="I959" i="1" a="1"/>
  <c r="I960" i="1" a="1"/>
  <c r="I961" i="1" a="1"/>
  <c r="I962" i="1" a="1"/>
  <c r="I963" i="1" a="1"/>
  <c r="I964" i="1" a="1"/>
  <c r="I965" i="1" a="1"/>
  <c r="I966" i="1" a="1"/>
  <c r="I967" i="1" a="1"/>
  <c r="I968" i="1" a="1"/>
  <c r="I969" i="1" a="1"/>
  <c r="I970" i="1" a="1"/>
  <c r="I971" i="1" a="1"/>
  <c r="I972" i="1" a="1"/>
  <c r="I973" i="1" a="1"/>
  <c r="I974" i="1" a="1"/>
  <c r="I975" i="1" a="1"/>
  <c r="I976" i="1" a="1"/>
  <c r="I977" i="1" a="1"/>
  <c r="I978" i="1" a="1"/>
  <c r="I979" i="1" a="1"/>
  <c r="I980" i="1" a="1"/>
  <c r="I981" i="1" a="1"/>
  <c r="I982" i="1" a="1"/>
  <c r="I983" i="1" a="1"/>
  <c r="I984" i="1" a="1"/>
  <c r="I985" i="1" a="1"/>
  <c r="I986" i="1" a="1"/>
  <c r="I987" i="1" a="1"/>
  <c r="I988" i="1" a="1"/>
  <c r="I989" i="1" a="1"/>
  <c r="I990" i="1" a="1"/>
  <c r="I991" i="1" a="1"/>
  <c r="I992" i="1" a="1"/>
  <c r="I993" i="1" a="1"/>
  <c r="I994" i="1" a="1"/>
  <c r="I995" i="1" a="1"/>
  <c r="I996" i="1" a="1"/>
  <c r="I997" i="1" a="1"/>
  <c r="I998" i="1" a="1"/>
  <c r="I999" i="1" a="1"/>
  <c r="I1000" i="1" a="1"/>
  <c r="I1001" i="1" a="1"/>
  <c r="I1002" i="1" a="1"/>
  <c r="I1003" i="1" a="1"/>
  <c r="I1004" i="1" a="1"/>
  <c r="I1005" i="1" a="1"/>
  <c r="I1006" i="1" a="1"/>
  <c r="I1007" i="1" a="1"/>
  <c r="I1008" i="1" a="1"/>
  <c r="I1009" i="1" a="1"/>
  <c r="I1010" i="1" a="1"/>
  <c r="I1011" i="1" a="1"/>
  <c r="I1012" i="1" a="1"/>
  <c r="I1013" i="1" a="1"/>
  <c r="I1014" i="1" a="1"/>
  <c r="I1015" i="1" a="1"/>
  <c r="I1016" i="1" a="1"/>
  <c r="I1017" i="1" a="1"/>
  <c r="I1018" i="1" a="1"/>
  <c r="I1019" i="1" a="1"/>
  <c r="I1020" i="1" a="1"/>
  <c r="I1021" i="1" a="1"/>
  <c r="I1022" i="1" a="1"/>
  <c r="I1023" i="1" a="1"/>
  <c r="I1024" i="1" a="1"/>
  <c r="I1025" i="1" a="1"/>
  <c r="I1026" i="1" a="1"/>
  <c r="I1027" i="1" a="1"/>
  <c r="I1028" i="1" a="1"/>
  <c r="I1029" i="1" a="1"/>
  <c r="I1030" i="1" a="1"/>
  <c r="I1031" i="1" a="1"/>
  <c r="I1032" i="1" a="1"/>
  <c r="I1033" i="1" a="1"/>
  <c r="I1034" i="1" a="1"/>
  <c r="I1035" i="1" a="1"/>
  <c r="I1036" i="1" a="1"/>
  <c r="I1037" i="1" a="1"/>
  <c r="I1038" i="1" a="1"/>
  <c r="I1039" i="1" a="1"/>
  <c r="I1040" i="1" a="1"/>
  <c r="I1041" i="1" a="1"/>
  <c r="I1042" i="1" a="1"/>
  <c r="I1043" i="1" a="1"/>
  <c r="I1044" i="1" a="1"/>
  <c r="I1045" i="1" a="1"/>
  <c r="I1046" i="1" a="1"/>
  <c r="I1047" i="1" a="1"/>
  <c r="I1048" i="1" a="1"/>
  <c r="I1049" i="1" a="1"/>
  <c r="I1050" i="1" a="1"/>
  <c r="I1051" i="1" a="1"/>
  <c r="I1052" i="1" a="1"/>
  <c r="I1053" i="1" a="1"/>
  <c r="I1054" i="1" a="1"/>
  <c r="I1055" i="1" a="1"/>
  <c r="I1056" i="1" a="1"/>
  <c r="I1057" i="1" a="1"/>
  <c r="I1058" i="1" a="1"/>
  <c r="I1059" i="1" a="1"/>
  <c r="I1060" i="1" a="1"/>
  <c r="I1061" i="1" a="1"/>
  <c r="I1062" i="1" a="1"/>
  <c r="I1063" i="1" a="1"/>
  <c r="I1064" i="1" a="1"/>
  <c r="I1065" i="1" a="1"/>
  <c r="I1066" i="1" a="1"/>
  <c r="I1067" i="1" a="1"/>
  <c r="I1068" i="1" a="1"/>
  <c r="I1069" i="1" a="1"/>
  <c r="I1070" i="1" a="1"/>
  <c r="I1071" i="1" a="1"/>
  <c r="I1072" i="1" a="1"/>
  <c r="I1073" i="1" a="1"/>
  <c r="I1074" i="1" a="1"/>
  <c r="I1075" i="1" a="1"/>
  <c r="I1076" i="1" a="1"/>
  <c r="I1077" i="1" a="1"/>
  <c r="I1078" i="1" a="1"/>
  <c r="I1079" i="1" a="1"/>
  <c r="I1080" i="1" a="1"/>
  <c r="I1081" i="1" a="1"/>
  <c r="I1082" i="1" a="1"/>
  <c r="I1083" i="1" a="1"/>
  <c r="I1084" i="1" a="1"/>
  <c r="I1085" i="1" a="1"/>
  <c r="I1086" i="1" a="1"/>
  <c r="I1087" i="1" a="1"/>
  <c r="I1088" i="1" a="1"/>
  <c r="I1089" i="1" a="1"/>
  <c r="I1090" i="1" a="1"/>
  <c r="I1091" i="1" a="1"/>
  <c r="I1092" i="1" a="1"/>
  <c r="I1093" i="1" a="1"/>
  <c r="I1094" i="1" a="1"/>
  <c r="I1095" i="1" a="1"/>
  <c r="I1096" i="1" a="1"/>
  <c r="I1097" i="1" a="1"/>
  <c r="I1098" i="1" a="1"/>
  <c r="I1099" i="1" a="1"/>
  <c r="I1100" i="1" a="1"/>
  <c r="I1101" i="1" a="1"/>
  <c r="I1102" i="1" a="1"/>
  <c r="I1103" i="1" a="1"/>
  <c r="I1104" i="1" a="1"/>
  <c r="I1105" i="1" a="1"/>
  <c r="I1106" i="1" a="1"/>
  <c r="I1107" i="1" a="1"/>
  <c r="I1108" i="1" a="1"/>
  <c r="I1109" i="1" a="1"/>
  <c r="I1110" i="1" a="1"/>
  <c r="I1111" i="1" a="1"/>
  <c r="I1112" i="1" a="1"/>
  <c r="I1113" i="1" a="1"/>
  <c r="I1114" i="1" a="1"/>
  <c r="I1115" i="1" a="1"/>
  <c r="I1116" i="1" a="1"/>
  <c r="I1117" i="1" a="1"/>
  <c r="I1118" i="1" a="1"/>
  <c r="I1119" i="1" a="1"/>
  <c r="I1120" i="1" a="1"/>
  <c r="I1121" i="1" a="1"/>
  <c r="I1122" i="1" a="1"/>
  <c r="I1123" i="1" a="1"/>
  <c r="I1124" i="1" a="1"/>
  <c r="I1125" i="1" a="1"/>
  <c r="I1126" i="1" a="1"/>
  <c r="I1127" i="1" a="1"/>
  <c r="I1128" i="1" a="1"/>
  <c r="I1129" i="1" a="1"/>
  <c r="I1130" i="1" a="1"/>
  <c r="I1131" i="1" a="1"/>
  <c r="I1132" i="1" a="1"/>
  <c r="I1133" i="1" a="1"/>
  <c r="I1134" i="1" a="1"/>
  <c r="I1135" i="1" a="1"/>
  <c r="I1136" i="1" a="1"/>
  <c r="I1137" i="1" a="1"/>
  <c r="I1138" i="1" a="1"/>
  <c r="I1139" i="1" a="1"/>
  <c r="I1140" i="1" a="1"/>
  <c r="I1141" i="1" a="1"/>
  <c r="I1142" i="1" a="1"/>
  <c r="I1143" i="1" a="1"/>
  <c r="I1144" i="1" a="1"/>
  <c r="I1145" i="1" a="1"/>
  <c r="I1146" i="1" a="1"/>
  <c r="I1147" i="1" a="1"/>
  <c r="I1148" i="1" a="1"/>
  <c r="I1149" i="1" a="1"/>
  <c r="I1150" i="1" a="1"/>
  <c r="I1151" i="1" a="1"/>
  <c r="I1152" i="1" a="1"/>
  <c r="I1153" i="1" a="1"/>
  <c r="I1154" i="1" a="1"/>
  <c r="I1155" i="1" a="1"/>
  <c r="I1156" i="1" a="1"/>
  <c r="I1157" i="1" a="1"/>
  <c r="I1158" i="1" a="1"/>
  <c r="I1159" i="1" a="1"/>
  <c r="I1160" i="1" a="1"/>
  <c r="I1161" i="1" a="1"/>
  <c r="I1162" i="1" a="1"/>
  <c r="I1163" i="1" a="1"/>
  <c r="I1164" i="1" a="1"/>
  <c r="I1165" i="1" a="1"/>
  <c r="I1166" i="1" a="1"/>
  <c r="I1167" i="1" a="1"/>
  <c r="I1168" i="1" a="1"/>
  <c r="I1169" i="1" a="1"/>
  <c r="I1170" i="1" a="1"/>
  <c r="I1171" i="1" a="1"/>
  <c r="I1172" i="1" a="1"/>
  <c r="I1173" i="1" a="1"/>
  <c r="I1174" i="1" a="1"/>
  <c r="I1175" i="1" a="1"/>
  <c r="I1176" i="1" a="1"/>
  <c r="I1177" i="1" a="1"/>
  <c r="I1178" i="1" a="1"/>
  <c r="I1179" i="1" a="1"/>
  <c r="I1180" i="1" a="1"/>
  <c r="I1181" i="1" a="1"/>
  <c r="I1182" i="1" a="1"/>
  <c r="I1183" i="1" a="1"/>
  <c r="I1184" i="1" a="1"/>
  <c r="I1185" i="1" a="1"/>
  <c r="I1186" i="1" a="1"/>
  <c r="I1187" i="1" a="1"/>
  <c r="I1188" i="1" a="1"/>
  <c r="I1189" i="1" a="1"/>
  <c r="I1190" i="1" a="1"/>
  <c r="I1191" i="1" a="1"/>
  <c r="I1192" i="1" a="1"/>
  <c r="I1193" i="1" a="1"/>
  <c r="I1194" i="1" a="1"/>
  <c r="I1195" i="1" a="1"/>
  <c r="I1196" i="1" a="1"/>
  <c r="I1197" i="1" a="1"/>
  <c r="I1198" i="1" a="1"/>
  <c r="I1199" i="1" a="1"/>
  <c r="I1200" i="1" a="1"/>
  <c r="I1201" i="1" a="1"/>
  <c r="I1202" i="1" a="1"/>
  <c r="I1203" i="1" a="1"/>
  <c r="I1204" i="1" a="1"/>
  <c r="I1205" i="1" a="1"/>
  <c r="I1206" i="1" a="1"/>
  <c r="I1207" i="1" a="1"/>
  <c r="I1208" i="1" a="1"/>
  <c r="I1209" i="1" a="1"/>
  <c r="I1210" i="1" a="1"/>
  <c r="I1211" i="1" a="1"/>
  <c r="I1212" i="1" a="1"/>
  <c r="I1213" i="1" a="1"/>
  <c r="I1214" i="1" a="1"/>
  <c r="I1215" i="1" a="1"/>
  <c r="I1216" i="1" a="1"/>
  <c r="I1217" i="1" a="1"/>
  <c r="I1218" i="1" a="1"/>
  <c r="I1219" i="1" a="1"/>
  <c r="I1220" i="1" a="1"/>
  <c r="I1221" i="1" a="1"/>
  <c r="I1222" i="1" a="1"/>
  <c r="I1223" i="1" a="1"/>
  <c r="I1224" i="1" a="1"/>
  <c r="I1225" i="1" a="1"/>
  <c r="I1226" i="1" a="1"/>
  <c r="I1227" i="1" a="1"/>
  <c r="I1228" i="1" a="1"/>
  <c r="I1229" i="1" a="1"/>
  <c r="I1230" i="1" a="1"/>
  <c r="I1231" i="1" a="1"/>
  <c r="I1232" i="1" a="1"/>
  <c r="I1233" i="1" a="1"/>
  <c r="I1234" i="1" a="1"/>
  <c r="I1235" i="1" a="1"/>
  <c r="I1236" i="1" a="1"/>
  <c r="I1237" i="1" a="1"/>
  <c r="I1238" i="1" a="1"/>
  <c r="I1239" i="1" a="1"/>
  <c r="I1240" i="1" a="1"/>
  <c r="I1241" i="1" a="1"/>
  <c r="I1242" i="1" a="1"/>
  <c r="I1243" i="1" a="1"/>
  <c r="I1244" i="1" a="1"/>
  <c r="I1245" i="1" a="1"/>
  <c r="I1246" i="1" a="1"/>
  <c r="I1247" i="1" a="1"/>
  <c r="I1248" i="1" a="1"/>
  <c r="I1249" i="1" a="1"/>
  <c r="I1250" i="1" a="1"/>
  <c r="I1251" i="1" a="1"/>
  <c r="I1252" i="1" a="1"/>
  <c r="I1253" i="1" a="1"/>
  <c r="I1254" i="1" a="1"/>
  <c r="I1255" i="1" a="1"/>
  <c r="I1256" i="1" a="1"/>
  <c r="I1257" i="1" a="1"/>
  <c r="I1258" i="1" a="1"/>
  <c r="I1259" i="1" a="1"/>
  <c r="I1260" i="1" a="1"/>
  <c r="I1261" i="1" a="1"/>
  <c r="I1262" i="1" a="1"/>
  <c r="I1263" i="1" a="1"/>
  <c r="I1264" i="1" a="1"/>
  <c r="I1265" i="1" a="1"/>
  <c r="I1266" i="1" a="1"/>
  <c r="I1267" i="1" a="1"/>
  <c r="I1268" i="1" a="1"/>
  <c r="I1269" i="1" a="1"/>
  <c r="I1270" i="1" a="1"/>
  <c r="I1271" i="1" a="1"/>
  <c r="I1272" i="1" a="1"/>
  <c r="I1273" i="1" a="1"/>
  <c r="I1274" i="1" a="1"/>
  <c r="I1275" i="1" a="1"/>
  <c r="I1276" i="1" a="1"/>
  <c r="I1277" i="1" a="1"/>
  <c r="I1278" i="1" a="1"/>
  <c r="I1279" i="1" a="1"/>
  <c r="I1280" i="1" a="1"/>
  <c r="I1281" i="1" a="1"/>
  <c r="I1282" i="1" a="1"/>
  <c r="I1283" i="1" a="1"/>
  <c r="I1284" i="1" a="1"/>
  <c r="I1285" i="1" a="1"/>
  <c r="I1286" i="1" a="1"/>
  <c r="I1287" i="1" a="1"/>
  <c r="I1288" i="1" a="1"/>
  <c r="I1289" i="1" a="1"/>
  <c r="I1290" i="1" a="1"/>
  <c r="I1291" i="1" a="1"/>
  <c r="I1292" i="1" a="1"/>
  <c r="I1293" i="1" a="1"/>
  <c r="I1294" i="1" a="1"/>
  <c r="I1295" i="1" a="1"/>
  <c r="I1296" i="1" a="1"/>
  <c r="I1297" i="1" a="1"/>
  <c r="I1298" i="1" a="1"/>
  <c r="I1299" i="1" a="1"/>
  <c r="I1300" i="1" a="1"/>
  <c r="I1301" i="1" a="1"/>
  <c r="I1302" i="1" a="1"/>
  <c r="I1303" i="1" a="1"/>
  <c r="I1304" i="1" a="1"/>
  <c r="I1305" i="1" a="1"/>
  <c r="I1306" i="1" a="1"/>
  <c r="I1307" i="1" a="1"/>
  <c r="I1308" i="1" a="1"/>
  <c r="I1309" i="1" a="1"/>
  <c r="I1310" i="1" a="1"/>
  <c r="I1311" i="1" a="1"/>
  <c r="I1312" i="1" a="1"/>
  <c r="I1313" i="1" a="1"/>
  <c r="I1314" i="1" a="1"/>
  <c r="I1315" i="1" a="1"/>
  <c r="I1316" i="1" a="1"/>
  <c r="I1317" i="1" a="1"/>
  <c r="I1318" i="1" a="1"/>
  <c r="I1319" i="1" a="1"/>
  <c r="I1320" i="1" a="1"/>
  <c r="I1321" i="1" a="1"/>
  <c r="I1322" i="1" a="1"/>
  <c r="I1323" i="1" a="1"/>
  <c r="I1324" i="1" a="1"/>
  <c r="I1325" i="1" a="1"/>
  <c r="I1326" i="1" a="1"/>
  <c r="I1327" i="1" a="1"/>
  <c r="I1328" i="1" a="1"/>
  <c r="I1329" i="1" a="1"/>
  <c r="I1330" i="1" a="1"/>
  <c r="I1331" i="1" a="1"/>
  <c r="I1332" i="1" a="1"/>
  <c r="I1333" i="1" a="1"/>
  <c r="I1334" i="1" a="1"/>
  <c r="I1335" i="1" a="1"/>
  <c r="I1336" i="1" a="1"/>
  <c r="I1337" i="1" a="1"/>
  <c r="I1338" i="1" a="1"/>
  <c r="I2" i="1" a="1"/>
  <c r="H3" i="1" a="1"/>
  <c r="H4" i="1" a="1"/>
  <c r="H5" i="1" a="1"/>
  <c r="H6" i="1" a="1"/>
  <c r="H7" i="1" a="1"/>
  <c r="H8" i="1" a="1"/>
  <c r="H9" i="1" a="1"/>
  <c r="H10" i="1" a="1"/>
  <c r="H11" i="1" a="1"/>
  <c r="H12" i="1" a="1"/>
  <c r="H13" i="1" a="1"/>
  <c r="H14" i="1" a="1"/>
  <c r="H15" i="1" a="1"/>
  <c r="H16" i="1" a="1"/>
  <c r="H17" i="1" a="1"/>
  <c r="H18" i="1" a="1"/>
  <c r="H19" i="1" a="1"/>
  <c r="H20" i="1" a="1"/>
  <c r="H21" i="1" a="1"/>
  <c r="H22" i="1" a="1"/>
  <c r="H23" i="1" a="1"/>
  <c r="H24" i="1" a="1"/>
  <c r="H25" i="1" a="1"/>
  <c r="H26" i="1" a="1"/>
  <c r="H27" i="1" a="1"/>
  <c r="H28" i="1" a="1"/>
  <c r="H29" i="1" a="1"/>
  <c r="H30" i="1" a="1"/>
  <c r="H31" i="1" a="1"/>
  <c r="H32" i="1" a="1"/>
  <c r="H33" i="1" a="1"/>
  <c r="H34" i="1" a="1"/>
  <c r="H35" i="1" a="1"/>
  <c r="H36" i="1" a="1"/>
  <c r="H37" i="1" a="1"/>
  <c r="H38" i="1" a="1"/>
  <c r="H39" i="1" a="1"/>
  <c r="H40" i="1" a="1"/>
  <c r="H41" i="1" a="1"/>
  <c r="H42" i="1" a="1"/>
  <c r="H43" i="1" a="1"/>
  <c r="H44" i="1" a="1"/>
  <c r="H45" i="1" a="1"/>
  <c r="H46" i="1" a="1"/>
  <c r="H47" i="1" a="1"/>
  <c r="H48" i="1" a="1"/>
  <c r="H49" i="1" a="1"/>
  <c r="H50" i="1" a="1"/>
  <c r="H51" i="1" a="1"/>
  <c r="H52" i="1" a="1"/>
  <c r="H53" i="1" a="1"/>
  <c r="H54" i="1" a="1"/>
  <c r="H55" i="1" a="1"/>
  <c r="H56" i="1" a="1"/>
  <c r="H57" i="1" a="1"/>
  <c r="H58" i="1" a="1"/>
  <c r="H59" i="1" a="1"/>
  <c r="H60" i="1" a="1"/>
  <c r="H61" i="1" a="1"/>
  <c r="H62" i="1" a="1"/>
  <c r="H63" i="1" a="1"/>
  <c r="H64" i="1" a="1"/>
  <c r="H65" i="1" a="1"/>
  <c r="H66" i="1" a="1"/>
  <c r="H67" i="1" a="1"/>
  <c r="H68" i="1" a="1"/>
  <c r="H69" i="1" a="1"/>
  <c r="H70" i="1" a="1"/>
  <c r="H71" i="1" a="1"/>
  <c r="H72" i="1" a="1"/>
  <c r="H73" i="1" a="1"/>
  <c r="H74" i="1" a="1"/>
  <c r="H75" i="1" a="1"/>
  <c r="H76" i="1" a="1"/>
  <c r="H77" i="1" a="1"/>
  <c r="H78" i="1" a="1"/>
  <c r="H79" i="1" a="1"/>
  <c r="H80" i="1" a="1"/>
  <c r="H81" i="1" a="1"/>
  <c r="H82" i="1" a="1"/>
  <c r="H83" i="1" a="1"/>
  <c r="H84" i="1" a="1"/>
  <c r="H85" i="1" a="1"/>
  <c r="H86" i="1" a="1"/>
  <c r="H87" i="1" a="1"/>
  <c r="H88" i="1" a="1"/>
  <c r="H89" i="1" a="1"/>
  <c r="H90" i="1" a="1"/>
  <c r="H91" i="1" a="1"/>
  <c r="H92" i="1" a="1"/>
  <c r="H93" i="1" a="1"/>
  <c r="H94" i="1" a="1"/>
  <c r="H95" i="1" a="1"/>
  <c r="H96" i="1" a="1"/>
  <c r="H97" i="1" a="1"/>
  <c r="H98" i="1" a="1"/>
  <c r="H99" i="1" a="1"/>
  <c r="H100" i="1" a="1"/>
  <c r="H101" i="1" a="1"/>
  <c r="H102" i="1" a="1"/>
  <c r="H103" i="1" a="1"/>
  <c r="H104" i="1" a="1"/>
  <c r="H105" i="1" a="1"/>
  <c r="H106" i="1" a="1"/>
  <c r="H107" i="1" a="1"/>
  <c r="H108" i="1" a="1"/>
  <c r="H109" i="1" a="1"/>
  <c r="H110" i="1" a="1"/>
  <c r="H111" i="1" a="1"/>
  <c r="H112" i="1" a="1"/>
  <c r="H113" i="1" a="1"/>
  <c r="H114" i="1" a="1"/>
  <c r="H115" i="1" a="1"/>
  <c r="H116" i="1" a="1"/>
  <c r="H117" i="1" a="1"/>
  <c r="H118" i="1" a="1"/>
  <c r="H119" i="1" a="1"/>
  <c r="H120" i="1" a="1"/>
  <c r="H121" i="1" a="1"/>
  <c r="H122" i="1" a="1"/>
  <c r="H123" i="1" a="1"/>
  <c r="H124" i="1" a="1"/>
  <c r="H125" i="1" a="1"/>
  <c r="H126" i="1" a="1"/>
  <c r="H127" i="1" a="1"/>
  <c r="H128" i="1" a="1"/>
  <c r="H129" i="1" a="1"/>
  <c r="H130" i="1" a="1"/>
  <c r="H131" i="1" a="1"/>
  <c r="H132" i="1" a="1"/>
  <c r="H133" i="1" a="1"/>
  <c r="H134" i="1" a="1"/>
  <c r="H135" i="1" a="1"/>
  <c r="H136" i="1" a="1"/>
  <c r="H137" i="1" a="1"/>
  <c r="H138" i="1" a="1"/>
  <c r="H139" i="1" a="1"/>
  <c r="H140" i="1" a="1"/>
  <c r="H141" i="1" a="1"/>
  <c r="H142" i="1" a="1"/>
  <c r="H143" i="1" a="1"/>
  <c r="H144" i="1" a="1"/>
  <c r="H145" i="1" a="1"/>
  <c r="H146" i="1" a="1"/>
  <c r="H147" i="1" a="1"/>
  <c r="H148" i="1" a="1"/>
  <c r="H149" i="1" a="1"/>
  <c r="H150" i="1" a="1"/>
  <c r="H151" i="1" a="1"/>
  <c r="H152" i="1" a="1"/>
  <c r="H153" i="1" a="1"/>
  <c r="H154" i="1" a="1"/>
  <c r="H155" i="1" a="1"/>
  <c r="H156" i="1" a="1"/>
  <c r="H157" i="1" a="1"/>
  <c r="H158" i="1" a="1"/>
  <c r="H159" i="1" a="1"/>
  <c r="H160" i="1" a="1"/>
  <c r="H161" i="1" a="1"/>
  <c r="H162" i="1" a="1"/>
  <c r="H163" i="1" a="1"/>
  <c r="H164" i="1" a="1"/>
  <c r="H165" i="1" a="1"/>
  <c r="H166" i="1" a="1"/>
  <c r="H167" i="1" a="1"/>
  <c r="H168" i="1" a="1"/>
  <c r="H169" i="1" a="1"/>
  <c r="H170" i="1" a="1"/>
  <c r="H171" i="1" a="1"/>
  <c r="H172" i="1" a="1"/>
  <c r="H173" i="1" a="1"/>
  <c r="H174" i="1" a="1"/>
  <c r="H175" i="1" a="1"/>
  <c r="H176" i="1" a="1"/>
  <c r="H177" i="1" a="1"/>
  <c r="H178" i="1" a="1"/>
  <c r="H179" i="1" a="1"/>
  <c r="H180" i="1" a="1"/>
  <c r="H181" i="1" a="1"/>
  <c r="H182" i="1" a="1"/>
  <c r="H183" i="1" a="1"/>
  <c r="H184" i="1" a="1"/>
  <c r="H185" i="1" a="1"/>
  <c r="H186" i="1" a="1"/>
  <c r="H187" i="1" a="1"/>
  <c r="H188" i="1" a="1"/>
  <c r="H189" i="1" a="1"/>
  <c r="H190" i="1" a="1"/>
  <c r="H191" i="1" a="1"/>
  <c r="H192" i="1" a="1"/>
  <c r="H193" i="1" a="1"/>
  <c r="H194" i="1" a="1"/>
  <c r="H195" i="1" a="1"/>
  <c r="H196" i="1" a="1"/>
  <c r="H197" i="1" a="1"/>
  <c r="H198" i="1" a="1"/>
  <c r="H199" i="1" a="1"/>
  <c r="H200" i="1" a="1"/>
  <c r="H201" i="1" a="1"/>
  <c r="H202" i="1" a="1"/>
  <c r="H203" i="1" a="1"/>
  <c r="H204" i="1" a="1"/>
  <c r="H205" i="1" a="1"/>
  <c r="H206" i="1" a="1"/>
  <c r="H207" i="1" a="1"/>
  <c r="H208" i="1" a="1"/>
  <c r="H209" i="1" a="1"/>
  <c r="H210" i="1" a="1"/>
  <c r="H211" i="1" a="1"/>
  <c r="H212" i="1" a="1"/>
  <c r="H213" i="1" a="1"/>
  <c r="H214" i="1" a="1"/>
  <c r="H215" i="1" a="1"/>
  <c r="H216" i="1" a="1"/>
  <c r="H217" i="1" a="1"/>
  <c r="H218" i="1" a="1"/>
  <c r="H219" i="1" a="1"/>
  <c r="H220" i="1" a="1"/>
  <c r="H221" i="1" a="1"/>
  <c r="H222" i="1" a="1"/>
  <c r="H223" i="1" a="1"/>
  <c r="H224" i="1" a="1"/>
  <c r="H225" i="1" a="1"/>
  <c r="H226" i="1" a="1"/>
  <c r="H227" i="1" a="1"/>
  <c r="H228" i="1" a="1"/>
  <c r="H229" i="1" a="1"/>
  <c r="H230" i="1" a="1"/>
  <c r="H231" i="1" a="1"/>
  <c r="H232" i="1" a="1"/>
  <c r="H233" i="1" a="1"/>
  <c r="H234" i="1" a="1"/>
  <c r="H235" i="1" a="1"/>
  <c r="H236" i="1" a="1"/>
  <c r="H237" i="1" a="1"/>
  <c r="H238" i="1" a="1"/>
  <c r="H239" i="1" a="1"/>
  <c r="H240" i="1" a="1"/>
  <c r="H241" i="1" a="1"/>
  <c r="H242" i="1" a="1"/>
  <c r="H243" i="1" a="1"/>
  <c r="H244" i="1" a="1"/>
  <c r="H245" i="1" a="1"/>
  <c r="H246" i="1" a="1"/>
  <c r="H247" i="1" a="1"/>
  <c r="H248" i="1" a="1"/>
  <c r="H249" i="1" a="1"/>
  <c r="H250" i="1" a="1"/>
  <c r="H251" i="1" a="1"/>
  <c r="H252" i="1" a="1"/>
  <c r="H253" i="1" a="1"/>
  <c r="H254" i="1" a="1"/>
  <c r="H255" i="1" a="1"/>
  <c r="H256" i="1" a="1"/>
  <c r="H257" i="1" a="1"/>
  <c r="H258" i="1" a="1"/>
  <c r="H259" i="1" a="1"/>
  <c r="H260" i="1" a="1"/>
  <c r="H261" i="1" a="1"/>
  <c r="H262" i="1" a="1"/>
  <c r="H263" i="1" a="1"/>
  <c r="H264" i="1" a="1"/>
  <c r="H265" i="1" a="1"/>
  <c r="H266" i="1" a="1"/>
  <c r="H267" i="1" a="1"/>
  <c r="H268" i="1" a="1"/>
  <c r="H269" i="1" a="1"/>
  <c r="H270" i="1" a="1"/>
  <c r="H271" i="1" a="1"/>
  <c r="H272" i="1" a="1"/>
  <c r="H273" i="1" a="1"/>
  <c r="H274" i="1" a="1"/>
  <c r="H275" i="1" a="1"/>
  <c r="H276" i="1" a="1"/>
  <c r="H277" i="1" a="1"/>
  <c r="H278" i="1" a="1"/>
  <c r="H279" i="1" a="1"/>
  <c r="H280" i="1" a="1"/>
  <c r="H281" i="1" a="1"/>
  <c r="H282" i="1" a="1"/>
  <c r="H283" i="1" a="1"/>
  <c r="H284" i="1" a="1"/>
  <c r="H285" i="1" a="1"/>
  <c r="H286" i="1" a="1"/>
  <c r="H287" i="1" a="1"/>
  <c r="H288" i="1" a="1"/>
  <c r="H289" i="1" a="1"/>
  <c r="H290" i="1" a="1"/>
  <c r="H291" i="1" a="1"/>
  <c r="H292" i="1" a="1"/>
  <c r="H293" i="1" a="1"/>
  <c r="H294" i="1" a="1"/>
  <c r="H295" i="1" a="1"/>
  <c r="H296" i="1" a="1"/>
  <c r="H297" i="1" a="1"/>
  <c r="H298" i="1" a="1"/>
  <c r="H299" i="1" a="1"/>
  <c r="H300" i="1" a="1"/>
  <c r="H301" i="1" a="1"/>
  <c r="H302" i="1" a="1"/>
  <c r="H303" i="1" a="1"/>
  <c r="H304" i="1" a="1"/>
  <c r="H305" i="1" a="1"/>
  <c r="H306" i="1" a="1"/>
  <c r="H307" i="1" a="1"/>
  <c r="H308" i="1" a="1"/>
  <c r="H309" i="1" a="1"/>
  <c r="H310" i="1" a="1"/>
  <c r="H311" i="1" a="1"/>
  <c r="H312" i="1" a="1"/>
  <c r="H313" i="1" a="1"/>
  <c r="H314" i="1" a="1"/>
  <c r="H315" i="1" a="1"/>
  <c r="H316" i="1" a="1"/>
  <c r="H317" i="1" a="1"/>
  <c r="H318" i="1" a="1"/>
  <c r="H319" i="1" a="1"/>
  <c r="H320" i="1" a="1"/>
  <c r="H321" i="1" a="1"/>
  <c r="H322" i="1" a="1"/>
  <c r="H323" i="1" a="1"/>
  <c r="H324" i="1" a="1"/>
  <c r="H325" i="1" a="1"/>
  <c r="H326" i="1" a="1"/>
  <c r="H327" i="1" a="1"/>
  <c r="H328" i="1" a="1"/>
  <c r="H329" i="1" a="1"/>
  <c r="H330" i="1" a="1"/>
  <c r="H331" i="1" a="1"/>
  <c r="H332" i="1" a="1"/>
  <c r="H333" i="1" a="1"/>
  <c r="H334" i="1" a="1"/>
  <c r="H335" i="1" a="1"/>
  <c r="H336" i="1" a="1"/>
  <c r="H337" i="1" a="1"/>
  <c r="H338" i="1" a="1"/>
  <c r="H339" i="1" a="1"/>
  <c r="H340" i="1" a="1"/>
  <c r="H341" i="1" a="1"/>
  <c r="H342" i="1" a="1"/>
  <c r="H343" i="1" a="1"/>
  <c r="H344" i="1" a="1"/>
  <c r="H345" i="1" a="1"/>
  <c r="H346" i="1" a="1"/>
  <c r="H347" i="1" a="1"/>
  <c r="H348" i="1" a="1"/>
  <c r="H349" i="1" a="1"/>
  <c r="H350" i="1" a="1"/>
  <c r="H351" i="1" a="1"/>
  <c r="H352" i="1" a="1"/>
  <c r="H353" i="1" a="1"/>
  <c r="H354" i="1" a="1"/>
  <c r="H355" i="1" a="1"/>
  <c r="H356" i="1" a="1"/>
  <c r="H357" i="1" a="1"/>
  <c r="H358" i="1" a="1"/>
  <c r="H359" i="1" a="1"/>
  <c r="H360" i="1" a="1"/>
  <c r="H361" i="1" a="1"/>
  <c r="H362" i="1" a="1"/>
  <c r="H363" i="1" a="1"/>
  <c r="H364" i="1" a="1"/>
  <c r="H365" i="1" a="1"/>
  <c r="H366" i="1" a="1"/>
  <c r="H367" i="1" a="1"/>
  <c r="H368" i="1" a="1"/>
  <c r="H369" i="1" a="1"/>
  <c r="H370" i="1" a="1"/>
  <c r="H371" i="1" a="1"/>
  <c r="H372" i="1" a="1"/>
  <c r="H373" i="1" a="1"/>
  <c r="H374" i="1" a="1"/>
  <c r="H375" i="1" a="1"/>
  <c r="H376" i="1" a="1"/>
  <c r="H377" i="1" a="1"/>
  <c r="H378" i="1" a="1"/>
  <c r="H379" i="1" a="1"/>
  <c r="H380" i="1" a="1"/>
  <c r="H381" i="1" a="1"/>
  <c r="H382" i="1" a="1"/>
  <c r="H383" i="1" a="1"/>
  <c r="H384" i="1" a="1"/>
  <c r="H385" i="1" a="1"/>
  <c r="H386" i="1" a="1"/>
  <c r="H387" i="1" a="1"/>
  <c r="H388" i="1" a="1"/>
  <c r="H389" i="1" a="1"/>
  <c r="H390" i="1" a="1"/>
  <c r="H391" i="1" a="1"/>
  <c r="H392" i="1" a="1"/>
  <c r="H393" i="1" a="1"/>
  <c r="H394" i="1" a="1"/>
  <c r="H395" i="1" a="1"/>
  <c r="H396" i="1" a="1"/>
  <c r="H397" i="1" a="1"/>
  <c r="H398" i="1" a="1"/>
  <c r="H399" i="1" a="1"/>
  <c r="H400" i="1" a="1"/>
  <c r="H401" i="1" a="1"/>
  <c r="H402" i="1" a="1"/>
  <c r="H403" i="1" a="1"/>
  <c r="H404" i="1" a="1"/>
  <c r="H405" i="1" a="1"/>
  <c r="H406" i="1" a="1"/>
  <c r="H407" i="1" a="1"/>
  <c r="H408" i="1" a="1"/>
  <c r="H409" i="1" a="1"/>
  <c r="H410" i="1" a="1"/>
  <c r="H411" i="1" a="1"/>
  <c r="H412" i="1" a="1"/>
  <c r="H413" i="1" a="1"/>
  <c r="H414" i="1" a="1"/>
  <c r="H415" i="1" a="1"/>
  <c r="H416" i="1" a="1"/>
  <c r="H417" i="1" a="1"/>
  <c r="H418" i="1" a="1"/>
  <c r="H419" i="1" a="1"/>
  <c r="H420" i="1" a="1"/>
  <c r="H421" i="1" a="1"/>
  <c r="H422" i="1" a="1"/>
  <c r="H423" i="1" a="1"/>
  <c r="H424" i="1" a="1"/>
  <c r="H425" i="1" a="1"/>
  <c r="H426" i="1" a="1"/>
  <c r="H427" i="1" a="1"/>
  <c r="H428" i="1" a="1"/>
  <c r="H429" i="1" a="1"/>
  <c r="H430" i="1" a="1"/>
  <c r="H431" i="1" a="1"/>
  <c r="H432" i="1" a="1"/>
  <c r="H433" i="1" a="1"/>
  <c r="H434" i="1" a="1"/>
  <c r="H435" i="1" a="1"/>
  <c r="H436" i="1" a="1"/>
  <c r="H437" i="1" a="1"/>
  <c r="H438" i="1" a="1"/>
  <c r="H439" i="1" a="1"/>
  <c r="H440" i="1" a="1"/>
  <c r="H441" i="1" a="1"/>
  <c r="H442" i="1" a="1"/>
  <c r="H443" i="1" a="1"/>
  <c r="H444" i="1" a="1"/>
  <c r="H445" i="1" a="1"/>
  <c r="H446" i="1" a="1"/>
  <c r="H447" i="1" a="1"/>
  <c r="H448" i="1" a="1"/>
  <c r="H449" i="1" a="1"/>
  <c r="H450" i="1" a="1"/>
  <c r="H451" i="1" a="1"/>
  <c r="H452" i="1" a="1"/>
  <c r="H453" i="1" a="1"/>
  <c r="H454" i="1" a="1"/>
  <c r="H455" i="1" a="1"/>
  <c r="H456" i="1" a="1"/>
  <c r="H457" i="1" a="1"/>
  <c r="H458" i="1" a="1"/>
  <c r="H459" i="1" a="1"/>
  <c r="H460" i="1" a="1"/>
  <c r="H461" i="1" a="1"/>
  <c r="H462" i="1" a="1"/>
  <c r="H463" i="1" a="1"/>
  <c r="H464" i="1" a="1"/>
  <c r="H465" i="1" a="1"/>
  <c r="H466" i="1" a="1"/>
  <c r="H467" i="1" a="1"/>
  <c r="H468" i="1" a="1"/>
  <c r="H469" i="1" a="1"/>
  <c r="H470" i="1" a="1"/>
  <c r="H471" i="1" a="1"/>
  <c r="H472" i="1" a="1"/>
  <c r="H473" i="1" a="1"/>
  <c r="H474" i="1" a="1"/>
  <c r="H475" i="1" a="1"/>
  <c r="H476" i="1" a="1"/>
  <c r="H477" i="1" a="1"/>
  <c r="H478" i="1" a="1"/>
  <c r="H479" i="1" a="1"/>
  <c r="H480" i="1" a="1"/>
  <c r="H481" i="1" a="1"/>
  <c r="H482" i="1" a="1"/>
  <c r="H483" i="1" a="1"/>
  <c r="H484" i="1" a="1"/>
  <c r="H485" i="1" a="1"/>
  <c r="H486" i="1" a="1"/>
  <c r="H487" i="1" a="1"/>
  <c r="H488" i="1" a="1"/>
  <c r="H489" i="1" a="1"/>
  <c r="H490" i="1" a="1"/>
  <c r="H491" i="1" a="1"/>
  <c r="H492" i="1" a="1"/>
  <c r="H493" i="1" a="1"/>
  <c r="H494" i="1" a="1"/>
  <c r="H495" i="1" a="1"/>
  <c r="H496" i="1" a="1"/>
  <c r="H497" i="1" a="1"/>
  <c r="H498" i="1" a="1"/>
  <c r="H499" i="1" a="1"/>
  <c r="H500" i="1" a="1"/>
  <c r="H501" i="1" a="1"/>
  <c r="H502" i="1" a="1"/>
  <c r="H503" i="1" a="1"/>
  <c r="H504" i="1" a="1"/>
  <c r="H505" i="1" a="1"/>
  <c r="H506" i="1" a="1"/>
  <c r="H507" i="1" a="1"/>
  <c r="H508" i="1" a="1"/>
  <c r="H509" i="1" a="1"/>
  <c r="H510" i="1" a="1"/>
  <c r="H511" i="1" a="1"/>
  <c r="H512" i="1" a="1"/>
  <c r="H513" i="1" a="1"/>
  <c r="H514" i="1" a="1"/>
  <c r="H515" i="1" a="1"/>
  <c r="H516" i="1" a="1"/>
  <c r="H517" i="1" a="1"/>
  <c r="H518" i="1" a="1"/>
  <c r="H519" i="1" a="1"/>
  <c r="H520" i="1" a="1"/>
  <c r="H521" i="1" a="1"/>
  <c r="H522" i="1" a="1"/>
  <c r="H523" i="1" a="1"/>
  <c r="H524" i="1" a="1"/>
  <c r="H525" i="1" a="1"/>
  <c r="H526" i="1" a="1"/>
  <c r="H527" i="1" a="1"/>
  <c r="H528" i="1" a="1"/>
  <c r="H529" i="1" a="1"/>
  <c r="H530" i="1" a="1"/>
  <c r="H531" i="1" a="1"/>
  <c r="H532" i="1" a="1"/>
  <c r="H533" i="1" a="1"/>
  <c r="H534" i="1" a="1"/>
  <c r="H535" i="1" a="1"/>
  <c r="H536" i="1" a="1"/>
  <c r="H537" i="1" a="1"/>
  <c r="H538" i="1" a="1"/>
  <c r="H539" i="1" a="1"/>
  <c r="H540" i="1" a="1"/>
  <c r="H541" i="1" a="1"/>
  <c r="H542" i="1" a="1"/>
  <c r="H543" i="1" a="1"/>
  <c r="H544" i="1" a="1"/>
  <c r="H545" i="1" a="1"/>
  <c r="H546" i="1" a="1"/>
  <c r="H547" i="1" a="1"/>
  <c r="H548" i="1" a="1"/>
  <c r="H549" i="1" a="1"/>
  <c r="H550" i="1" a="1"/>
  <c r="H551" i="1" a="1"/>
  <c r="H552" i="1" a="1"/>
  <c r="H553" i="1" a="1"/>
  <c r="H554" i="1" a="1"/>
  <c r="H555" i="1" a="1"/>
  <c r="H556" i="1" a="1"/>
  <c r="H557" i="1" a="1"/>
  <c r="H558" i="1" a="1"/>
  <c r="H559" i="1" a="1"/>
  <c r="H560" i="1" a="1"/>
  <c r="H561" i="1" a="1"/>
  <c r="H562" i="1" a="1"/>
  <c r="H563" i="1" a="1"/>
  <c r="H564" i="1" a="1"/>
  <c r="H565" i="1" a="1"/>
  <c r="H566" i="1" a="1"/>
  <c r="H567" i="1" a="1"/>
  <c r="H568" i="1" a="1"/>
  <c r="H569" i="1" a="1"/>
  <c r="H570" i="1" a="1"/>
  <c r="H571" i="1" a="1"/>
  <c r="H572" i="1" a="1"/>
  <c r="H573" i="1" a="1"/>
  <c r="H574" i="1" a="1"/>
  <c r="H575" i="1" a="1"/>
  <c r="H576" i="1" a="1"/>
  <c r="H577" i="1" a="1"/>
  <c r="H578" i="1" a="1"/>
  <c r="H579" i="1" a="1"/>
  <c r="H580" i="1" a="1"/>
  <c r="H581" i="1" a="1"/>
  <c r="H582" i="1" a="1"/>
  <c r="H583" i="1" a="1"/>
  <c r="H584" i="1" a="1"/>
  <c r="H585" i="1" a="1"/>
  <c r="H586" i="1" a="1"/>
  <c r="H587" i="1" a="1"/>
  <c r="H588" i="1" a="1"/>
  <c r="H589" i="1" a="1"/>
  <c r="H590" i="1" a="1"/>
  <c r="H591" i="1" a="1"/>
  <c r="H592" i="1" a="1"/>
  <c r="H593" i="1" a="1"/>
  <c r="H594" i="1" a="1"/>
  <c r="H595" i="1" a="1"/>
  <c r="H596" i="1" a="1"/>
  <c r="H597" i="1" a="1"/>
  <c r="H598" i="1" a="1"/>
  <c r="H599" i="1" a="1"/>
  <c r="H600" i="1" a="1"/>
  <c r="H601" i="1" a="1"/>
  <c r="H602" i="1" a="1"/>
  <c r="H603" i="1" a="1"/>
  <c r="H604" i="1" a="1"/>
  <c r="H605" i="1" a="1"/>
  <c r="H606" i="1" a="1"/>
  <c r="H607" i="1" a="1"/>
  <c r="H608" i="1" a="1"/>
  <c r="H609" i="1" a="1"/>
  <c r="H610" i="1" a="1"/>
  <c r="H611" i="1" a="1"/>
  <c r="H612" i="1" a="1"/>
  <c r="H613" i="1" a="1"/>
  <c r="H614" i="1" a="1"/>
  <c r="H615" i="1" a="1"/>
  <c r="H616" i="1" a="1"/>
  <c r="H617" i="1" a="1"/>
  <c r="H618" i="1" a="1"/>
  <c r="H619" i="1" a="1"/>
  <c r="H620" i="1" a="1"/>
  <c r="H621" i="1" a="1"/>
  <c r="H622" i="1" a="1"/>
  <c r="H623" i="1" a="1"/>
  <c r="H624" i="1" a="1"/>
  <c r="H625" i="1" a="1"/>
  <c r="H626" i="1" a="1"/>
  <c r="H627" i="1" a="1"/>
  <c r="H628" i="1" a="1"/>
  <c r="H629" i="1" a="1"/>
  <c r="H630" i="1" a="1"/>
  <c r="H631" i="1" a="1"/>
  <c r="H632" i="1" a="1"/>
  <c r="H633" i="1" a="1"/>
  <c r="H634" i="1" a="1"/>
  <c r="H635" i="1" a="1"/>
  <c r="H636" i="1" a="1"/>
  <c r="H637" i="1" a="1"/>
  <c r="H638" i="1" a="1"/>
  <c r="H639" i="1" a="1"/>
  <c r="H640" i="1" a="1"/>
  <c r="H641" i="1" a="1"/>
  <c r="H642" i="1" a="1"/>
  <c r="H643" i="1" a="1"/>
  <c r="H644" i="1" a="1"/>
  <c r="H645" i="1" a="1"/>
  <c r="H646" i="1" a="1"/>
  <c r="H647" i="1" a="1"/>
  <c r="H648" i="1" a="1"/>
  <c r="H649" i="1" a="1"/>
  <c r="H650" i="1" a="1"/>
  <c r="H651" i="1" a="1"/>
  <c r="H652" i="1" a="1"/>
  <c r="H653" i="1" a="1"/>
  <c r="H654" i="1" a="1"/>
  <c r="H655" i="1" a="1"/>
  <c r="H656" i="1" a="1"/>
  <c r="H657" i="1" a="1"/>
  <c r="H658" i="1" a="1"/>
  <c r="H659" i="1" a="1"/>
  <c r="H660" i="1" a="1"/>
  <c r="H661" i="1" a="1"/>
  <c r="H662" i="1" a="1"/>
  <c r="H663" i="1" a="1"/>
  <c r="H664" i="1" a="1"/>
  <c r="H665" i="1" a="1"/>
  <c r="H666" i="1" a="1"/>
  <c r="H667" i="1" a="1"/>
  <c r="H668" i="1" a="1"/>
  <c r="H669" i="1" a="1"/>
  <c r="H670" i="1" a="1"/>
  <c r="H671" i="1" a="1"/>
  <c r="H672" i="1" a="1"/>
  <c r="H673" i="1" a="1"/>
  <c r="H674" i="1" a="1"/>
  <c r="H675" i="1" a="1"/>
  <c r="H676" i="1" a="1"/>
  <c r="H677" i="1" a="1"/>
  <c r="H678" i="1" a="1"/>
  <c r="H679" i="1" a="1"/>
  <c r="H680" i="1" a="1"/>
  <c r="H681" i="1" a="1"/>
  <c r="H682" i="1" a="1"/>
  <c r="H683" i="1" a="1"/>
  <c r="H684" i="1" a="1"/>
  <c r="H685" i="1" a="1"/>
  <c r="H686" i="1" a="1"/>
  <c r="H687" i="1" a="1"/>
  <c r="H688" i="1" a="1"/>
  <c r="H689" i="1" a="1"/>
  <c r="H690" i="1" a="1"/>
  <c r="H691" i="1" a="1"/>
  <c r="H692" i="1" a="1"/>
  <c r="H693" i="1" a="1"/>
  <c r="H694" i="1" a="1"/>
  <c r="H695" i="1" a="1"/>
  <c r="H696" i="1" a="1"/>
  <c r="H697" i="1" a="1"/>
  <c r="H698" i="1" a="1"/>
  <c r="H699" i="1" a="1"/>
  <c r="H700" i="1" a="1"/>
  <c r="H701" i="1" a="1"/>
  <c r="H702" i="1" a="1"/>
  <c r="H703" i="1" a="1"/>
  <c r="H704" i="1" a="1"/>
  <c r="H705" i="1" a="1"/>
  <c r="H706" i="1" a="1"/>
  <c r="H707" i="1" a="1"/>
  <c r="H708" i="1" a="1"/>
  <c r="H709" i="1" a="1"/>
  <c r="H710" i="1" a="1"/>
  <c r="H711" i="1" a="1"/>
  <c r="H712" i="1" a="1"/>
  <c r="H713" i="1" a="1"/>
  <c r="H714" i="1" a="1"/>
  <c r="H715" i="1" a="1"/>
  <c r="H716" i="1" a="1"/>
  <c r="H717" i="1" a="1"/>
  <c r="H718" i="1" a="1"/>
  <c r="H719" i="1" a="1"/>
  <c r="H720" i="1" a="1"/>
  <c r="H721" i="1" a="1"/>
  <c r="H722" i="1" a="1"/>
  <c r="H723" i="1" a="1"/>
  <c r="H724" i="1" a="1"/>
  <c r="H725" i="1" a="1"/>
  <c r="H726" i="1" a="1"/>
  <c r="H727" i="1" a="1"/>
  <c r="H728" i="1" a="1"/>
  <c r="H729" i="1" a="1"/>
  <c r="H730" i="1" a="1"/>
  <c r="H731" i="1" a="1"/>
  <c r="H732" i="1" a="1"/>
  <c r="H733" i="1" a="1"/>
  <c r="H734" i="1" a="1"/>
  <c r="H735" i="1" a="1"/>
  <c r="H736" i="1" a="1"/>
  <c r="H737" i="1" a="1"/>
  <c r="H738" i="1" a="1"/>
  <c r="H739" i="1" a="1"/>
  <c r="H740" i="1" a="1"/>
  <c r="H741" i="1" a="1"/>
  <c r="H742" i="1" a="1"/>
  <c r="H743" i="1" a="1"/>
  <c r="H744" i="1" a="1"/>
  <c r="H745" i="1" a="1"/>
  <c r="H746" i="1" a="1"/>
  <c r="H747" i="1" a="1"/>
  <c r="H748" i="1" a="1"/>
  <c r="H749" i="1" a="1"/>
  <c r="H750" i="1" a="1"/>
  <c r="H751" i="1" a="1"/>
  <c r="H752" i="1" a="1"/>
  <c r="H753" i="1" a="1"/>
  <c r="H754" i="1" a="1"/>
  <c r="H755" i="1" a="1"/>
  <c r="H756" i="1" a="1"/>
  <c r="H757" i="1" a="1"/>
  <c r="H758" i="1" a="1"/>
  <c r="H759" i="1" a="1"/>
  <c r="H760" i="1" a="1"/>
  <c r="H761" i="1" a="1"/>
  <c r="H762" i="1" a="1"/>
  <c r="H763" i="1" a="1"/>
  <c r="H764" i="1" a="1"/>
  <c r="H765" i="1" a="1"/>
  <c r="H766" i="1" a="1"/>
  <c r="H767" i="1" a="1"/>
  <c r="H768" i="1" a="1"/>
  <c r="H769" i="1" a="1"/>
  <c r="H770" i="1" a="1"/>
  <c r="H771" i="1" a="1"/>
  <c r="H772" i="1" a="1"/>
  <c r="H773" i="1" a="1"/>
  <c r="H774" i="1" a="1"/>
  <c r="H775" i="1" a="1"/>
  <c r="H776" i="1" a="1"/>
  <c r="H777" i="1" a="1"/>
  <c r="H778" i="1" a="1"/>
  <c r="H779" i="1" a="1"/>
  <c r="H780" i="1" a="1"/>
  <c r="H781" i="1" a="1"/>
  <c r="H782" i="1" a="1"/>
  <c r="H783" i="1" a="1"/>
  <c r="H784" i="1" a="1"/>
  <c r="H785" i="1" a="1"/>
  <c r="H786" i="1" a="1"/>
  <c r="H787" i="1" a="1"/>
  <c r="H788" i="1" a="1"/>
  <c r="H789" i="1" a="1"/>
  <c r="H790" i="1" a="1"/>
  <c r="H791" i="1" a="1"/>
  <c r="H792" i="1" a="1"/>
  <c r="H793" i="1" a="1"/>
  <c r="H794" i="1" a="1"/>
  <c r="H795" i="1" a="1"/>
  <c r="H796" i="1" a="1"/>
  <c r="H797" i="1" a="1"/>
  <c r="H798" i="1" a="1"/>
  <c r="H799" i="1" a="1"/>
  <c r="H800" i="1" a="1"/>
  <c r="H801" i="1" a="1"/>
  <c r="H802" i="1" a="1"/>
  <c r="H803" i="1" a="1"/>
  <c r="H804" i="1" a="1"/>
  <c r="H805" i="1" a="1"/>
  <c r="H806" i="1" a="1"/>
  <c r="H807" i="1" a="1"/>
  <c r="H808" i="1" a="1"/>
  <c r="H809" i="1" a="1"/>
  <c r="H810" i="1" a="1"/>
  <c r="H811" i="1" a="1"/>
  <c r="H812" i="1" a="1"/>
  <c r="H813" i="1" a="1"/>
  <c r="H814" i="1" a="1"/>
  <c r="H815" i="1" a="1"/>
  <c r="H816" i="1" a="1"/>
  <c r="H817" i="1" a="1"/>
  <c r="H818" i="1" a="1"/>
  <c r="H819" i="1" a="1"/>
  <c r="H820" i="1" a="1"/>
  <c r="H821" i="1" a="1"/>
  <c r="H822" i="1" a="1"/>
  <c r="H823" i="1" a="1"/>
  <c r="H824" i="1" a="1"/>
  <c r="H825" i="1" a="1"/>
  <c r="H826" i="1" a="1"/>
  <c r="H827" i="1" a="1"/>
  <c r="H828" i="1" a="1"/>
  <c r="H829" i="1" a="1"/>
  <c r="H830" i="1" a="1"/>
  <c r="H831" i="1" a="1"/>
  <c r="H832" i="1" a="1"/>
  <c r="H833" i="1" a="1"/>
  <c r="H834" i="1" a="1"/>
  <c r="H835" i="1" a="1"/>
  <c r="H836" i="1" a="1"/>
  <c r="H837" i="1" a="1"/>
  <c r="H838" i="1" a="1"/>
  <c r="H839" i="1" a="1"/>
  <c r="H840" i="1" a="1"/>
  <c r="H841" i="1" a="1"/>
  <c r="H842" i="1" a="1"/>
  <c r="H843" i="1" a="1"/>
  <c r="H844" i="1" a="1"/>
  <c r="H845" i="1" a="1"/>
  <c r="H846" i="1" a="1"/>
  <c r="H847" i="1" a="1"/>
  <c r="H848" i="1" a="1"/>
  <c r="H849" i="1" a="1"/>
  <c r="H850" i="1" a="1"/>
  <c r="H851" i="1" a="1"/>
  <c r="H852" i="1" a="1"/>
  <c r="H853" i="1" a="1"/>
  <c r="H854" i="1" a="1"/>
  <c r="H855" i="1" a="1"/>
  <c r="H856" i="1" a="1"/>
  <c r="H857" i="1" a="1"/>
  <c r="H858" i="1" a="1"/>
  <c r="H859" i="1" a="1"/>
  <c r="H860" i="1" a="1"/>
  <c r="H861" i="1" a="1"/>
  <c r="H862" i="1" a="1"/>
  <c r="H863" i="1" a="1"/>
  <c r="H864" i="1" a="1"/>
  <c r="H865" i="1" a="1"/>
  <c r="H866" i="1" a="1"/>
  <c r="H867" i="1" a="1"/>
  <c r="H868" i="1" a="1"/>
  <c r="H869" i="1" a="1"/>
  <c r="H870" i="1" a="1"/>
  <c r="H871" i="1" a="1"/>
  <c r="H872" i="1" a="1"/>
  <c r="H873" i="1" a="1"/>
  <c r="H874" i="1" a="1"/>
  <c r="H875" i="1" a="1"/>
  <c r="H876" i="1" a="1"/>
  <c r="H877" i="1" a="1"/>
  <c r="H878" i="1" a="1"/>
  <c r="H879" i="1" a="1"/>
  <c r="H880" i="1" a="1"/>
  <c r="H881" i="1" a="1"/>
  <c r="H882" i="1" a="1"/>
  <c r="H883" i="1" a="1"/>
  <c r="H884" i="1" a="1"/>
  <c r="H885" i="1" a="1"/>
  <c r="H886" i="1" a="1"/>
  <c r="H887" i="1" a="1"/>
  <c r="H888" i="1" a="1"/>
  <c r="H889" i="1" a="1"/>
  <c r="H890" i="1" a="1"/>
  <c r="H891" i="1" a="1"/>
  <c r="H892" i="1" a="1"/>
  <c r="H893" i="1" a="1"/>
  <c r="H894" i="1" a="1"/>
  <c r="H895" i="1" a="1"/>
  <c r="H896" i="1" a="1"/>
  <c r="H897" i="1" a="1"/>
  <c r="H898" i="1" a="1"/>
  <c r="H899" i="1" a="1"/>
  <c r="H900" i="1" a="1"/>
  <c r="H901" i="1" a="1"/>
  <c r="H902" i="1" a="1"/>
  <c r="H903" i="1" a="1"/>
  <c r="H904" i="1" a="1"/>
  <c r="H905" i="1" a="1"/>
  <c r="H906" i="1" a="1"/>
  <c r="H907" i="1" a="1"/>
  <c r="H908" i="1" a="1"/>
  <c r="H909" i="1" a="1"/>
  <c r="H910" i="1" a="1"/>
  <c r="H911" i="1" a="1"/>
  <c r="H912" i="1" a="1"/>
  <c r="H913" i="1" a="1"/>
  <c r="H914" i="1" a="1"/>
  <c r="H915" i="1" a="1"/>
  <c r="H916" i="1" a="1"/>
  <c r="H917" i="1" a="1"/>
  <c r="H918" i="1" a="1"/>
  <c r="H919" i="1" a="1"/>
  <c r="H920" i="1" a="1"/>
  <c r="H921" i="1" a="1"/>
  <c r="H922" i="1" a="1"/>
  <c r="H923" i="1" a="1"/>
  <c r="H924" i="1" a="1"/>
  <c r="H925" i="1" a="1"/>
  <c r="H926" i="1" a="1"/>
  <c r="H927" i="1" a="1"/>
  <c r="H928" i="1" a="1"/>
  <c r="H929" i="1" a="1"/>
  <c r="H930" i="1" a="1"/>
  <c r="H931" i="1" a="1"/>
  <c r="H932" i="1" a="1"/>
  <c r="H933" i="1" a="1"/>
  <c r="H934" i="1" a="1"/>
  <c r="H935" i="1" a="1"/>
  <c r="H936" i="1" a="1"/>
  <c r="H937" i="1" a="1"/>
  <c r="H938" i="1" a="1"/>
  <c r="H939" i="1" a="1"/>
  <c r="H940" i="1" a="1"/>
  <c r="H941" i="1" a="1"/>
  <c r="H942" i="1" a="1"/>
  <c r="H943" i="1" a="1"/>
  <c r="H944" i="1" a="1"/>
  <c r="H945" i="1" a="1"/>
  <c r="H946" i="1" a="1"/>
  <c r="H947" i="1" a="1"/>
  <c r="H948" i="1" a="1"/>
  <c r="H949" i="1" a="1"/>
  <c r="H950" i="1" a="1"/>
  <c r="H951" i="1" a="1"/>
  <c r="H952" i="1" a="1"/>
  <c r="H953" i="1" a="1"/>
  <c r="H954" i="1" a="1"/>
  <c r="H955" i="1" a="1"/>
  <c r="H956" i="1" a="1"/>
  <c r="H957" i="1" a="1"/>
  <c r="H958" i="1" a="1"/>
  <c r="H959" i="1" a="1"/>
  <c r="H960" i="1" a="1"/>
  <c r="H961" i="1" a="1"/>
  <c r="H962" i="1" a="1"/>
  <c r="H963" i="1" a="1"/>
  <c r="H964" i="1" a="1"/>
  <c r="H965" i="1" a="1"/>
  <c r="H966" i="1" a="1"/>
  <c r="H967" i="1" a="1"/>
  <c r="H968" i="1" a="1"/>
  <c r="H969" i="1" a="1"/>
  <c r="H970" i="1" a="1"/>
  <c r="H971" i="1" a="1"/>
  <c r="H972" i="1" a="1"/>
  <c r="H973" i="1" a="1"/>
  <c r="H974" i="1" a="1"/>
  <c r="H975" i="1" a="1"/>
  <c r="H976" i="1" a="1"/>
  <c r="H977" i="1" a="1"/>
  <c r="H978" i="1" a="1"/>
  <c r="H979" i="1" a="1"/>
  <c r="H980" i="1" a="1"/>
  <c r="H981" i="1" a="1"/>
  <c r="H982" i="1" a="1"/>
  <c r="H983" i="1" a="1"/>
  <c r="H984" i="1" a="1"/>
  <c r="H985" i="1" a="1"/>
  <c r="H986" i="1" a="1"/>
  <c r="H987" i="1" a="1"/>
  <c r="H988" i="1" a="1"/>
  <c r="H989" i="1" a="1"/>
  <c r="H990" i="1" a="1"/>
  <c r="H991" i="1" a="1"/>
  <c r="H992" i="1" a="1"/>
  <c r="H993" i="1" a="1"/>
  <c r="H994" i="1" a="1"/>
  <c r="H995" i="1" a="1"/>
  <c r="H996" i="1" a="1"/>
  <c r="H997" i="1" a="1"/>
  <c r="H998" i="1" a="1"/>
  <c r="H999" i="1" a="1"/>
  <c r="H1000" i="1" a="1"/>
  <c r="H1001" i="1" a="1"/>
  <c r="H1002" i="1" a="1"/>
  <c r="H1003" i="1" a="1"/>
  <c r="H1004" i="1" a="1"/>
  <c r="H1005" i="1" a="1"/>
  <c r="H1006" i="1" a="1"/>
  <c r="H1007" i="1" a="1"/>
  <c r="H1008" i="1" a="1"/>
  <c r="H1009" i="1" a="1"/>
  <c r="H1010" i="1" a="1"/>
  <c r="H1011" i="1" a="1"/>
  <c r="H1012" i="1" a="1"/>
  <c r="H1013" i="1" a="1"/>
  <c r="H1014" i="1" a="1"/>
  <c r="H1015" i="1" a="1"/>
  <c r="H1016" i="1" a="1"/>
  <c r="H1017" i="1" a="1"/>
  <c r="H1018" i="1" a="1"/>
  <c r="H1019" i="1" a="1"/>
  <c r="H1020" i="1" a="1"/>
  <c r="H1021" i="1" a="1"/>
  <c r="H1022" i="1" a="1"/>
  <c r="H1023" i="1" a="1"/>
  <c r="H1024" i="1" a="1"/>
  <c r="H1025" i="1" a="1"/>
  <c r="H1026" i="1" a="1"/>
  <c r="H1027" i="1" a="1"/>
  <c r="H1028" i="1" a="1"/>
  <c r="H1029" i="1" a="1"/>
  <c r="H1030" i="1" a="1"/>
  <c r="H1031" i="1" a="1"/>
  <c r="H1032" i="1" a="1"/>
  <c r="H1033" i="1" a="1"/>
  <c r="H1034" i="1" a="1"/>
  <c r="H1035" i="1" a="1"/>
  <c r="H1036" i="1" a="1"/>
  <c r="H1037" i="1" a="1"/>
  <c r="H1038" i="1" a="1"/>
  <c r="H1039" i="1" a="1"/>
  <c r="H1040" i="1" a="1"/>
  <c r="H1041" i="1" a="1"/>
  <c r="H1042" i="1" a="1"/>
  <c r="H1043" i="1" a="1"/>
  <c r="H1044" i="1" a="1"/>
  <c r="H1045" i="1" a="1"/>
  <c r="H1046" i="1" a="1"/>
  <c r="H1047" i="1" a="1"/>
  <c r="H1048" i="1" a="1"/>
  <c r="H1049" i="1" a="1"/>
  <c r="H1050" i="1" a="1"/>
  <c r="H1051" i="1" a="1"/>
  <c r="H1052" i="1" a="1"/>
  <c r="H1053" i="1" a="1"/>
  <c r="H1054" i="1" a="1"/>
  <c r="H1055" i="1" a="1"/>
  <c r="H1056" i="1" a="1"/>
  <c r="H1057" i="1" a="1"/>
  <c r="H1058" i="1" a="1"/>
  <c r="H1059" i="1" a="1"/>
  <c r="H1060" i="1" a="1"/>
  <c r="H1061" i="1" a="1"/>
  <c r="H1062" i="1" a="1"/>
  <c r="H1063" i="1" a="1"/>
  <c r="H1064" i="1" a="1"/>
  <c r="H1065" i="1" a="1"/>
  <c r="H1066" i="1" a="1"/>
  <c r="H1067" i="1" a="1"/>
  <c r="H1068" i="1" a="1"/>
  <c r="H1069" i="1" a="1"/>
  <c r="H1070" i="1" a="1"/>
  <c r="H1071" i="1" a="1"/>
  <c r="H1072" i="1" a="1"/>
  <c r="H1073" i="1" a="1"/>
  <c r="H1074" i="1" a="1"/>
  <c r="H1075" i="1" a="1"/>
  <c r="H1076" i="1" a="1"/>
  <c r="H1077" i="1" a="1"/>
  <c r="H1078" i="1" a="1"/>
  <c r="H1079" i="1" a="1"/>
  <c r="H1080" i="1" a="1"/>
  <c r="H1081" i="1" a="1"/>
  <c r="H1082" i="1" a="1"/>
  <c r="H1083" i="1" a="1"/>
  <c r="H1084" i="1" a="1"/>
  <c r="H1085" i="1" a="1"/>
  <c r="H1086" i="1" a="1"/>
  <c r="H1087" i="1" a="1"/>
  <c r="H1088" i="1" a="1"/>
  <c r="H1089" i="1" a="1"/>
  <c r="H1090" i="1" a="1"/>
  <c r="H1091" i="1" a="1"/>
  <c r="H1092" i="1" a="1"/>
  <c r="H1093" i="1" a="1"/>
  <c r="H1094" i="1" a="1"/>
  <c r="H1095" i="1" a="1"/>
  <c r="H1096" i="1" a="1"/>
  <c r="H1097" i="1" a="1"/>
  <c r="H1098" i="1" a="1"/>
  <c r="H1099" i="1" a="1"/>
  <c r="H1100" i="1" a="1"/>
  <c r="H1101" i="1" a="1"/>
  <c r="H1102" i="1" a="1"/>
  <c r="H1103" i="1" a="1"/>
  <c r="H1104" i="1" a="1"/>
  <c r="H1105" i="1" a="1"/>
  <c r="H1106" i="1" a="1"/>
  <c r="H1107" i="1" a="1"/>
  <c r="H1108" i="1" a="1"/>
  <c r="H1109" i="1" a="1"/>
  <c r="H1110" i="1" a="1"/>
  <c r="H1111" i="1" a="1"/>
  <c r="H1112" i="1" a="1"/>
  <c r="H1113" i="1" a="1"/>
  <c r="H1114" i="1" a="1"/>
  <c r="H1115" i="1" a="1"/>
  <c r="H1116" i="1" a="1"/>
  <c r="H1117" i="1" a="1"/>
  <c r="H1118" i="1" a="1"/>
  <c r="H1119" i="1" a="1"/>
  <c r="H1120" i="1" a="1"/>
  <c r="H1121" i="1" a="1"/>
  <c r="H1122" i="1" a="1"/>
  <c r="H1123" i="1" a="1"/>
  <c r="H1124" i="1" a="1"/>
  <c r="H1125" i="1" a="1"/>
  <c r="H1126" i="1" a="1"/>
  <c r="H1127" i="1" a="1"/>
  <c r="H1128" i="1" a="1"/>
  <c r="H1129" i="1" a="1"/>
  <c r="H1130" i="1" a="1"/>
  <c r="H1131" i="1" a="1"/>
  <c r="H1132" i="1" a="1"/>
  <c r="H1133" i="1" a="1"/>
  <c r="H1134" i="1" a="1"/>
  <c r="H1135" i="1" a="1"/>
  <c r="H1136" i="1" a="1"/>
  <c r="H1137" i="1" a="1"/>
  <c r="H1138" i="1" a="1"/>
  <c r="H1139" i="1" a="1"/>
  <c r="H1140" i="1" a="1"/>
  <c r="H1141" i="1" a="1"/>
  <c r="H1142" i="1" a="1"/>
  <c r="H1143" i="1" a="1"/>
  <c r="H1144" i="1" a="1"/>
  <c r="H1145" i="1" a="1"/>
  <c r="H1146" i="1" a="1"/>
  <c r="H1147" i="1" a="1"/>
  <c r="H1148" i="1" a="1"/>
  <c r="H1149" i="1" a="1"/>
  <c r="H1150" i="1" a="1"/>
  <c r="H1151" i="1" a="1"/>
  <c r="H1152" i="1" a="1"/>
  <c r="H1153" i="1" a="1"/>
  <c r="H1154" i="1" a="1"/>
  <c r="H1155" i="1" a="1"/>
  <c r="H1156" i="1" a="1"/>
  <c r="H1157" i="1" a="1"/>
  <c r="H1158" i="1" a="1"/>
  <c r="H1159" i="1" a="1"/>
  <c r="H1160" i="1" a="1"/>
  <c r="H1161" i="1" a="1"/>
  <c r="H1162" i="1" a="1"/>
  <c r="H1163" i="1" a="1"/>
  <c r="H1164" i="1" a="1"/>
  <c r="H1165" i="1" a="1"/>
  <c r="H1166" i="1" a="1"/>
  <c r="H1167" i="1" a="1"/>
  <c r="H1168" i="1" a="1"/>
  <c r="H1169" i="1" a="1"/>
  <c r="H1170" i="1" a="1"/>
  <c r="H1171" i="1" a="1"/>
  <c r="H1172" i="1" a="1"/>
  <c r="H1173" i="1" a="1"/>
  <c r="H1174" i="1" a="1"/>
  <c r="H1175" i="1" a="1"/>
  <c r="H1176" i="1" a="1"/>
  <c r="H1177" i="1" a="1"/>
  <c r="H1178" i="1" a="1"/>
  <c r="H1179" i="1" a="1"/>
  <c r="H1180" i="1" a="1"/>
  <c r="H1181" i="1" a="1"/>
  <c r="H1182" i="1" a="1"/>
  <c r="H1183" i="1" a="1"/>
  <c r="H1184" i="1" a="1"/>
  <c r="H1185" i="1" a="1"/>
  <c r="H1186" i="1" a="1"/>
  <c r="H1187" i="1" a="1"/>
  <c r="H1188" i="1" a="1"/>
  <c r="H1189" i="1" a="1"/>
  <c r="H1190" i="1" a="1"/>
  <c r="H1191" i="1" a="1"/>
  <c r="H1192" i="1" a="1"/>
  <c r="H1193" i="1" a="1"/>
  <c r="H1194" i="1" a="1"/>
  <c r="H1195" i="1" a="1"/>
  <c r="H1196" i="1" a="1"/>
  <c r="H1197" i="1" a="1"/>
  <c r="H1198" i="1" a="1"/>
  <c r="H1199" i="1" a="1"/>
  <c r="H1200" i="1" a="1"/>
  <c r="H1201" i="1" a="1"/>
  <c r="H1202" i="1" a="1"/>
  <c r="H1203" i="1" a="1"/>
  <c r="H1204" i="1" a="1"/>
  <c r="H1205" i="1" a="1"/>
  <c r="H1206" i="1" a="1"/>
  <c r="H1207" i="1" a="1"/>
  <c r="H1208" i="1" a="1"/>
  <c r="H1209" i="1" a="1"/>
  <c r="H1210" i="1" a="1"/>
  <c r="H1211" i="1" a="1"/>
  <c r="H1212" i="1" a="1"/>
  <c r="H1213" i="1" a="1"/>
  <c r="H1214" i="1" a="1"/>
  <c r="H1215" i="1" a="1"/>
  <c r="H1216" i="1" a="1"/>
  <c r="H1217" i="1" a="1"/>
  <c r="H1218" i="1" a="1"/>
  <c r="H1219" i="1" a="1"/>
  <c r="H1220" i="1" a="1"/>
  <c r="H1221" i="1" a="1"/>
  <c r="H1222" i="1" a="1"/>
  <c r="H1223" i="1" a="1"/>
  <c r="H1224" i="1" a="1"/>
  <c r="H1225" i="1" a="1"/>
  <c r="H1226" i="1" a="1"/>
  <c r="H1227" i="1" a="1"/>
  <c r="H1228" i="1" a="1"/>
  <c r="H1229" i="1" a="1"/>
  <c r="H1230" i="1" a="1"/>
  <c r="H1231" i="1" a="1"/>
  <c r="H1232" i="1" a="1"/>
  <c r="H1233" i="1" a="1"/>
  <c r="H1234" i="1" a="1"/>
  <c r="H1235" i="1" a="1"/>
  <c r="H1236" i="1" a="1"/>
  <c r="H1237" i="1" a="1"/>
  <c r="H1238" i="1" a="1"/>
  <c r="H1239" i="1" a="1"/>
  <c r="H1240" i="1" a="1"/>
  <c r="H1241" i="1" a="1"/>
  <c r="H1242" i="1" a="1"/>
  <c r="H1243" i="1" a="1"/>
  <c r="H1244" i="1" a="1"/>
  <c r="H1245" i="1" a="1"/>
  <c r="H1246" i="1" a="1"/>
  <c r="H1247" i="1" a="1"/>
  <c r="H1248" i="1" a="1"/>
  <c r="H1249" i="1" a="1"/>
  <c r="H1250" i="1" a="1"/>
  <c r="H1251" i="1" a="1"/>
  <c r="H1252" i="1" a="1"/>
  <c r="H1253" i="1" a="1"/>
  <c r="H1254" i="1" a="1"/>
  <c r="H1255" i="1" a="1"/>
  <c r="H1256" i="1" a="1"/>
  <c r="H1257" i="1" a="1"/>
  <c r="H1258" i="1" a="1"/>
  <c r="H1259" i="1" a="1"/>
  <c r="H1260" i="1" a="1"/>
  <c r="H1261" i="1" a="1"/>
  <c r="H1262" i="1" a="1"/>
  <c r="H1263" i="1" a="1"/>
  <c r="H1264" i="1" a="1"/>
  <c r="H1265" i="1" a="1"/>
  <c r="H1266" i="1" a="1"/>
  <c r="H1267" i="1" a="1"/>
  <c r="H1268" i="1" a="1"/>
  <c r="H1269" i="1" a="1"/>
  <c r="H1270" i="1" a="1"/>
  <c r="H1271" i="1" a="1"/>
  <c r="H1272" i="1" a="1"/>
  <c r="H1273" i="1" a="1"/>
  <c r="H1274" i="1" a="1"/>
  <c r="H1275" i="1" a="1"/>
  <c r="H1276" i="1" a="1"/>
  <c r="H1277" i="1" a="1"/>
  <c r="H1278" i="1" a="1"/>
  <c r="H1279" i="1" a="1"/>
  <c r="H1280" i="1" a="1"/>
  <c r="H1281" i="1" a="1"/>
  <c r="H1282" i="1" a="1"/>
  <c r="H1283" i="1" a="1"/>
  <c r="H1284" i="1" a="1"/>
  <c r="H1285" i="1" a="1"/>
  <c r="H1286" i="1" a="1"/>
  <c r="H1287" i="1" a="1"/>
  <c r="H1288" i="1" a="1"/>
  <c r="H1289" i="1" a="1"/>
  <c r="H1290" i="1" a="1"/>
  <c r="H1291" i="1" a="1"/>
  <c r="H1292" i="1" a="1"/>
  <c r="H1293" i="1" a="1"/>
  <c r="H1294" i="1" a="1"/>
  <c r="H1295" i="1" a="1"/>
  <c r="H1296" i="1" a="1"/>
  <c r="H1297" i="1" a="1"/>
  <c r="H1298" i="1" a="1"/>
  <c r="H1299" i="1" a="1"/>
  <c r="H1300" i="1" a="1"/>
  <c r="H1301" i="1" a="1"/>
  <c r="H1302" i="1" a="1"/>
  <c r="H1303" i="1" a="1"/>
  <c r="H1304" i="1" a="1"/>
  <c r="H1305" i="1" a="1"/>
  <c r="H1306" i="1" a="1"/>
  <c r="H1307" i="1" a="1"/>
  <c r="H1308" i="1" a="1"/>
  <c r="H1309" i="1" a="1"/>
  <c r="H1310" i="1" a="1"/>
  <c r="H1311" i="1" a="1"/>
  <c r="H1312" i="1" a="1"/>
  <c r="H1313" i="1" a="1"/>
  <c r="H1314" i="1" a="1"/>
  <c r="H1315" i="1" a="1"/>
  <c r="H1316" i="1" a="1"/>
  <c r="H1317" i="1" a="1"/>
  <c r="H1318" i="1" a="1"/>
  <c r="H1319" i="1" a="1"/>
  <c r="H1320" i="1" a="1"/>
  <c r="H1321" i="1" a="1"/>
  <c r="H1322" i="1" a="1"/>
  <c r="H1323" i="1" a="1"/>
  <c r="H1324" i="1" a="1"/>
  <c r="H1325" i="1" a="1"/>
  <c r="H1326" i="1" a="1"/>
  <c r="H1327" i="1" a="1"/>
  <c r="H1328" i="1" a="1"/>
  <c r="H1329" i="1" a="1"/>
  <c r="H1330" i="1" a="1"/>
  <c r="H1331" i="1" a="1"/>
  <c r="H1332" i="1" a="1"/>
  <c r="H1333" i="1" a="1"/>
  <c r="H1334" i="1" a="1"/>
  <c r="H1335" i="1" a="1"/>
  <c r="H1336" i="1" a="1"/>
  <c r="H1337" i="1" a="1"/>
  <c r="H1338" i="1" a="1"/>
  <c r="H2"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<sst xmlns="http://schemas.openxmlformats.org/spreadsheetml/2006/main" count="9717" uniqueCount="73">
  <si>
    <t>age</t>
  </si>
  <si>
    <t>sex</t>
  </si>
  <si>
    <t>bmi</t>
  </si>
  <si>
    <t>children</t>
  </si>
  <si>
    <t>smoker</t>
  </si>
  <si>
    <t>region</t>
  </si>
  <si>
    <t>charges</t>
  </si>
  <si>
    <t>Female</t>
  </si>
  <si>
    <t>Male</t>
  </si>
  <si>
    <t>Yes</t>
  </si>
  <si>
    <t>No</t>
  </si>
  <si>
    <t>Southwest</t>
  </si>
  <si>
    <t>Southeast</t>
  </si>
  <si>
    <t>Northwest</t>
  </si>
  <si>
    <t>Northeast</t>
  </si>
  <si>
    <t>Age group(Broad)</t>
  </si>
  <si>
    <t>Age Group (Detailed)</t>
  </si>
  <si>
    <t xml:space="preserve">BMI category </t>
  </si>
  <si>
    <t>Charge Band</t>
  </si>
  <si>
    <t xml:space="preserve">Summary </t>
  </si>
  <si>
    <t>KPI</t>
  </si>
  <si>
    <t>Total Members</t>
  </si>
  <si>
    <t>Average Insurance Charge</t>
  </si>
  <si>
    <t>Median Insurance Charge</t>
  </si>
  <si>
    <t>%smokers</t>
  </si>
  <si>
    <t>Average Charge for smokers</t>
  </si>
  <si>
    <t>Average Charge for Non-Smokers</t>
  </si>
  <si>
    <t>Min Charge</t>
  </si>
  <si>
    <t>Max Charge</t>
  </si>
  <si>
    <t>Average BMI</t>
  </si>
  <si>
    <t>Average Charges by Region</t>
  </si>
  <si>
    <t>Grand Total</t>
  </si>
  <si>
    <t>Average of charges</t>
  </si>
  <si>
    <t>VALUES</t>
  </si>
  <si>
    <t>Column / Sheet</t>
  </si>
  <si>
    <t>Issue Found</t>
  </si>
  <si>
    <t>Action Taken</t>
  </si>
  <si>
    <t>Entire dataset</t>
  </si>
  <si>
    <t>1 fully duplicated row</t>
  </si>
  <si>
    <t>Removed duplicate row; total records reduced from 1338 to 1337</t>
  </si>
  <si>
    <t>Values standardized</t>
  </si>
  <si>
    <t>Cleaned to Yes / No format</t>
  </si>
  <si>
    <t>Text formatting checked</t>
  </si>
  <si>
    <t>Standardized text values</t>
  </si>
  <si>
    <t>Range checked</t>
  </si>
  <si>
    <t>No unrealistic values found</t>
  </si>
  <si>
    <t>No missing or extreme invalid values found</t>
  </si>
  <si>
    <t>Whole-number check</t>
  </si>
  <si>
    <t>Verified integer values only</t>
  </si>
  <si>
    <t>Number format checked</t>
  </si>
  <si>
    <t>Formatted as currency</t>
  </si>
  <si>
    <t>Adult</t>
  </si>
  <si>
    <t>Older</t>
  </si>
  <si>
    <t>Youth</t>
  </si>
  <si>
    <t>Region</t>
  </si>
  <si>
    <t>smokers</t>
  </si>
  <si>
    <t>Age group</t>
  </si>
  <si>
    <t>Sex</t>
  </si>
  <si>
    <t>Children</t>
  </si>
  <si>
    <t>Obese</t>
  </si>
  <si>
    <t>Normal</t>
  </si>
  <si>
    <t>Overweight</t>
  </si>
  <si>
    <t>Underweight</t>
  </si>
  <si>
    <t>BMI category</t>
  </si>
  <si>
    <t>18-25</t>
  </si>
  <si>
    <t>Low</t>
  </si>
  <si>
    <t>Details for Average of charges - BMI category : Normal</t>
  </si>
  <si>
    <r>
      <rPr>
        <b/>
        <sz val="11"/>
        <color theme="4"/>
        <rFont val="Arial"/>
        <family val="2"/>
      </rPr>
      <t xml:space="preserve">
TOTAL MEMBERS</t>
    </r>
    <r>
      <rPr>
        <sz val="11"/>
        <color theme="1"/>
        <rFont val="Arial"/>
        <family val="2"/>
      </rPr>
      <t xml:space="preserve">
</t>
    </r>
  </si>
  <si>
    <r>
      <t xml:space="preserve">
</t>
    </r>
    <r>
      <rPr>
        <b/>
        <sz val="11"/>
        <color theme="9"/>
        <rFont val="Arial"/>
        <family val="2"/>
      </rPr>
      <t xml:space="preserve"> AVERAGE INSURANCE 
CHARGES
</t>
    </r>
    <r>
      <rPr>
        <b/>
        <sz val="20"/>
        <rFont val="Arial"/>
        <family val="2"/>
      </rPr>
      <t xml:space="preserve">
</t>
    </r>
    <r>
      <rPr>
        <sz val="20"/>
        <rFont val="Arial"/>
        <family val="2"/>
      </rPr>
      <t xml:space="preserve">
</t>
    </r>
    <r>
      <rPr>
        <sz val="11"/>
        <color theme="1"/>
        <rFont val="Arial"/>
        <family val="2"/>
      </rPr>
      <t xml:space="preserve">
</t>
    </r>
  </si>
  <si>
    <r>
      <rPr>
        <b/>
        <sz val="11"/>
        <color theme="8" tint="-0.249977111117893"/>
        <rFont val="Arial"/>
        <family val="2"/>
      </rPr>
      <t>% SMOKERS</t>
    </r>
    <r>
      <rPr>
        <sz val="11"/>
        <color theme="1"/>
        <rFont val="Arial"/>
        <family val="2"/>
      </rPr>
      <t xml:space="preserve">
</t>
    </r>
  </si>
  <si>
    <t>HEALTHCARE INSURANCE ANALYSIS DASHBOARD</t>
  </si>
  <si>
    <t>(blank)</t>
  </si>
  <si>
    <r>
      <rPr>
        <b/>
        <sz val="9"/>
        <color rgb="FFEB7A41"/>
        <rFont val="Arial"/>
        <family val="2"/>
      </rPr>
      <t xml:space="preserve">
MEDIAN INSURANCE CHARGE</t>
    </r>
    <r>
      <rPr>
        <sz val="9"/>
        <color theme="1"/>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</si>
</sst>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09]* #,##0.00_ ;_-[$$-409]* \-#,##0.00\ ;_-[$$-409]* &quot;-&quot;??_ ;_-@_ "/>
    <numFmt numFmtId="165" formatCode="[$$-409]#,##0.00"/>
  </numFmts>
  <fonts count="3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0"/>
      <color theme="1"/>
      <name val="Arial"/>
      <family val="2"/>
    </font>
    <font>
      <sz val="9"/>
      <color theme="1"/>
      <name val="Arial"/>
      <family val="2"/>
    </font>
    <font>
      <b/>
      <sz val="9"/>
      <color rgb="FFEB7A41"/>
      <name val="Arial"/>
      <family val="2"/>
    </font>
    <font>
      <sz val="14"/>
      <color theme="1"/>
      <name val="Arial"/>
      <family val="2"/>
    </font>
    <font>
      <sz val="26"/>
      <color rgb="FFFF0000"/>
      <name val="Aptos Narrow"/>
      <family val="2"/>
      <scheme val="minor"/>
    </font>
    <font>
      <sz val="26"/>
      <color theme="0"/>
      <name val="Aptos Narrow"/>
      <family val="2"/>
      <scheme val="minor"/>
    </font>
    <font>
      <b/>
      <sz val="20"/>
      <name val="Arial"/>
      <family val="2"/>
    </font>
    <font>
      <sz val="11"/>
      <color theme="1"/>
      <name val="Arial"/>
      <family val="2"/>
    </font>
    <font>
      <b/>
      <sz val="11"/>
      <color theme="9"/>
      <name val="Arial"/>
      <family val="2"/>
    </font>
    <font>
      <b/>
      <sz val="11"/>
      <color theme="4"/>
      <name val="Arial"/>
      <family val="2"/>
    </font>
    <font>
      <sz val="20"/>
      <name val="Arial"/>
      <family val="2"/>
    </font>
    <font>
      <b/>
      <sz val="11"/>
      <color theme="8" tint="-0.249977111117893"/>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49" fontId="0" fillId="0" borderId="0" xfId="0" applyNumberFormat="1"/>
    <xf numFmtId="164" fontId="0" fillId="0" borderId="0" xfId="0" applyNumberFormat="1"/>
    <xf numFmtId="0" fontId="16" fillId="0" borderId="0" xfId="0" applyFont="1"/>
    <xf numFmtId="10"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applyAlignment="1">
      <alignment vertical="center" wrapText="1"/>
    </xf>
    <xf numFmtId="0" fontId="21" fillId="33" borderId="0" xfId="0" applyFont="1" applyFill="1" applyAlignment="1">
      <alignment wrapText="1"/>
    </xf>
    <xf numFmtId="0" fontId="0" fillId="33" borderId="0" xfId="0" applyFill="1"/>
    <xf numFmtId="0" fontId="25" fillId="33" borderId="0" xfId="0" applyFont="1" applyFill="1" applyAlignment="1">
      <alignment horizontal="center" wrapText="1"/>
    </xf>
    <xf numFmtId="0" fontId="25" fillId="33" borderId="0" xfId="0" applyFont="1" applyFill="1" applyAlignment="1">
      <alignment wrapText="1"/>
    </xf>
    <xf numFmtId="0" fontId="18" fillId="33" borderId="0" xfId="0" applyFont="1" applyFill="1" applyAlignment="1">
      <alignment horizontal="center"/>
    </xf>
    <xf numFmtId="164" fontId="18" fillId="33" borderId="0" xfId="0" applyNumberFormat="1" applyFont="1" applyFill="1" applyAlignment="1">
      <alignment horizontal="center"/>
    </xf>
    <xf numFmtId="10" fontId="18" fillId="33" borderId="0" xfId="0" applyNumberFormat="1" applyFont="1" applyFill="1" applyAlignment="1">
      <alignment horizontal="center"/>
    </xf>
    <xf numFmtId="0" fontId="0" fillId="33" borderId="0" xfId="0" applyFill="1" applyAlignment="1">
      <alignment horizontal="center"/>
    </xf>
    <xf numFmtId="165" fontId="0" fillId="33" borderId="0" xfId="0" applyNumberFormat="1" applyFill="1" applyAlignment="1">
      <alignment horizontal="center"/>
    </xf>
    <xf numFmtId="10" fontId="0" fillId="33" borderId="0" xfId="0" applyNumberFormat="1" applyFill="1" applyAlignment="1">
      <alignment horizontal="center"/>
    </xf>
    <xf numFmtId="0" fontId="19" fillId="33" borderId="0" xfId="0" applyFont="1" applyFill="1" applyAlignment="1">
      <alignment wrapText="1"/>
    </xf>
    <xf numFmtId="0" fontId="23" fillId="34" borderId="0" xfId="0" applyFont="1" applyFill="1" applyAlignment="1">
      <alignment horizontal="center"/>
    </xf>
    <xf numFmtId="0" fontId="22" fillId="34"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30" formatCode="@"/>
    </dxf>
    <dxf>
      <numFmt numFmtId="164" formatCode="_-[$$-409]* #,##0.00_ ;_-[$$-409]* \-#,##0.00\ ;_-[$$-409]* &quot;-&quot;??_ ;_-@_ "/>
    </dxf>
    <dxf>
      <numFmt numFmtId="30" formatCode="@"/>
    </dxf>
    <dxf>
      <numFmt numFmtId="164" formatCode="_-[$$-409]* #,##0.00_ ;_-[$$-409]* \-#,##0.00\ ;_-[$$-409]* &quot;-&quot;??_ ;_-@_ "/>
    </dxf>
    <dxf>
      <numFmt numFmtId="164" formatCode="_-[$$-409]* #,##0.00_ ;_-[$$-409]* \-#,##0.00\ ;_-[$$-409]* &quot;-&quot;??_ ;_-@_ "/>
    </dxf>
  </dxfs>
  <tableStyles count="0" defaultTableStyle="TableStyleMedium2" defaultPivotStyle="PivotStyleLight16"/>
  <colors>
    <mruColors>
      <color rgb="FFF1E8F8"/>
      <color rgb="FFE8D9F3"/>
      <color rgb="FFEB7A41"/>
      <color rgb="FFFFF0D9"/>
      <color rgb="FFFFE4BD"/>
      <color rgb="FFFFCF89"/>
      <color rgb="FFEFFBE9"/>
      <color rgb="FFF0FAFE"/>
      <color rgb="FFDCF4FC"/>
      <color rgb="FFD9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2.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[healthcare_insurance_dashboard.xlsx]KPI and Pivot!PivotTable2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N" sz="1400" b="0" i="0" u="none" strike="noStrike" baseline="0">
                <a:solidFill>
                  <a:schemeClr val="accent1"/>
                </a:solidFill>
                <a:latin typeface="Times New Roman" panose="02020603050405020304" pitchFamily="18" charset="0"/>
                <a:cs typeface="Times New Roman" panose="02020603050405020304" pitchFamily="18" charset="0"/>
              </a:rPr>
              <a:t>Average Charges by Region</a:t>
            </a:r>
            <a:endParaRPr lang="en-US">
              <a:solidFill>
                <a:schemeClr val="accent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and Pivot'!$B$14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and Pivot'!$A$15:$A$20</c:f>
              <c:strCache>
                <c:ptCount val="5"/>
                <c:pt idx="0">
                  <c:v>Northwest</c:v>
                </c:pt>
                <c:pt idx="1">
                  <c:v>Southwest</c:v>
                </c:pt>
                <c:pt idx="2">
                  <c:v>Northeast</c:v>
                </c:pt>
                <c:pt idx="3">
                  <c:v>Southeast</c:v>
                </c:pt>
                <c:pt idx="4">
                  <c:v>(blank)</c:v>
                </c:pt>
              </c:strCache>
            </c:strRef>
          </c:cat>
          <c:val>
            <c:numRef>
              <c:f>'KPI and Pivot'!$B$15:$B$20</c:f>
              <c:numCache>
                <c:formatCode>[$$-409]#,##0.00</c:formatCode>
                <c:ptCount val="5"/>
                <c:pt idx="0">
                  <c:v>13866.552775648152</c:v>
                </c:pt>
                <c:pt idx="1">
                  <c:v>13468.227644643073</c:v>
                </c:pt>
                <c:pt idx="2">
                  <c:v>13109.351141481478</c:v>
                </c:pt>
                <c:pt idx="3">
                  <c:v>12738.512565934067</c:v>
                </c:pt>
              </c:numCache>
            </c:numRef>
          </c:val>
          <c:extLst>
            <c:ext xmlns:c16="http://schemas.microsoft.com/office/drawing/2014/chart" uri="{C3380CC4-5D6E-409C-BE32-E72D297353CC}">
              <c16:uniqueId val="{00000000-2DD2-4624-B2D7-1C585DA9853C}"/>
            </c:ext>
          </c:extLst>
        </c:ser>
        <c:dLbls>
          <c:dLblPos val="outEnd"/>
          <c:showLegendKey val="0"/>
          <c:showVal val="1"/>
          <c:showCatName val="0"/>
          <c:showSerName val="0"/>
          <c:showPercent val="0"/>
          <c:showBubbleSize val="0"/>
        </c:dLbls>
        <c:gapWidth val="219"/>
        <c:axId val="1544634480"/>
        <c:axId val="724438991"/>
      </c:barChart>
      <c:catAx>
        <c:axId val="15446344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accent1"/>
                    </a:solidFill>
                    <a:latin typeface="+mn-lt"/>
                    <a:ea typeface="+mn-ea"/>
                    <a:cs typeface="+mn-cs"/>
                  </a:defRPr>
                </a:pPr>
                <a:r>
                  <a:rPr lang="en-IN">
                    <a:solidFill>
                      <a:schemeClr val="accent1"/>
                    </a:solidFill>
                  </a:rPr>
                  <a:t>Region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438991"/>
        <c:crosses val="autoZero"/>
        <c:auto val="1"/>
        <c:lblAlgn val="ctr"/>
        <c:lblOffset val="100"/>
        <c:noMultiLvlLbl val="0"/>
      </c:catAx>
      <c:valAx>
        <c:axId val="7244389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accent1"/>
                    </a:solidFill>
                    <a:latin typeface="+mn-lt"/>
                    <a:ea typeface="+mn-ea"/>
                    <a:cs typeface="+mn-cs"/>
                  </a:defRPr>
                </a:pPr>
                <a:r>
                  <a:rPr lang="en-IN">
                    <a:solidFill>
                      <a:schemeClr val="accent1"/>
                    </a:solidFill>
                  </a:rPr>
                  <a:t>Avg</a:t>
                </a:r>
                <a:r>
                  <a:rPr lang="en-IN" baseline="0">
                    <a:solidFill>
                      <a:schemeClr val="accent1"/>
                    </a:solidFill>
                  </a:rPr>
                  <a:t> of charges</a:t>
                </a:r>
                <a:endParaRPr lang="en-IN">
                  <a:solidFill>
                    <a:schemeClr val="accent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accent1"/>
                  </a:solidFill>
                  <a:latin typeface="+mn-lt"/>
                  <a:ea typeface="+mn-ea"/>
                  <a:cs typeface="+mn-cs"/>
                </a:defRPr>
              </a:pPr>
              <a:endParaRPr lang="en-IN"/>
            </a:p>
          </c:txPr>
        </c:title>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634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[healthcare_insurance_dashboard.xlsx]KPI and Pivot!PivotTable8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rgbClr val="0070C0"/>
                </a:solidFill>
                <a:latin typeface="Times New Roman" panose="02020603050405020304" pitchFamily="18" charset="0"/>
                <a:cs typeface="Times New Roman" panose="02020603050405020304" pitchFamily="18" charset="0"/>
              </a:rPr>
              <a:t>AVERAGE CHARGES BY SMOKING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dLbl>
          <c:idx val="0"/>
          <c:layout>
            <c:manualLayout>
              <c:x val="3.6231884057970351E-3"/>
              <c:y val="9.965057078708535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layout>
            <c:manualLayout>
              <c:x val="0"/>
              <c:y val="-5.095183885146886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and Pivot'!$B$21</c:f>
              <c:strCache>
                <c:ptCount val="1"/>
                <c:pt idx="0">
                  <c:v>Total</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2-E956-407B-B905-6DD94081D94A}"/>
              </c:ext>
            </c:extLst>
          </c:dPt>
          <c:dPt>
            <c:idx val="1"/>
            <c:invertIfNegative val="0"/>
            <c:bubble3D val="0"/>
            <c:spPr>
              <a:solidFill>
                <a:srgbClr val="00B050"/>
              </a:solidFill>
              <a:ln>
                <a:noFill/>
              </a:ln>
              <a:effectLst/>
            </c:spPr>
            <c:extLst>
              <c:ext xmlns:c16="http://schemas.microsoft.com/office/drawing/2014/chart" uri="{C3380CC4-5D6E-409C-BE32-E72D297353CC}">
                <c16:uniqueId val="{00000001-DCDC-4AEA-99B3-D3AE97D07D7A}"/>
              </c:ext>
            </c:extLst>
          </c:dPt>
          <c:dLbls>
            <c:dLbl>
              <c:idx val="0"/>
              <c:layout>
                <c:manualLayout>
                  <c:x val="0"/>
                  <c:y val="-5.095183885146886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956-407B-B905-6DD94081D94A}"/>
                </c:ext>
              </c:extLst>
            </c:dLbl>
            <c:dLbl>
              <c:idx val="1"/>
              <c:layout>
                <c:manualLayout>
                  <c:x val="3.6231884057970351E-3"/>
                  <c:y val="9.965057078708535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CDC-4AEA-99B3-D3AE97D07D7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and Pivot'!$A$22:$A$25</c:f>
              <c:strCache>
                <c:ptCount val="3"/>
                <c:pt idx="0">
                  <c:v>No</c:v>
                </c:pt>
                <c:pt idx="1">
                  <c:v>Yes</c:v>
                </c:pt>
                <c:pt idx="2">
                  <c:v>(blank)</c:v>
                </c:pt>
              </c:strCache>
            </c:strRef>
          </c:cat>
          <c:val>
            <c:numRef>
              <c:f>'KPI and Pivot'!$B$22:$B$25</c:f>
              <c:numCache>
                <c:formatCode>_-[$$-409]* #,##0.00_ ;_-[$$-409]* \-#,##0.00\ ;_-[$$-409]* "-"??_ ;_-@_ </c:formatCode>
                <c:ptCount val="3"/>
                <c:pt idx="0">
                  <c:v>13128.955424213547</c:v>
                </c:pt>
                <c:pt idx="1">
                  <c:v>13861.700042773724</c:v>
                </c:pt>
              </c:numCache>
            </c:numRef>
          </c:val>
          <c:extLst>
            <c:ext xmlns:c16="http://schemas.microsoft.com/office/drawing/2014/chart" uri="{C3380CC4-5D6E-409C-BE32-E72D297353CC}">
              <c16:uniqueId val="{00000000-DCDC-4AEA-99B3-D3AE97D07D7A}"/>
            </c:ext>
          </c:extLst>
        </c:ser>
        <c:dLbls>
          <c:showLegendKey val="0"/>
          <c:showVal val="0"/>
          <c:showCatName val="0"/>
          <c:showSerName val="0"/>
          <c:showPercent val="0"/>
          <c:showBubbleSize val="0"/>
        </c:dLbls>
        <c:gapWidth val="219"/>
        <c:overlap val="-27"/>
        <c:axId val="724461551"/>
        <c:axId val="724460591"/>
      </c:barChart>
      <c:catAx>
        <c:axId val="724461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460591"/>
        <c:crosses val="autoZero"/>
        <c:auto val="1"/>
        <c:lblAlgn val="ctr"/>
        <c:lblOffset val="100"/>
        <c:noMultiLvlLbl val="0"/>
      </c:catAx>
      <c:valAx>
        <c:axId val="724460591"/>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24461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[healthcare_insurance_dashboard.xlsx]KPI and Pivot!PivotTable10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70C0"/>
                </a:solidFill>
              </a:rPr>
              <a:t>Average charges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and Pivot'!$E$1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and Pivot'!$D$2:$D$6</c:f>
              <c:strCache>
                <c:ptCount val="4"/>
                <c:pt idx="0">
                  <c:v>Adult</c:v>
                </c:pt>
                <c:pt idx="1">
                  <c:v>Older</c:v>
                </c:pt>
                <c:pt idx="2">
                  <c:v>Youth</c:v>
                </c:pt>
                <c:pt idx="3">
                  <c:v>(blank)</c:v>
                </c:pt>
              </c:strCache>
            </c:strRef>
          </c:cat>
          <c:val>
            <c:numRef>
              <c:f>'KPI and Pivot'!$E$2:$E$6</c:f>
              <c:numCache>
                <c:formatCode>_-[$$-409]* #,##0.00_ ;_-[$$-409]* \-#,##0.00\ ;_-[$$-409]* "-"??_ ;_-@_ </c:formatCode>
                <c:ptCount val="4"/>
                <c:pt idx="0">
                  <c:v>10134.49066984944</c:v>
                </c:pt>
                <c:pt idx="1">
                  <c:v>30213.015216657284</c:v>
                </c:pt>
                <c:pt idx="2">
                  <c:v>3489.8330251692996</c:v>
                </c:pt>
              </c:numCache>
            </c:numRef>
          </c:val>
          <c:extLst>
            <c:ext xmlns:c16="http://schemas.microsoft.com/office/drawing/2014/chart" uri="{C3380CC4-5D6E-409C-BE32-E72D297353CC}">
              <c16:uniqueId val="{00000000-5318-444A-9768-E929CC78BA06}"/>
            </c:ext>
          </c:extLst>
        </c:ser>
        <c:dLbls>
          <c:dLblPos val="outEnd"/>
          <c:showLegendKey val="0"/>
          <c:showVal val="1"/>
          <c:showCatName val="0"/>
          <c:showSerName val="0"/>
          <c:showPercent val="0"/>
          <c:showBubbleSize val="0"/>
        </c:dLbls>
        <c:gapWidth val="219"/>
        <c:overlap val="-27"/>
        <c:axId val="724402511"/>
        <c:axId val="724415951"/>
      </c:barChart>
      <c:catAx>
        <c:axId val="724402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415951"/>
        <c:crosses val="autoZero"/>
        <c:auto val="1"/>
        <c:lblAlgn val="ctr"/>
        <c:lblOffset val="100"/>
        <c:noMultiLvlLbl val="0"/>
      </c:catAx>
      <c:valAx>
        <c:axId val="724415951"/>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402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[healthcare_insurance_dashboard.xlsx]KPI and Pivot!PivotTable11</c:name>
    <c:fmtId val="7"/>
  </c:pivotSource>
  <c:chart>
    <c:title>
      <c:tx>
        <c:rich>
          <a:bodyPr rot="0" spcFirstLastPara="1" vertOverflow="ellipsis" vert="horz" wrap="square" anchor="ctr" anchorCtr="1"/>
          <a:lstStyle/>
          <a:p>
            <a:pPr>
              <a:defRPr sz="1400" b="0" i="0" u="none" strike="noStrike" kern="1200" spc="0" baseline="0">
                <a:solidFill>
                  <a:srgbClr val="0070C0"/>
                </a:solidFill>
                <a:latin typeface="Times New Roman" panose="02020603050405020304" pitchFamily="18" charset="0"/>
                <a:ea typeface="+mn-ea"/>
                <a:cs typeface="Times New Roman" panose="02020603050405020304" pitchFamily="18" charset="0"/>
              </a:defRPr>
            </a:pPr>
            <a:r>
              <a:rPr lang="en-IN">
                <a:solidFill>
                  <a:srgbClr val="0070C0"/>
                </a:solidFill>
                <a:latin typeface="Times New Roman" panose="02020603050405020304" pitchFamily="18" charset="0"/>
                <a:cs typeface="Times New Roman" panose="02020603050405020304" pitchFamily="18" charset="0"/>
              </a:rPr>
              <a:t>Charges by sex</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70C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pivotFmt>
    </c:pivotFmts>
    <c:plotArea>
      <c:layout/>
      <c:barChart>
        <c:barDir val="col"/>
        <c:grouping val="clustered"/>
        <c:varyColors val="0"/>
        <c:ser>
          <c:idx val="0"/>
          <c:order val="0"/>
          <c:tx>
            <c:strRef>
              <c:f>'KPI and Pivot'!$E$8</c:f>
              <c:strCache>
                <c:ptCount val="1"/>
                <c:pt idx="0">
                  <c:v>Total</c:v>
                </c:pt>
              </c:strCache>
            </c:strRef>
          </c:tx>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56D6-43B3-855A-2FFFE5A3ECB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and Pivot'!$D$9:$D$12</c:f>
              <c:strCache>
                <c:ptCount val="3"/>
                <c:pt idx="0">
                  <c:v>Female</c:v>
                </c:pt>
                <c:pt idx="1">
                  <c:v>Male</c:v>
                </c:pt>
                <c:pt idx="2">
                  <c:v>(blank)</c:v>
                </c:pt>
              </c:strCache>
            </c:strRef>
          </c:cat>
          <c:val>
            <c:numRef>
              <c:f>'KPI and Pivot'!$E$9:$E$12</c:f>
              <c:numCache>
                <c:formatCode>_-[$$-409]* #,##0.00_ ;_-[$$-409]* \-#,##0.00\ ;_-[$$-409]* "-"??_ ;_-@_ </c:formatCode>
                <c:ptCount val="3"/>
                <c:pt idx="0">
                  <c:v>13379.529066055889</c:v>
                </c:pt>
                <c:pt idx="1">
                  <c:v>13180.647682859262</c:v>
                </c:pt>
              </c:numCache>
            </c:numRef>
          </c:val>
          <c:extLst>
            <c:ext xmlns:c16="http://schemas.microsoft.com/office/drawing/2014/chart" uri="{C3380CC4-5D6E-409C-BE32-E72D297353CC}">
              <c16:uniqueId val="{00000000-56D6-43B3-855A-2FFFE5A3ECBB}"/>
            </c:ext>
          </c:extLst>
        </c:ser>
        <c:dLbls>
          <c:dLblPos val="outEnd"/>
          <c:showLegendKey val="0"/>
          <c:showVal val="1"/>
          <c:showCatName val="0"/>
          <c:showSerName val="0"/>
          <c:showPercent val="0"/>
          <c:showBubbleSize val="0"/>
        </c:dLbls>
        <c:gapWidth val="219"/>
        <c:overlap val="-27"/>
        <c:axId val="724419791"/>
        <c:axId val="724424111"/>
      </c:barChart>
      <c:catAx>
        <c:axId val="724419791"/>
        <c:scaling>
          <c:orientation val="minMax"/>
        </c:scaling>
        <c:delete val="0"/>
        <c:axPos val="b"/>
        <c:title>
          <c:tx>
            <c:rich>
              <a:bodyPr rot="0" spcFirstLastPara="1" vertOverflow="ellipsis" vert="horz" wrap="square" anchor="ctr" anchorCtr="1"/>
              <a:lstStyle/>
              <a:p>
                <a:pPr>
                  <a:defRPr sz="1000" b="0" i="0" u="none" strike="noStrike" kern="1200" baseline="0">
                    <a:solidFill>
                      <a:srgbClr val="0070C0"/>
                    </a:solidFill>
                    <a:latin typeface="Times New Roman" panose="02020603050405020304" pitchFamily="18" charset="0"/>
                    <a:ea typeface="+mn-ea"/>
                    <a:cs typeface="Times New Roman" panose="02020603050405020304" pitchFamily="18" charset="0"/>
                  </a:defRPr>
                </a:pPr>
                <a:r>
                  <a:rPr lang="en-IN">
                    <a:solidFill>
                      <a:srgbClr val="0070C0"/>
                    </a:solidFill>
                    <a:latin typeface="Times New Roman" panose="02020603050405020304" pitchFamily="18" charset="0"/>
                    <a:cs typeface="Times New Roman" panose="02020603050405020304" pitchFamily="18" charset="0"/>
                  </a:rPr>
                  <a:t>Sex</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0070C0"/>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424111"/>
        <c:crosses val="autoZero"/>
        <c:auto val="1"/>
        <c:lblAlgn val="ctr"/>
        <c:lblOffset val="100"/>
        <c:noMultiLvlLbl val="0"/>
      </c:catAx>
      <c:valAx>
        <c:axId val="7244241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0070C0"/>
                    </a:solidFill>
                    <a:latin typeface="Times New Roman" panose="02020603050405020304" pitchFamily="18" charset="0"/>
                    <a:ea typeface="+mn-ea"/>
                    <a:cs typeface="Times New Roman" panose="02020603050405020304" pitchFamily="18" charset="0"/>
                  </a:defRPr>
                </a:pPr>
                <a:r>
                  <a:rPr lang="en-IN">
                    <a:solidFill>
                      <a:srgbClr val="0070C0"/>
                    </a:solidFill>
                    <a:latin typeface="Times New Roman" panose="02020603050405020304" pitchFamily="18" charset="0"/>
                    <a:cs typeface="Times New Roman" panose="02020603050405020304" pitchFamily="18" charset="0"/>
                  </a:rPr>
                  <a:t>Average</a:t>
                </a:r>
                <a:r>
                  <a:rPr lang="en-IN" baseline="0">
                    <a:solidFill>
                      <a:srgbClr val="0070C0"/>
                    </a:solidFill>
                    <a:latin typeface="Times New Roman" panose="02020603050405020304" pitchFamily="18" charset="0"/>
                    <a:cs typeface="Times New Roman" panose="02020603050405020304" pitchFamily="18" charset="0"/>
                  </a:rPr>
                  <a:t> of charges</a:t>
                </a:r>
                <a:endParaRPr lang="en-IN">
                  <a:solidFill>
                    <a:srgbClr val="0070C0"/>
                  </a:solidFill>
                  <a:latin typeface="Times New Roman" panose="02020603050405020304" pitchFamily="18" charset="0"/>
                  <a:cs typeface="Times New Roman" panose="02020603050405020304" pitchFamily="18"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0070C0"/>
                  </a:solidFill>
                  <a:latin typeface="Times New Roman" panose="02020603050405020304" pitchFamily="18" charset="0"/>
                  <a:ea typeface="+mn-ea"/>
                  <a:cs typeface="Times New Roman" panose="02020603050405020304" pitchFamily="18" charset="0"/>
                </a:defRPr>
              </a:pPr>
              <a:endParaRPr lang="en-IN"/>
            </a:p>
          </c:txPr>
        </c:title>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4197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440" b="0" i="0" u="none" strike="noStrike" kern="1200" spc="0" baseline="0">
                <a:solidFill>
                  <a:srgbClr val="0070C0"/>
                </a:solidFill>
                <a:latin typeface="Times New Roman" panose="02020603050405020304" pitchFamily="18" charset="0"/>
                <a:ea typeface="+mn-ea"/>
                <a:cs typeface="Times New Roman" panose="02020603050405020304" pitchFamily="18" charset="0"/>
              </a:defRPr>
            </a:pPr>
            <a:r>
              <a:rPr lang="en-IN"/>
              <a:t>Average</a:t>
            </a:r>
            <a:r>
              <a:rPr lang="en-IN" baseline="0"/>
              <a:t> charges by number of children</a:t>
            </a:r>
            <a:endParaRPr lang="en-IN"/>
          </a:p>
        </c:rich>
      </c:tx>
      <c:overlay val="0"/>
      <c:spPr>
        <a:noFill/>
        <a:ln>
          <a:noFill/>
        </a:ln>
        <a:effectLst/>
      </c:spPr>
      <c:txPr>
        <a:bodyPr rot="0" spcFirstLastPara="1" vertOverflow="ellipsis" vert="horz" wrap="square" anchor="ctr" anchorCtr="1"/>
        <a:lstStyle/>
        <a:p>
          <a:pPr algn="ctr" rtl="0">
            <a:defRPr lang="en-US" sz="1440" b="0" i="0" u="none" strike="noStrike" kern="1200" spc="0" baseline="0">
              <a:solidFill>
                <a:srgbClr val="0070C0"/>
              </a:solidFill>
              <a:latin typeface="Times New Roman" panose="02020603050405020304" pitchFamily="18" charset="0"/>
              <a:ea typeface="+mn-ea"/>
              <a:cs typeface="Times New Roman" panose="02020603050405020304" pitchFamily="18" charset="0"/>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spc="0" baseline="0">
                  <a:solidFill>
                    <a:srgbClr val="0070C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lang="en-US" sz="900" b="0" i="0" u="none" strike="noStrike" kern="1200" spc="0" baseline="0">
                    <a:solidFill>
                      <a:srgbClr val="0070C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0</c:v>
              </c:pt>
              <c:pt idx="1">
                <c:v>1</c:v>
              </c:pt>
              <c:pt idx="2">
                <c:v>2</c:v>
              </c:pt>
              <c:pt idx="3">
                <c:v>3</c:v>
              </c:pt>
              <c:pt idx="4">
                <c:v>4</c:v>
              </c:pt>
              <c:pt idx="5">
                <c:v>5</c:v>
              </c:pt>
            </c:strLit>
          </c:cat>
          <c:val>
            <c:numLit>
              <c:formatCode>General</c:formatCode>
              <c:ptCount val="6"/>
              <c:pt idx="0">
                <c:v>4302.3583318830715</c:v>
              </c:pt>
              <c:pt idx="1">
                <c:v>10406.181269598757</c:v>
              </c:pt>
              <c:pt idx="2">
                <c:v>17823.686049875003</c:v>
              </c:pt>
              <c:pt idx="3">
                <c:v>35332.851962229288</c:v>
              </c:pt>
              <c:pt idx="4">
                <c:v>46153.63603880001</c:v>
              </c:pt>
              <c:pt idx="5">
                <c:v>52141.558951666666</c:v>
              </c:pt>
            </c:numLit>
          </c:val>
          <c:extLst>
            <c:ext xmlns:c16="http://schemas.microsoft.com/office/drawing/2014/chart" uri="{C3380CC4-5D6E-409C-BE32-E72D297353CC}">
              <c16:uniqueId val="{00000000-C873-4061-AD1A-5155B03B9187}"/>
            </c:ext>
          </c:extLst>
        </c:ser>
        <c:dLbls>
          <c:dLblPos val="outEnd"/>
          <c:showLegendKey val="0"/>
          <c:showVal val="1"/>
          <c:showCatName val="0"/>
          <c:showSerName val="0"/>
          <c:showPercent val="0"/>
          <c:showBubbleSize val="0"/>
        </c:dLbls>
        <c:gapWidth val="219"/>
        <c:overlap val="-27"/>
        <c:axId val="724420751"/>
        <c:axId val="724425551"/>
      </c:barChart>
      <c:catAx>
        <c:axId val="724420751"/>
        <c:scaling>
          <c:orientation val="minMax"/>
        </c:scaling>
        <c:delete val="0"/>
        <c:axPos val="b"/>
        <c:title>
          <c:tx>
            <c:rich>
              <a:bodyPr rot="0" spcFirstLastPara="1" vertOverflow="ellipsis" vert="horz" wrap="square" anchor="ctr" anchorCtr="1"/>
              <a:lstStyle/>
              <a:p>
                <a:pPr>
                  <a:defRPr lang="en-US" sz="1200" b="0" i="0" u="none" strike="noStrike" kern="1200" spc="0" baseline="0">
                    <a:solidFill>
                      <a:srgbClr val="0070C0"/>
                    </a:solidFill>
                    <a:latin typeface="Times New Roman" panose="02020603050405020304" pitchFamily="18" charset="0"/>
                    <a:ea typeface="+mn-ea"/>
                    <a:cs typeface="Times New Roman" panose="02020603050405020304" pitchFamily="18" charset="0"/>
                  </a:defRPr>
                </a:pPr>
                <a:r>
                  <a:rPr lang="en-IN"/>
                  <a:t>Children</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rgbClr val="0070C0"/>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0" i="0" u="none" strike="noStrike" kern="1200" spc="0" baseline="0">
                <a:solidFill>
                  <a:srgbClr val="0070C0"/>
                </a:solidFill>
                <a:latin typeface="Times New Roman" panose="02020603050405020304" pitchFamily="18" charset="0"/>
                <a:ea typeface="+mn-ea"/>
                <a:cs typeface="Times New Roman" panose="02020603050405020304" pitchFamily="18" charset="0"/>
              </a:defRPr>
            </a:pPr>
            <a:endParaRPr lang="en-US"/>
          </a:p>
        </c:txPr>
        <c:crossAx val="724425551"/>
        <c:crosses val="autoZero"/>
        <c:auto val="1"/>
        <c:lblAlgn val="ctr"/>
        <c:lblOffset val="100"/>
        <c:noMultiLvlLbl val="0"/>
      </c:catAx>
      <c:valAx>
        <c:axId val="7244255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200" b="0" i="0" u="none" strike="noStrike" kern="1200" spc="0" baseline="0">
                    <a:solidFill>
                      <a:srgbClr val="0070C0"/>
                    </a:solidFill>
                    <a:latin typeface="Times New Roman" panose="02020603050405020304" pitchFamily="18" charset="0"/>
                    <a:ea typeface="+mn-ea"/>
                    <a:cs typeface="Times New Roman" panose="02020603050405020304" pitchFamily="18" charset="0"/>
                  </a:defRPr>
                </a:pPr>
                <a:r>
                  <a:rPr lang="en-IN"/>
                  <a:t>Average of charges</a:t>
                </a:r>
              </a:p>
            </c:rich>
          </c:tx>
          <c:overlay val="0"/>
          <c:spPr>
            <a:noFill/>
            <a:ln>
              <a:noFill/>
            </a:ln>
            <a:effectLst/>
          </c:spPr>
          <c:txPr>
            <a:bodyPr rot="-5400000" spcFirstLastPara="1" vertOverflow="ellipsis" vert="horz" wrap="square" anchor="ctr" anchorCtr="1"/>
            <a:lstStyle/>
            <a:p>
              <a:pPr>
                <a:defRPr lang="en-US" sz="1200" b="0" i="0" u="none" strike="noStrike" kern="1200" spc="0" baseline="0">
                  <a:solidFill>
                    <a:srgbClr val="0070C0"/>
                  </a:solidFill>
                  <a:latin typeface="Times New Roman" panose="02020603050405020304" pitchFamily="18" charset="0"/>
                  <a:ea typeface="+mn-ea"/>
                  <a:cs typeface="Times New Roman" panose="02020603050405020304" pitchFamily="18" charset="0"/>
                </a:defRPr>
              </a:pPr>
              <a:endParaRPr lang="en-IN"/>
            </a:p>
          </c:txPr>
        </c:title>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lang="en-US" sz="1100" b="0" i="0" u="none" strike="noStrike" kern="1200" spc="0" baseline="0">
                <a:solidFill>
                  <a:schemeClr val="tx2"/>
                </a:solidFill>
                <a:latin typeface="Times New Roman" panose="02020603050405020304" pitchFamily="18" charset="0"/>
                <a:ea typeface="+mn-ea"/>
                <a:cs typeface="Times New Roman" panose="02020603050405020304" pitchFamily="18" charset="0"/>
              </a:defRPr>
            </a:pPr>
            <a:endParaRPr lang="en-US"/>
          </a:p>
        </c:txPr>
        <c:crossAx val="724420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200" b="0" i="0" u="none" strike="noStrike" kern="1200" spc="0" baseline="0">
              <a:solidFill>
                <a:srgbClr val="0070C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rtl="0">
        <a:defRPr lang="en-US" sz="1200" b="0" i="0" u="none" strike="noStrike" kern="1200" spc="0" baseline="0">
          <a:solidFill>
            <a:srgbClr val="0070C0"/>
          </a:solidFill>
          <a:latin typeface="Times New Roman" panose="02020603050405020304" pitchFamily="18" charset="0"/>
          <a:ea typeface="+mn-ea"/>
          <a:cs typeface="Times New Roman" panose="02020603050405020304" pitchFamily="18" charset="0"/>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[healthcare_insurance_dashboard.xlsx]Sheet17!PivotTable19</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1"/>
                </a:solidFill>
              </a:rPr>
              <a:t>Average charges by BMI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dLbl>
          <c:idx val="0"/>
          <c:layout>
            <c:manualLayout>
              <c:x val="-2.7777777777777779E-3"/>
              <c:y val="9.189997083697828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dLbl>
          <c:idx val="0"/>
          <c:layout>
            <c:manualLayout>
              <c:x val="0"/>
              <c:y val="4.560367454068241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dLbl>
          <c:idx val="0"/>
          <c:layout>
            <c:manualLayout>
              <c:x val="0"/>
              <c:y val="6.375400991542638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dLbl>
          <c:idx val="0"/>
          <c:layout>
            <c:manualLayout>
              <c:x val="0"/>
              <c:y val="1.20144356955379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dLbl>
          <c:idx val="0"/>
          <c:layout>
            <c:manualLayout>
              <c:x val="-2.7777777777777779E-3"/>
              <c:y val="9.189997083697828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dLbl>
          <c:idx val="0"/>
          <c:layout>
            <c:manualLayout>
              <c:x val="0"/>
              <c:y val="4.560367454068241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dLbl>
          <c:idx val="0"/>
          <c:layout>
            <c:manualLayout>
              <c:x val="0"/>
              <c:y val="6.375400991542638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dLbl>
          <c:idx val="0"/>
          <c:layout>
            <c:manualLayout>
              <c:x val="0"/>
              <c:y val="1.20144356955379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dLbl>
          <c:idx val="0"/>
          <c:layout>
            <c:manualLayout>
              <c:x val="-2.7777777777777779E-3"/>
              <c:y val="9.189997083697828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dLbl>
          <c:idx val="0"/>
          <c:layout>
            <c:manualLayout>
              <c:x val="0"/>
              <c:y val="4.560367454068241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dLbl>
          <c:idx val="0"/>
          <c:layout>
            <c:manualLayout>
              <c:x val="0"/>
              <c:y val="6.375400991542638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dLbl>
          <c:idx val="0"/>
          <c:layout>
            <c:manualLayout>
              <c:x val="0"/>
              <c:y val="1.20144356955379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Sheet17!$B$3</c:f>
              <c:strCache>
                <c:ptCount val="1"/>
                <c:pt idx="0">
                  <c:v>Total</c:v>
                </c:pt>
              </c:strCache>
            </c:strRef>
          </c:tx>
          <c:spPr>
            <a:solidFill>
              <a:schemeClr val="accent4"/>
            </a:solidFill>
            <a:ln>
              <a:noFill/>
            </a:ln>
            <a:effectLst/>
          </c:spPr>
          <c:invertIfNegative val="0"/>
          <c:dPt>
            <c:idx val="0"/>
            <c:invertIfNegative val="0"/>
            <c:bubble3D val="0"/>
            <c:spPr>
              <a:solidFill>
                <a:schemeClr val="accent4"/>
              </a:solidFill>
              <a:ln>
                <a:noFill/>
              </a:ln>
              <a:effectLst/>
            </c:spPr>
            <c:extLst>
              <c:ext xmlns:c16="http://schemas.microsoft.com/office/drawing/2014/chart" uri="{C3380CC4-5D6E-409C-BE32-E72D297353CC}">
                <c16:uniqueId val="{00000000-C9A0-428D-9DB3-5316107AEB86}"/>
              </c:ext>
            </c:extLst>
          </c:dPt>
          <c:dPt>
            <c:idx val="1"/>
            <c:invertIfNegative val="0"/>
            <c:bubble3D val="0"/>
            <c:spPr>
              <a:solidFill>
                <a:schemeClr val="accent4"/>
              </a:solidFill>
              <a:ln>
                <a:noFill/>
              </a:ln>
              <a:effectLst/>
            </c:spPr>
            <c:extLst>
              <c:ext xmlns:c16="http://schemas.microsoft.com/office/drawing/2014/chart" uri="{C3380CC4-5D6E-409C-BE32-E72D297353CC}">
                <c16:uniqueId val="{00000001-C9A0-428D-9DB3-5316107AEB86}"/>
              </c:ext>
            </c:extLst>
          </c:dPt>
          <c:dPt>
            <c:idx val="2"/>
            <c:invertIfNegative val="0"/>
            <c:bubble3D val="0"/>
            <c:spPr>
              <a:solidFill>
                <a:schemeClr val="accent4"/>
              </a:solidFill>
              <a:ln>
                <a:noFill/>
              </a:ln>
              <a:effectLst/>
            </c:spPr>
            <c:extLst>
              <c:ext xmlns:c16="http://schemas.microsoft.com/office/drawing/2014/chart" uri="{C3380CC4-5D6E-409C-BE32-E72D297353CC}">
                <c16:uniqueId val="{00000002-C9A0-428D-9DB3-5316107AEB86}"/>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3-C9A0-428D-9DB3-5316107AEB86}"/>
              </c:ext>
            </c:extLst>
          </c:dPt>
          <c:dLbls>
            <c:dLbl>
              <c:idx val="0"/>
              <c:layout>
                <c:manualLayout>
                  <c:x val="-2.7777777777777779E-3"/>
                  <c:y val="9.189997083697828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9A0-428D-9DB3-5316107AEB86}"/>
                </c:ext>
              </c:extLst>
            </c:dLbl>
            <c:dLbl>
              <c:idx val="1"/>
              <c:layout>
                <c:manualLayout>
                  <c:x val="0"/>
                  <c:y val="4.560367454068241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9A0-428D-9DB3-5316107AEB86}"/>
                </c:ext>
              </c:extLst>
            </c:dLbl>
            <c:dLbl>
              <c:idx val="2"/>
              <c:layout>
                <c:manualLayout>
                  <c:x val="0"/>
                  <c:y val="6.375400991542638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9A0-428D-9DB3-5316107AEB86}"/>
                </c:ext>
              </c:extLst>
            </c:dLbl>
            <c:dLbl>
              <c:idx val="3"/>
              <c:layout>
                <c:manualLayout>
                  <c:x val="0"/>
                  <c:y val="1.201443569553797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9A0-428D-9DB3-5316107AEB8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Sheet17!$A$4:$A$8</c:f>
              <c:strCache>
                <c:ptCount val="4"/>
                <c:pt idx="0">
                  <c:v>Obese</c:v>
                </c:pt>
                <c:pt idx="1">
                  <c:v>Overweight</c:v>
                </c:pt>
                <c:pt idx="2">
                  <c:v>Normal</c:v>
                </c:pt>
                <c:pt idx="3">
                  <c:v>Underweight</c:v>
                </c:pt>
              </c:strCache>
            </c:strRef>
          </c:cat>
          <c:val>
            <c:numRef>
              <c:f>Sheet17!$B$4:$B$8</c:f>
              <c:numCache>
                <c:formatCode>_-[$$-409]* #,##0.00_ ;_-[$$-409]* \-#,##0.00\ ;_-[$$-409]* "-"??_ ;_-@_ </c:formatCode>
                <c:ptCount val="4"/>
                <c:pt idx="0">
                  <c:v>20964.187893541082</c:v>
                </c:pt>
                <c:pt idx="1">
                  <c:v>6162.731749919687</c:v>
                </c:pt>
                <c:pt idx="2">
                  <c:v>2447.0473602222219</c:v>
                </c:pt>
                <c:pt idx="3">
                  <c:v>1203.4331649999999</c:v>
                </c:pt>
              </c:numCache>
            </c:numRef>
          </c:val>
          <c:extLst>
            <c:ext xmlns:c16="http://schemas.microsoft.com/office/drawing/2014/chart" uri="{C3380CC4-5D6E-409C-BE32-E72D297353CC}">
              <c16:uniqueId val="{00000004-C9A0-428D-9DB3-5316107AEB86}"/>
            </c:ext>
          </c:extLst>
        </c:ser>
        <c:dLbls>
          <c:dLblPos val="inEnd"/>
          <c:showLegendKey val="0"/>
          <c:showVal val="1"/>
          <c:showCatName val="0"/>
          <c:showSerName val="0"/>
          <c:showPercent val="0"/>
          <c:showBubbleSize val="0"/>
        </c:dLbls>
        <c:gapWidth val="150"/>
        <c:axId val="848701359"/>
        <c:axId val="848702799"/>
      </c:barChart>
      <c:catAx>
        <c:axId val="8487013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BMI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702799"/>
        <c:crosses val="autoZero"/>
        <c:auto val="1"/>
        <c:lblAlgn val="ctr"/>
        <c:lblOffset val="100"/>
        <c:noMultiLvlLbl val="0"/>
      </c:catAx>
      <c:valAx>
        <c:axId val="8487027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of charges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701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rgbClr val="00B0F0"/>
                </a:solidFill>
                <a:latin typeface="+mn-lt"/>
                <a:ea typeface="+mn-ea"/>
                <a:cs typeface="+mn-cs"/>
              </a:defRPr>
            </a:pPr>
            <a:r>
              <a:rPr lang="en-US">
                <a:solidFill>
                  <a:srgbClr val="00B0F0"/>
                </a:solidFill>
              </a:rPr>
              <a:t>Age Vs Charges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rgbClr val="00B0F0"/>
              </a:solidFill>
              <a:latin typeface="+mn-lt"/>
              <a:ea typeface="+mn-ea"/>
              <a:cs typeface="+mn-cs"/>
            </a:defRPr>
          </a:pPr>
          <a:endParaRPr lang="en-US"/>
        </a:p>
      </c:txPr>
    </c:title>
    <c:autoTitleDeleted val="0"/>
    <c:plotArea>
      <c:layout/>
      <c:scatterChart>
        <c:scatterStyle val="smoothMarker"/>
        <c:varyColors val="0"/>
        <c:ser>
          <c:idx val="0"/>
          <c:order val="0"/>
          <c:tx>
            <c:strRef>
              <c:f>Sheet16!$G$1</c:f>
              <c:strCache>
                <c:ptCount val="1"/>
                <c:pt idx="0">
                  <c:v> charges </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xVal>
            <c:numRef>
              <c:f>Sheet16!$A$2:$A$1339</c:f>
              <c:numCache>
                <c:formatCode>General</c:formatCode>
                <c:ptCount val="1338"/>
                <c:pt idx="0">
                  <c:v>18</c:v>
                </c:pt>
                <c:pt idx="1">
                  <c:v>18</c:v>
                </c:pt>
                <c:pt idx="2">
                  <c:v>18</c:v>
                </c:pt>
                <c:pt idx="3">
                  <c:v>18</c:v>
                </c:pt>
                <c:pt idx="4">
                  <c:v>18</c:v>
                </c:pt>
                <c:pt idx="5">
                  <c:v>18</c:v>
                </c:pt>
                <c:pt idx="6">
                  <c:v>18</c:v>
                </c:pt>
                <c:pt idx="7">
                  <c:v>18</c:v>
                </c:pt>
                <c:pt idx="8">
                  <c:v>18</c:v>
                </c:pt>
                <c:pt idx="9">
                  <c:v>18</c:v>
                </c:pt>
                <c:pt idx="10">
                  <c:v>18</c:v>
                </c:pt>
                <c:pt idx="11">
                  <c:v>18</c:v>
                </c:pt>
                <c:pt idx="12">
                  <c:v>18</c:v>
                </c:pt>
                <c:pt idx="13">
                  <c:v>18</c:v>
                </c:pt>
                <c:pt idx="14">
                  <c:v>18</c:v>
                </c:pt>
                <c:pt idx="15">
                  <c:v>18</c:v>
                </c:pt>
                <c:pt idx="16">
                  <c:v>18</c:v>
                </c:pt>
                <c:pt idx="17">
                  <c:v>18</c:v>
                </c:pt>
                <c:pt idx="18">
                  <c:v>18</c:v>
                </c:pt>
                <c:pt idx="19">
                  <c:v>18</c:v>
                </c:pt>
                <c:pt idx="20">
                  <c:v>18</c:v>
                </c:pt>
                <c:pt idx="21">
                  <c:v>18</c:v>
                </c:pt>
                <c:pt idx="22">
                  <c:v>18</c:v>
                </c:pt>
                <c:pt idx="23">
                  <c:v>18</c:v>
                </c:pt>
                <c:pt idx="24">
                  <c:v>18</c:v>
                </c:pt>
                <c:pt idx="25">
                  <c:v>18</c:v>
                </c:pt>
                <c:pt idx="26">
                  <c:v>18</c:v>
                </c:pt>
                <c:pt idx="27">
                  <c:v>18</c:v>
                </c:pt>
                <c:pt idx="28">
                  <c:v>18</c:v>
                </c:pt>
                <c:pt idx="29">
                  <c:v>18</c:v>
                </c:pt>
                <c:pt idx="30">
                  <c:v>18</c:v>
                </c:pt>
                <c:pt idx="31">
                  <c:v>18</c:v>
                </c:pt>
                <c:pt idx="32">
                  <c:v>18</c:v>
                </c:pt>
                <c:pt idx="33">
                  <c:v>18</c:v>
                </c:pt>
                <c:pt idx="34">
                  <c:v>18</c:v>
                </c:pt>
                <c:pt idx="35">
                  <c:v>18</c:v>
                </c:pt>
                <c:pt idx="36">
                  <c:v>18</c:v>
                </c:pt>
                <c:pt idx="37">
                  <c:v>18</c:v>
                </c:pt>
                <c:pt idx="38">
                  <c:v>18</c:v>
                </c:pt>
                <c:pt idx="39">
                  <c:v>18</c:v>
                </c:pt>
                <c:pt idx="40">
                  <c:v>18</c:v>
                </c:pt>
                <c:pt idx="41">
                  <c:v>18</c:v>
                </c:pt>
                <c:pt idx="42">
                  <c:v>18</c:v>
                </c:pt>
                <c:pt idx="43">
                  <c:v>18</c:v>
                </c:pt>
                <c:pt idx="44">
                  <c:v>18</c:v>
                </c:pt>
                <c:pt idx="45">
                  <c:v>18</c:v>
                </c:pt>
                <c:pt idx="46">
                  <c:v>18</c:v>
                </c:pt>
                <c:pt idx="47">
                  <c:v>18</c:v>
                </c:pt>
                <c:pt idx="48">
                  <c:v>18</c:v>
                </c:pt>
                <c:pt idx="49">
                  <c:v>18</c:v>
                </c:pt>
                <c:pt idx="50">
                  <c:v>18</c:v>
                </c:pt>
                <c:pt idx="51">
                  <c:v>18</c:v>
                </c:pt>
                <c:pt idx="52">
                  <c:v>18</c:v>
                </c:pt>
                <c:pt idx="53">
                  <c:v>18</c:v>
                </c:pt>
                <c:pt idx="54">
                  <c:v>18</c:v>
                </c:pt>
                <c:pt idx="55">
                  <c:v>18</c:v>
                </c:pt>
                <c:pt idx="56">
                  <c:v>18</c:v>
                </c:pt>
                <c:pt idx="57">
                  <c:v>18</c:v>
                </c:pt>
                <c:pt idx="58">
                  <c:v>18</c:v>
                </c:pt>
                <c:pt idx="59">
                  <c:v>18</c:v>
                </c:pt>
                <c:pt idx="60">
                  <c:v>18</c:v>
                </c:pt>
                <c:pt idx="61">
                  <c:v>18</c:v>
                </c:pt>
                <c:pt idx="62">
                  <c:v>18</c:v>
                </c:pt>
                <c:pt idx="63">
                  <c:v>18</c:v>
                </c:pt>
                <c:pt idx="64">
                  <c:v>18</c:v>
                </c:pt>
                <c:pt idx="65">
                  <c:v>18</c:v>
                </c:pt>
                <c:pt idx="66">
                  <c:v>18</c:v>
                </c:pt>
                <c:pt idx="67">
                  <c:v>18</c:v>
                </c:pt>
                <c:pt idx="68">
                  <c:v>18</c:v>
                </c:pt>
                <c:pt idx="69">
                  <c:v>19</c:v>
                </c:pt>
                <c:pt idx="70">
                  <c:v>19</c:v>
                </c:pt>
                <c:pt idx="71">
                  <c:v>19</c:v>
                </c:pt>
                <c:pt idx="72">
                  <c:v>19</c:v>
                </c:pt>
                <c:pt idx="73">
                  <c:v>19</c:v>
                </c:pt>
                <c:pt idx="74">
                  <c:v>19</c:v>
                </c:pt>
                <c:pt idx="75">
                  <c:v>19</c:v>
                </c:pt>
                <c:pt idx="76">
                  <c:v>19</c:v>
                </c:pt>
                <c:pt idx="77">
                  <c:v>19</c:v>
                </c:pt>
                <c:pt idx="78">
                  <c:v>19</c:v>
                </c:pt>
                <c:pt idx="79">
                  <c:v>19</c:v>
                </c:pt>
                <c:pt idx="80">
                  <c:v>19</c:v>
                </c:pt>
                <c:pt idx="81">
                  <c:v>19</c:v>
                </c:pt>
                <c:pt idx="82">
                  <c:v>19</c:v>
                </c:pt>
                <c:pt idx="83">
                  <c:v>19</c:v>
                </c:pt>
                <c:pt idx="84">
                  <c:v>19</c:v>
                </c:pt>
                <c:pt idx="85">
                  <c:v>19</c:v>
                </c:pt>
                <c:pt idx="86">
                  <c:v>19</c:v>
                </c:pt>
                <c:pt idx="87">
                  <c:v>19</c:v>
                </c:pt>
                <c:pt idx="88">
                  <c:v>19</c:v>
                </c:pt>
                <c:pt idx="89">
                  <c:v>19</c:v>
                </c:pt>
                <c:pt idx="90">
                  <c:v>19</c:v>
                </c:pt>
                <c:pt idx="91">
                  <c:v>19</c:v>
                </c:pt>
                <c:pt idx="92">
                  <c:v>19</c:v>
                </c:pt>
                <c:pt idx="93">
                  <c:v>19</c:v>
                </c:pt>
                <c:pt idx="94">
                  <c:v>19</c:v>
                </c:pt>
                <c:pt idx="95">
                  <c:v>19</c:v>
                </c:pt>
                <c:pt idx="96">
                  <c:v>19</c:v>
                </c:pt>
                <c:pt idx="97">
                  <c:v>19</c:v>
                </c:pt>
                <c:pt idx="98">
                  <c:v>19</c:v>
                </c:pt>
                <c:pt idx="99">
                  <c:v>19</c:v>
                </c:pt>
                <c:pt idx="100">
                  <c:v>19</c:v>
                </c:pt>
                <c:pt idx="101">
                  <c:v>19</c:v>
                </c:pt>
                <c:pt idx="102">
                  <c:v>19</c:v>
                </c:pt>
                <c:pt idx="103">
                  <c:v>19</c:v>
                </c:pt>
                <c:pt idx="104">
                  <c:v>19</c:v>
                </c:pt>
                <c:pt idx="105">
                  <c:v>19</c:v>
                </c:pt>
                <c:pt idx="106">
                  <c:v>19</c:v>
                </c:pt>
                <c:pt idx="107">
                  <c:v>19</c:v>
                </c:pt>
                <c:pt idx="108">
                  <c:v>19</c:v>
                </c:pt>
                <c:pt idx="109">
                  <c:v>19</c:v>
                </c:pt>
                <c:pt idx="110">
                  <c:v>19</c:v>
                </c:pt>
                <c:pt idx="111">
                  <c:v>19</c:v>
                </c:pt>
                <c:pt idx="112">
                  <c:v>19</c:v>
                </c:pt>
                <c:pt idx="113">
                  <c:v>19</c:v>
                </c:pt>
                <c:pt idx="114">
                  <c:v>19</c:v>
                </c:pt>
                <c:pt idx="115">
                  <c:v>19</c:v>
                </c:pt>
                <c:pt idx="116">
                  <c:v>19</c:v>
                </c:pt>
                <c:pt idx="117">
                  <c:v>19</c:v>
                </c:pt>
                <c:pt idx="118">
                  <c:v>19</c:v>
                </c:pt>
                <c:pt idx="119">
                  <c:v>19</c:v>
                </c:pt>
                <c:pt idx="120">
                  <c:v>19</c:v>
                </c:pt>
                <c:pt idx="121">
                  <c:v>19</c:v>
                </c:pt>
                <c:pt idx="122">
                  <c:v>19</c:v>
                </c:pt>
                <c:pt idx="123">
                  <c:v>19</c:v>
                </c:pt>
                <c:pt idx="124">
                  <c:v>19</c:v>
                </c:pt>
                <c:pt idx="125">
                  <c:v>19</c:v>
                </c:pt>
                <c:pt idx="126">
                  <c:v>19</c:v>
                </c:pt>
                <c:pt idx="127">
                  <c:v>19</c:v>
                </c:pt>
                <c:pt idx="128">
                  <c:v>19</c:v>
                </c:pt>
                <c:pt idx="129">
                  <c:v>19</c:v>
                </c:pt>
                <c:pt idx="130">
                  <c:v>19</c:v>
                </c:pt>
                <c:pt idx="131">
                  <c:v>19</c:v>
                </c:pt>
                <c:pt idx="132">
                  <c:v>19</c:v>
                </c:pt>
                <c:pt idx="133">
                  <c:v>19</c:v>
                </c:pt>
                <c:pt idx="134">
                  <c:v>19</c:v>
                </c:pt>
                <c:pt idx="135">
                  <c:v>19</c:v>
                </c:pt>
                <c:pt idx="136">
                  <c:v>20</c:v>
                </c:pt>
                <c:pt idx="137">
                  <c:v>20</c:v>
                </c:pt>
                <c:pt idx="138">
                  <c:v>20</c:v>
                </c:pt>
                <c:pt idx="139">
                  <c:v>20</c:v>
                </c:pt>
                <c:pt idx="140">
                  <c:v>20</c:v>
                </c:pt>
                <c:pt idx="141">
                  <c:v>20</c:v>
                </c:pt>
                <c:pt idx="142">
                  <c:v>20</c:v>
                </c:pt>
                <c:pt idx="143">
                  <c:v>20</c:v>
                </c:pt>
                <c:pt idx="144">
                  <c:v>20</c:v>
                </c:pt>
                <c:pt idx="145">
                  <c:v>20</c:v>
                </c:pt>
                <c:pt idx="146">
                  <c:v>20</c:v>
                </c:pt>
                <c:pt idx="147">
                  <c:v>20</c:v>
                </c:pt>
                <c:pt idx="148">
                  <c:v>20</c:v>
                </c:pt>
                <c:pt idx="149">
                  <c:v>20</c:v>
                </c:pt>
                <c:pt idx="150">
                  <c:v>20</c:v>
                </c:pt>
                <c:pt idx="151">
                  <c:v>20</c:v>
                </c:pt>
                <c:pt idx="152">
                  <c:v>20</c:v>
                </c:pt>
                <c:pt idx="153">
                  <c:v>20</c:v>
                </c:pt>
                <c:pt idx="154">
                  <c:v>20</c:v>
                </c:pt>
                <c:pt idx="155">
                  <c:v>20</c:v>
                </c:pt>
                <c:pt idx="156">
                  <c:v>20</c:v>
                </c:pt>
                <c:pt idx="157">
                  <c:v>20</c:v>
                </c:pt>
                <c:pt idx="158">
                  <c:v>20</c:v>
                </c:pt>
                <c:pt idx="159">
                  <c:v>20</c:v>
                </c:pt>
                <c:pt idx="160">
                  <c:v>20</c:v>
                </c:pt>
                <c:pt idx="161">
                  <c:v>20</c:v>
                </c:pt>
                <c:pt idx="162">
                  <c:v>20</c:v>
                </c:pt>
                <c:pt idx="163">
                  <c:v>20</c:v>
                </c:pt>
                <c:pt idx="164">
                  <c:v>20</c:v>
                </c:pt>
                <c:pt idx="165">
                  <c:v>21</c:v>
                </c:pt>
                <c:pt idx="166">
                  <c:v>21</c:v>
                </c:pt>
                <c:pt idx="167">
                  <c:v>21</c:v>
                </c:pt>
                <c:pt idx="168">
                  <c:v>21</c:v>
                </c:pt>
                <c:pt idx="169">
                  <c:v>21</c:v>
                </c:pt>
                <c:pt idx="170">
                  <c:v>21</c:v>
                </c:pt>
                <c:pt idx="171">
                  <c:v>21</c:v>
                </c:pt>
                <c:pt idx="172">
                  <c:v>21</c:v>
                </c:pt>
                <c:pt idx="173">
                  <c:v>21</c:v>
                </c:pt>
                <c:pt idx="174">
                  <c:v>21</c:v>
                </c:pt>
                <c:pt idx="175">
                  <c:v>21</c:v>
                </c:pt>
                <c:pt idx="176">
                  <c:v>21</c:v>
                </c:pt>
                <c:pt idx="177">
                  <c:v>21</c:v>
                </c:pt>
                <c:pt idx="178">
                  <c:v>21</c:v>
                </c:pt>
                <c:pt idx="179">
                  <c:v>21</c:v>
                </c:pt>
                <c:pt idx="180">
                  <c:v>21</c:v>
                </c:pt>
                <c:pt idx="181">
                  <c:v>21</c:v>
                </c:pt>
                <c:pt idx="182">
                  <c:v>21</c:v>
                </c:pt>
                <c:pt idx="183">
                  <c:v>21</c:v>
                </c:pt>
                <c:pt idx="184">
                  <c:v>21</c:v>
                </c:pt>
                <c:pt idx="185">
                  <c:v>21</c:v>
                </c:pt>
                <c:pt idx="186">
                  <c:v>21</c:v>
                </c:pt>
                <c:pt idx="187">
                  <c:v>21</c:v>
                </c:pt>
                <c:pt idx="188">
                  <c:v>21</c:v>
                </c:pt>
                <c:pt idx="189">
                  <c:v>21</c:v>
                </c:pt>
                <c:pt idx="190">
                  <c:v>21</c:v>
                </c:pt>
                <c:pt idx="191">
                  <c:v>21</c:v>
                </c:pt>
                <c:pt idx="192">
                  <c:v>21</c:v>
                </c:pt>
                <c:pt idx="193">
                  <c:v>22</c:v>
                </c:pt>
                <c:pt idx="194">
                  <c:v>22</c:v>
                </c:pt>
                <c:pt idx="195">
                  <c:v>22</c:v>
                </c:pt>
                <c:pt idx="196">
                  <c:v>22</c:v>
                </c:pt>
                <c:pt idx="197">
                  <c:v>22</c:v>
                </c:pt>
                <c:pt idx="198">
                  <c:v>22</c:v>
                </c:pt>
                <c:pt idx="199">
                  <c:v>22</c:v>
                </c:pt>
                <c:pt idx="200">
                  <c:v>22</c:v>
                </c:pt>
                <c:pt idx="201">
                  <c:v>22</c:v>
                </c:pt>
                <c:pt idx="202">
                  <c:v>22</c:v>
                </c:pt>
                <c:pt idx="203">
                  <c:v>22</c:v>
                </c:pt>
                <c:pt idx="204">
                  <c:v>22</c:v>
                </c:pt>
                <c:pt idx="205">
                  <c:v>22</c:v>
                </c:pt>
                <c:pt idx="206">
                  <c:v>22</c:v>
                </c:pt>
                <c:pt idx="207">
                  <c:v>22</c:v>
                </c:pt>
                <c:pt idx="208">
                  <c:v>22</c:v>
                </c:pt>
                <c:pt idx="209">
                  <c:v>22</c:v>
                </c:pt>
                <c:pt idx="210">
                  <c:v>22</c:v>
                </c:pt>
                <c:pt idx="211">
                  <c:v>22</c:v>
                </c:pt>
                <c:pt idx="212">
                  <c:v>22</c:v>
                </c:pt>
                <c:pt idx="213">
                  <c:v>22</c:v>
                </c:pt>
                <c:pt idx="214">
                  <c:v>22</c:v>
                </c:pt>
                <c:pt idx="215">
                  <c:v>22</c:v>
                </c:pt>
                <c:pt idx="216">
                  <c:v>22</c:v>
                </c:pt>
                <c:pt idx="217">
                  <c:v>22</c:v>
                </c:pt>
                <c:pt idx="218">
                  <c:v>22</c:v>
                </c:pt>
                <c:pt idx="219">
                  <c:v>22</c:v>
                </c:pt>
                <c:pt idx="220">
                  <c:v>22</c:v>
                </c:pt>
                <c:pt idx="221">
                  <c:v>23</c:v>
                </c:pt>
                <c:pt idx="222">
                  <c:v>23</c:v>
                </c:pt>
                <c:pt idx="223">
                  <c:v>23</c:v>
                </c:pt>
                <c:pt idx="224">
                  <c:v>23</c:v>
                </c:pt>
                <c:pt idx="225">
                  <c:v>23</c:v>
                </c:pt>
                <c:pt idx="226">
                  <c:v>23</c:v>
                </c:pt>
                <c:pt idx="227">
                  <c:v>23</c:v>
                </c:pt>
                <c:pt idx="228">
                  <c:v>23</c:v>
                </c:pt>
                <c:pt idx="229">
                  <c:v>23</c:v>
                </c:pt>
                <c:pt idx="230">
                  <c:v>23</c:v>
                </c:pt>
                <c:pt idx="231">
                  <c:v>23</c:v>
                </c:pt>
                <c:pt idx="232">
                  <c:v>23</c:v>
                </c:pt>
                <c:pt idx="233">
                  <c:v>23</c:v>
                </c:pt>
                <c:pt idx="234">
                  <c:v>23</c:v>
                </c:pt>
                <c:pt idx="235">
                  <c:v>23</c:v>
                </c:pt>
                <c:pt idx="236">
                  <c:v>23</c:v>
                </c:pt>
                <c:pt idx="237">
                  <c:v>23</c:v>
                </c:pt>
                <c:pt idx="238">
                  <c:v>23</c:v>
                </c:pt>
                <c:pt idx="239">
                  <c:v>23</c:v>
                </c:pt>
                <c:pt idx="240">
                  <c:v>23</c:v>
                </c:pt>
                <c:pt idx="241">
                  <c:v>23</c:v>
                </c:pt>
                <c:pt idx="242">
                  <c:v>23</c:v>
                </c:pt>
                <c:pt idx="243">
                  <c:v>23</c:v>
                </c:pt>
                <c:pt idx="244">
                  <c:v>23</c:v>
                </c:pt>
                <c:pt idx="245">
                  <c:v>23</c:v>
                </c:pt>
                <c:pt idx="246">
                  <c:v>23</c:v>
                </c:pt>
                <c:pt idx="247">
                  <c:v>23</c:v>
                </c:pt>
                <c:pt idx="248">
                  <c:v>23</c:v>
                </c:pt>
                <c:pt idx="249">
                  <c:v>24</c:v>
                </c:pt>
                <c:pt idx="250">
                  <c:v>24</c:v>
                </c:pt>
                <c:pt idx="251">
                  <c:v>24</c:v>
                </c:pt>
                <c:pt idx="252">
                  <c:v>24</c:v>
                </c:pt>
                <c:pt idx="253">
                  <c:v>24</c:v>
                </c:pt>
                <c:pt idx="254">
                  <c:v>24</c:v>
                </c:pt>
                <c:pt idx="255">
                  <c:v>24</c:v>
                </c:pt>
                <c:pt idx="256">
                  <c:v>24</c:v>
                </c:pt>
                <c:pt idx="257">
                  <c:v>24</c:v>
                </c:pt>
                <c:pt idx="258">
                  <c:v>24</c:v>
                </c:pt>
                <c:pt idx="259">
                  <c:v>24</c:v>
                </c:pt>
                <c:pt idx="260">
                  <c:v>24</c:v>
                </c:pt>
                <c:pt idx="261">
                  <c:v>24</c:v>
                </c:pt>
                <c:pt idx="262">
                  <c:v>24</c:v>
                </c:pt>
                <c:pt idx="263">
                  <c:v>24</c:v>
                </c:pt>
                <c:pt idx="264">
                  <c:v>24</c:v>
                </c:pt>
                <c:pt idx="265">
                  <c:v>24</c:v>
                </c:pt>
                <c:pt idx="266">
                  <c:v>24</c:v>
                </c:pt>
                <c:pt idx="267">
                  <c:v>24</c:v>
                </c:pt>
                <c:pt idx="268">
                  <c:v>24</c:v>
                </c:pt>
                <c:pt idx="269">
                  <c:v>24</c:v>
                </c:pt>
                <c:pt idx="270">
                  <c:v>24</c:v>
                </c:pt>
                <c:pt idx="271">
                  <c:v>24</c:v>
                </c:pt>
                <c:pt idx="272">
                  <c:v>24</c:v>
                </c:pt>
                <c:pt idx="273">
                  <c:v>24</c:v>
                </c:pt>
                <c:pt idx="274">
                  <c:v>24</c:v>
                </c:pt>
                <c:pt idx="275">
                  <c:v>24</c:v>
                </c:pt>
                <c:pt idx="276">
                  <c:v>24</c:v>
                </c:pt>
                <c:pt idx="277">
                  <c:v>25</c:v>
                </c:pt>
                <c:pt idx="278">
                  <c:v>25</c:v>
                </c:pt>
                <c:pt idx="279">
                  <c:v>25</c:v>
                </c:pt>
                <c:pt idx="280">
                  <c:v>25</c:v>
                </c:pt>
                <c:pt idx="281">
                  <c:v>25</c:v>
                </c:pt>
                <c:pt idx="282">
                  <c:v>25</c:v>
                </c:pt>
                <c:pt idx="283">
                  <c:v>25</c:v>
                </c:pt>
                <c:pt idx="284">
                  <c:v>25</c:v>
                </c:pt>
                <c:pt idx="285">
                  <c:v>25</c:v>
                </c:pt>
                <c:pt idx="286">
                  <c:v>25</c:v>
                </c:pt>
                <c:pt idx="287">
                  <c:v>25</c:v>
                </c:pt>
                <c:pt idx="288">
                  <c:v>25</c:v>
                </c:pt>
                <c:pt idx="289">
                  <c:v>25</c:v>
                </c:pt>
                <c:pt idx="290">
                  <c:v>25</c:v>
                </c:pt>
                <c:pt idx="291">
                  <c:v>25</c:v>
                </c:pt>
                <c:pt idx="292">
                  <c:v>25</c:v>
                </c:pt>
                <c:pt idx="293">
                  <c:v>25</c:v>
                </c:pt>
                <c:pt idx="294">
                  <c:v>25</c:v>
                </c:pt>
                <c:pt idx="295">
                  <c:v>25</c:v>
                </c:pt>
                <c:pt idx="296">
                  <c:v>25</c:v>
                </c:pt>
                <c:pt idx="297">
                  <c:v>25</c:v>
                </c:pt>
                <c:pt idx="298">
                  <c:v>25</c:v>
                </c:pt>
                <c:pt idx="299">
                  <c:v>25</c:v>
                </c:pt>
                <c:pt idx="300">
                  <c:v>25</c:v>
                </c:pt>
                <c:pt idx="301">
                  <c:v>25</c:v>
                </c:pt>
                <c:pt idx="302">
                  <c:v>25</c:v>
                </c:pt>
                <c:pt idx="303">
                  <c:v>25</c:v>
                </c:pt>
                <c:pt idx="304">
                  <c:v>25</c:v>
                </c:pt>
                <c:pt idx="305">
                  <c:v>26</c:v>
                </c:pt>
                <c:pt idx="306">
                  <c:v>26</c:v>
                </c:pt>
                <c:pt idx="307">
                  <c:v>26</c:v>
                </c:pt>
                <c:pt idx="308">
                  <c:v>26</c:v>
                </c:pt>
                <c:pt idx="309">
                  <c:v>26</c:v>
                </c:pt>
                <c:pt idx="310">
                  <c:v>26</c:v>
                </c:pt>
                <c:pt idx="311">
                  <c:v>26</c:v>
                </c:pt>
                <c:pt idx="312">
                  <c:v>26</c:v>
                </c:pt>
                <c:pt idx="313">
                  <c:v>26</c:v>
                </c:pt>
                <c:pt idx="314">
                  <c:v>26</c:v>
                </c:pt>
                <c:pt idx="315">
                  <c:v>26</c:v>
                </c:pt>
                <c:pt idx="316">
                  <c:v>26</c:v>
                </c:pt>
                <c:pt idx="317">
                  <c:v>26</c:v>
                </c:pt>
                <c:pt idx="318">
                  <c:v>26</c:v>
                </c:pt>
                <c:pt idx="319">
                  <c:v>26</c:v>
                </c:pt>
                <c:pt idx="320">
                  <c:v>26</c:v>
                </c:pt>
                <c:pt idx="321">
                  <c:v>26</c:v>
                </c:pt>
                <c:pt idx="322">
                  <c:v>26</c:v>
                </c:pt>
                <c:pt idx="323">
                  <c:v>26</c:v>
                </c:pt>
                <c:pt idx="324">
                  <c:v>26</c:v>
                </c:pt>
                <c:pt idx="325">
                  <c:v>26</c:v>
                </c:pt>
                <c:pt idx="326">
                  <c:v>26</c:v>
                </c:pt>
                <c:pt idx="327">
                  <c:v>26</c:v>
                </c:pt>
                <c:pt idx="328">
                  <c:v>26</c:v>
                </c:pt>
                <c:pt idx="329">
                  <c:v>26</c:v>
                </c:pt>
                <c:pt idx="330">
                  <c:v>26</c:v>
                </c:pt>
                <c:pt idx="331">
                  <c:v>26</c:v>
                </c:pt>
                <c:pt idx="332">
                  <c:v>26</c:v>
                </c:pt>
                <c:pt idx="333">
                  <c:v>27</c:v>
                </c:pt>
                <c:pt idx="334">
                  <c:v>27</c:v>
                </c:pt>
                <c:pt idx="335">
                  <c:v>27</c:v>
                </c:pt>
                <c:pt idx="336">
                  <c:v>27</c:v>
                </c:pt>
                <c:pt idx="337">
                  <c:v>27</c:v>
                </c:pt>
                <c:pt idx="338">
                  <c:v>27</c:v>
                </c:pt>
                <c:pt idx="339">
                  <c:v>27</c:v>
                </c:pt>
                <c:pt idx="340">
                  <c:v>27</c:v>
                </c:pt>
                <c:pt idx="341">
                  <c:v>27</c:v>
                </c:pt>
                <c:pt idx="342">
                  <c:v>27</c:v>
                </c:pt>
                <c:pt idx="343">
                  <c:v>27</c:v>
                </c:pt>
                <c:pt idx="344">
                  <c:v>27</c:v>
                </c:pt>
                <c:pt idx="345">
                  <c:v>27</c:v>
                </c:pt>
                <c:pt idx="346">
                  <c:v>27</c:v>
                </c:pt>
                <c:pt idx="347">
                  <c:v>27</c:v>
                </c:pt>
                <c:pt idx="348">
                  <c:v>27</c:v>
                </c:pt>
                <c:pt idx="349">
                  <c:v>27</c:v>
                </c:pt>
                <c:pt idx="350">
                  <c:v>27</c:v>
                </c:pt>
                <c:pt idx="351">
                  <c:v>27</c:v>
                </c:pt>
                <c:pt idx="352">
                  <c:v>27</c:v>
                </c:pt>
                <c:pt idx="353">
                  <c:v>27</c:v>
                </c:pt>
                <c:pt idx="354">
                  <c:v>27</c:v>
                </c:pt>
                <c:pt idx="355">
                  <c:v>27</c:v>
                </c:pt>
                <c:pt idx="356">
                  <c:v>27</c:v>
                </c:pt>
                <c:pt idx="357">
                  <c:v>27</c:v>
                </c:pt>
                <c:pt idx="358">
                  <c:v>27</c:v>
                </c:pt>
                <c:pt idx="359">
                  <c:v>27</c:v>
                </c:pt>
                <c:pt idx="360">
                  <c:v>27</c:v>
                </c:pt>
                <c:pt idx="361">
                  <c:v>28</c:v>
                </c:pt>
                <c:pt idx="362">
                  <c:v>28</c:v>
                </c:pt>
                <c:pt idx="363">
                  <c:v>28</c:v>
                </c:pt>
                <c:pt idx="364">
                  <c:v>28</c:v>
                </c:pt>
                <c:pt idx="365">
                  <c:v>28</c:v>
                </c:pt>
                <c:pt idx="366">
                  <c:v>28</c:v>
                </c:pt>
                <c:pt idx="367">
                  <c:v>28</c:v>
                </c:pt>
                <c:pt idx="368">
                  <c:v>28</c:v>
                </c:pt>
                <c:pt idx="369">
                  <c:v>28</c:v>
                </c:pt>
                <c:pt idx="370">
                  <c:v>28</c:v>
                </c:pt>
                <c:pt idx="371">
                  <c:v>28</c:v>
                </c:pt>
                <c:pt idx="372">
                  <c:v>28</c:v>
                </c:pt>
                <c:pt idx="373">
                  <c:v>28</c:v>
                </c:pt>
                <c:pt idx="374">
                  <c:v>28</c:v>
                </c:pt>
                <c:pt idx="375">
                  <c:v>28</c:v>
                </c:pt>
                <c:pt idx="376">
                  <c:v>28</c:v>
                </c:pt>
                <c:pt idx="377">
                  <c:v>28</c:v>
                </c:pt>
                <c:pt idx="378">
                  <c:v>28</c:v>
                </c:pt>
                <c:pt idx="379">
                  <c:v>28</c:v>
                </c:pt>
                <c:pt idx="380">
                  <c:v>28</c:v>
                </c:pt>
                <c:pt idx="381">
                  <c:v>28</c:v>
                </c:pt>
                <c:pt idx="382">
                  <c:v>28</c:v>
                </c:pt>
                <c:pt idx="383">
                  <c:v>28</c:v>
                </c:pt>
                <c:pt idx="384">
                  <c:v>28</c:v>
                </c:pt>
                <c:pt idx="385">
                  <c:v>28</c:v>
                </c:pt>
                <c:pt idx="386">
                  <c:v>28</c:v>
                </c:pt>
                <c:pt idx="387">
                  <c:v>28</c:v>
                </c:pt>
                <c:pt idx="388">
                  <c:v>28</c:v>
                </c:pt>
                <c:pt idx="389">
                  <c:v>29</c:v>
                </c:pt>
                <c:pt idx="390">
                  <c:v>29</c:v>
                </c:pt>
                <c:pt idx="391">
                  <c:v>29</c:v>
                </c:pt>
                <c:pt idx="392">
                  <c:v>29</c:v>
                </c:pt>
                <c:pt idx="393">
                  <c:v>29</c:v>
                </c:pt>
                <c:pt idx="394">
                  <c:v>29</c:v>
                </c:pt>
                <c:pt idx="395">
                  <c:v>29</c:v>
                </c:pt>
                <c:pt idx="396">
                  <c:v>29</c:v>
                </c:pt>
                <c:pt idx="397">
                  <c:v>29</c:v>
                </c:pt>
                <c:pt idx="398">
                  <c:v>29</c:v>
                </c:pt>
                <c:pt idx="399">
                  <c:v>29</c:v>
                </c:pt>
                <c:pt idx="400">
                  <c:v>29</c:v>
                </c:pt>
                <c:pt idx="401">
                  <c:v>29</c:v>
                </c:pt>
                <c:pt idx="402">
                  <c:v>29</c:v>
                </c:pt>
                <c:pt idx="403">
                  <c:v>29</c:v>
                </c:pt>
                <c:pt idx="404">
                  <c:v>29</c:v>
                </c:pt>
                <c:pt idx="405">
                  <c:v>29</c:v>
                </c:pt>
                <c:pt idx="406">
                  <c:v>29</c:v>
                </c:pt>
                <c:pt idx="407">
                  <c:v>29</c:v>
                </c:pt>
                <c:pt idx="408">
                  <c:v>29</c:v>
                </c:pt>
                <c:pt idx="409">
                  <c:v>29</c:v>
                </c:pt>
                <c:pt idx="410">
                  <c:v>29</c:v>
                </c:pt>
                <c:pt idx="411">
                  <c:v>29</c:v>
                </c:pt>
                <c:pt idx="412">
                  <c:v>29</c:v>
                </c:pt>
                <c:pt idx="413">
                  <c:v>29</c:v>
                </c:pt>
                <c:pt idx="414">
                  <c:v>29</c:v>
                </c:pt>
                <c:pt idx="415">
                  <c:v>29</c:v>
                </c:pt>
                <c:pt idx="416">
                  <c:v>30</c:v>
                </c:pt>
                <c:pt idx="417">
                  <c:v>30</c:v>
                </c:pt>
                <c:pt idx="418">
                  <c:v>30</c:v>
                </c:pt>
                <c:pt idx="419">
                  <c:v>30</c:v>
                </c:pt>
                <c:pt idx="420">
                  <c:v>30</c:v>
                </c:pt>
                <c:pt idx="421">
                  <c:v>30</c:v>
                </c:pt>
                <c:pt idx="422">
                  <c:v>30</c:v>
                </c:pt>
                <c:pt idx="423">
                  <c:v>30</c:v>
                </c:pt>
                <c:pt idx="424">
                  <c:v>30</c:v>
                </c:pt>
                <c:pt idx="425">
                  <c:v>30</c:v>
                </c:pt>
                <c:pt idx="426">
                  <c:v>30</c:v>
                </c:pt>
                <c:pt idx="427">
                  <c:v>30</c:v>
                </c:pt>
                <c:pt idx="428">
                  <c:v>30</c:v>
                </c:pt>
                <c:pt idx="429">
                  <c:v>30</c:v>
                </c:pt>
                <c:pt idx="430">
                  <c:v>30</c:v>
                </c:pt>
                <c:pt idx="431">
                  <c:v>30</c:v>
                </c:pt>
                <c:pt idx="432">
                  <c:v>30</c:v>
                </c:pt>
                <c:pt idx="433">
                  <c:v>30</c:v>
                </c:pt>
                <c:pt idx="434">
                  <c:v>30</c:v>
                </c:pt>
                <c:pt idx="435">
                  <c:v>30</c:v>
                </c:pt>
                <c:pt idx="436">
                  <c:v>30</c:v>
                </c:pt>
                <c:pt idx="437">
                  <c:v>30</c:v>
                </c:pt>
                <c:pt idx="438">
                  <c:v>30</c:v>
                </c:pt>
                <c:pt idx="439">
                  <c:v>30</c:v>
                </c:pt>
                <c:pt idx="440">
                  <c:v>30</c:v>
                </c:pt>
                <c:pt idx="441">
                  <c:v>30</c:v>
                </c:pt>
                <c:pt idx="442">
                  <c:v>30</c:v>
                </c:pt>
                <c:pt idx="443">
                  <c:v>31</c:v>
                </c:pt>
                <c:pt idx="444">
                  <c:v>31</c:v>
                </c:pt>
                <c:pt idx="445">
                  <c:v>31</c:v>
                </c:pt>
                <c:pt idx="446">
                  <c:v>31</c:v>
                </c:pt>
                <c:pt idx="447">
                  <c:v>31</c:v>
                </c:pt>
                <c:pt idx="448">
                  <c:v>31</c:v>
                </c:pt>
                <c:pt idx="449">
                  <c:v>31</c:v>
                </c:pt>
                <c:pt idx="450">
                  <c:v>31</c:v>
                </c:pt>
                <c:pt idx="451">
                  <c:v>31</c:v>
                </c:pt>
                <c:pt idx="452">
                  <c:v>31</c:v>
                </c:pt>
                <c:pt idx="453">
                  <c:v>31</c:v>
                </c:pt>
                <c:pt idx="454">
                  <c:v>31</c:v>
                </c:pt>
                <c:pt idx="455">
                  <c:v>31</c:v>
                </c:pt>
                <c:pt idx="456">
                  <c:v>31</c:v>
                </c:pt>
                <c:pt idx="457">
                  <c:v>31</c:v>
                </c:pt>
                <c:pt idx="458">
                  <c:v>31</c:v>
                </c:pt>
                <c:pt idx="459">
                  <c:v>31</c:v>
                </c:pt>
                <c:pt idx="460">
                  <c:v>31</c:v>
                </c:pt>
                <c:pt idx="461">
                  <c:v>31</c:v>
                </c:pt>
                <c:pt idx="462">
                  <c:v>31</c:v>
                </c:pt>
                <c:pt idx="463">
                  <c:v>31</c:v>
                </c:pt>
                <c:pt idx="464">
                  <c:v>31</c:v>
                </c:pt>
                <c:pt idx="465">
                  <c:v>31</c:v>
                </c:pt>
                <c:pt idx="466">
                  <c:v>31</c:v>
                </c:pt>
                <c:pt idx="467">
                  <c:v>31</c:v>
                </c:pt>
                <c:pt idx="468">
                  <c:v>31</c:v>
                </c:pt>
                <c:pt idx="469">
                  <c:v>31</c:v>
                </c:pt>
                <c:pt idx="470">
                  <c:v>32</c:v>
                </c:pt>
                <c:pt idx="471">
                  <c:v>32</c:v>
                </c:pt>
                <c:pt idx="472">
                  <c:v>32</c:v>
                </c:pt>
                <c:pt idx="473">
                  <c:v>32</c:v>
                </c:pt>
                <c:pt idx="474">
                  <c:v>32</c:v>
                </c:pt>
                <c:pt idx="475">
                  <c:v>32</c:v>
                </c:pt>
                <c:pt idx="476">
                  <c:v>32</c:v>
                </c:pt>
                <c:pt idx="477">
                  <c:v>32</c:v>
                </c:pt>
                <c:pt idx="478">
                  <c:v>32</c:v>
                </c:pt>
                <c:pt idx="479">
                  <c:v>32</c:v>
                </c:pt>
                <c:pt idx="480">
                  <c:v>32</c:v>
                </c:pt>
                <c:pt idx="481">
                  <c:v>32</c:v>
                </c:pt>
                <c:pt idx="482">
                  <c:v>32</c:v>
                </c:pt>
                <c:pt idx="483">
                  <c:v>32</c:v>
                </c:pt>
                <c:pt idx="484">
                  <c:v>32</c:v>
                </c:pt>
                <c:pt idx="485">
                  <c:v>32</c:v>
                </c:pt>
                <c:pt idx="486">
                  <c:v>32</c:v>
                </c:pt>
                <c:pt idx="487">
                  <c:v>32</c:v>
                </c:pt>
                <c:pt idx="488">
                  <c:v>32</c:v>
                </c:pt>
                <c:pt idx="489">
                  <c:v>32</c:v>
                </c:pt>
                <c:pt idx="490">
                  <c:v>32</c:v>
                </c:pt>
                <c:pt idx="491">
                  <c:v>32</c:v>
                </c:pt>
                <c:pt idx="492">
                  <c:v>32</c:v>
                </c:pt>
                <c:pt idx="493">
                  <c:v>32</c:v>
                </c:pt>
                <c:pt idx="494">
                  <c:v>32</c:v>
                </c:pt>
                <c:pt idx="495">
                  <c:v>32</c:v>
                </c:pt>
                <c:pt idx="496">
                  <c:v>33</c:v>
                </c:pt>
                <c:pt idx="497">
                  <c:v>33</c:v>
                </c:pt>
                <c:pt idx="498">
                  <c:v>33</c:v>
                </c:pt>
                <c:pt idx="499">
                  <c:v>33</c:v>
                </c:pt>
                <c:pt idx="500">
                  <c:v>33</c:v>
                </c:pt>
                <c:pt idx="501">
                  <c:v>33</c:v>
                </c:pt>
                <c:pt idx="502">
                  <c:v>33</c:v>
                </c:pt>
                <c:pt idx="503">
                  <c:v>33</c:v>
                </c:pt>
                <c:pt idx="504">
                  <c:v>33</c:v>
                </c:pt>
                <c:pt idx="505">
                  <c:v>33</c:v>
                </c:pt>
                <c:pt idx="506">
                  <c:v>33</c:v>
                </c:pt>
                <c:pt idx="507">
                  <c:v>33</c:v>
                </c:pt>
                <c:pt idx="508">
                  <c:v>33</c:v>
                </c:pt>
                <c:pt idx="509">
                  <c:v>33</c:v>
                </c:pt>
                <c:pt idx="510">
                  <c:v>33</c:v>
                </c:pt>
                <c:pt idx="511">
                  <c:v>33</c:v>
                </c:pt>
                <c:pt idx="512">
                  <c:v>33</c:v>
                </c:pt>
                <c:pt idx="513">
                  <c:v>33</c:v>
                </c:pt>
                <c:pt idx="514">
                  <c:v>33</c:v>
                </c:pt>
                <c:pt idx="515">
                  <c:v>33</c:v>
                </c:pt>
                <c:pt idx="516">
                  <c:v>33</c:v>
                </c:pt>
                <c:pt idx="517">
                  <c:v>33</c:v>
                </c:pt>
                <c:pt idx="518">
                  <c:v>33</c:v>
                </c:pt>
                <c:pt idx="519">
                  <c:v>33</c:v>
                </c:pt>
                <c:pt idx="520">
                  <c:v>33</c:v>
                </c:pt>
                <c:pt idx="521">
                  <c:v>33</c:v>
                </c:pt>
                <c:pt idx="522">
                  <c:v>34</c:v>
                </c:pt>
                <c:pt idx="523">
                  <c:v>34</c:v>
                </c:pt>
                <c:pt idx="524">
                  <c:v>34</c:v>
                </c:pt>
                <c:pt idx="525">
                  <c:v>34</c:v>
                </c:pt>
                <c:pt idx="526">
                  <c:v>34</c:v>
                </c:pt>
                <c:pt idx="527">
                  <c:v>34</c:v>
                </c:pt>
                <c:pt idx="528">
                  <c:v>34</c:v>
                </c:pt>
                <c:pt idx="529">
                  <c:v>34</c:v>
                </c:pt>
                <c:pt idx="530">
                  <c:v>34</c:v>
                </c:pt>
                <c:pt idx="531">
                  <c:v>34</c:v>
                </c:pt>
                <c:pt idx="532">
                  <c:v>34</c:v>
                </c:pt>
                <c:pt idx="533">
                  <c:v>34</c:v>
                </c:pt>
                <c:pt idx="534">
                  <c:v>34</c:v>
                </c:pt>
                <c:pt idx="535">
                  <c:v>34</c:v>
                </c:pt>
                <c:pt idx="536">
                  <c:v>34</c:v>
                </c:pt>
                <c:pt idx="537">
                  <c:v>34</c:v>
                </c:pt>
                <c:pt idx="538">
                  <c:v>34</c:v>
                </c:pt>
                <c:pt idx="539">
                  <c:v>34</c:v>
                </c:pt>
                <c:pt idx="540">
                  <c:v>34</c:v>
                </c:pt>
                <c:pt idx="541">
                  <c:v>34</c:v>
                </c:pt>
                <c:pt idx="542">
                  <c:v>34</c:v>
                </c:pt>
                <c:pt idx="543">
                  <c:v>34</c:v>
                </c:pt>
                <c:pt idx="544">
                  <c:v>34</c:v>
                </c:pt>
                <c:pt idx="545">
                  <c:v>34</c:v>
                </c:pt>
                <c:pt idx="546">
                  <c:v>34</c:v>
                </c:pt>
                <c:pt idx="547">
                  <c:v>34</c:v>
                </c:pt>
                <c:pt idx="548">
                  <c:v>35</c:v>
                </c:pt>
                <c:pt idx="549">
                  <c:v>35</c:v>
                </c:pt>
                <c:pt idx="550">
                  <c:v>35</c:v>
                </c:pt>
                <c:pt idx="551">
                  <c:v>35</c:v>
                </c:pt>
                <c:pt idx="552">
                  <c:v>35</c:v>
                </c:pt>
                <c:pt idx="553">
                  <c:v>35</c:v>
                </c:pt>
                <c:pt idx="554">
                  <c:v>35</c:v>
                </c:pt>
                <c:pt idx="555">
                  <c:v>35</c:v>
                </c:pt>
                <c:pt idx="556">
                  <c:v>35</c:v>
                </c:pt>
                <c:pt idx="557">
                  <c:v>35</c:v>
                </c:pt>
                <c:pt idx="558">
                  <c:v>35</c:v>
                </c:pt>
                <c:pt idx="559">
                  <c:v>35</c:v>
                </c:pt>
                <c:pt idx="560">
                  <c:v>35</c:v>
                </c:pt>
                <c:pt idx="561">
                  <c:v>35</c:v>
                </c:pt>
                <c:pt idx="562">
                  <c:v>35</c:v>
                </c:pt>
                <c:pt idx="563">
                  <c:v>35</c:v>
                </c:pt>
                <c:pt idx="564">
                  <c:v>35</c:v>
                </c:pt>
                <c:pt idx="565">
                  <c:v>35</c:v>
                </c:pt>
                <c:pt idx="566">
                  <c:v>35</c:v>
                </c:pt>
                <c:pt idx="567">
                  <c:v>35</c:v>
                </c:pt>
                <c:pt idx="568">
                  <c:v>35</c:v>
                </c:pt>
                <c:pt idx="569">
                  <c:v>35</c:v>
                </c:pt>
                <c:pt idx="570">
                  <c:v>35</c:v>
                </c:pt>
                <c:pt idx="571">
                  <c:v>35</c:v>
                </c:pt>
                <c:pt idx="572">
                  <c:v>35</c:v>
                </c:pt>
                <c:pt idx="573">
                  <c:v>36</c:v>
                </c:pt>
                <c:pt idx="574">
                  <c:v>36</c:v>
                </c:pt>
                <c:pt idx="575">
                  <c:v>36</c:v>
                </c:pt>
                <c:pt idx="576">
                  <c:v>36</c:v>
                </c:pt>
                <c:pt idx="577">
                  <c:v>36</c:v>
                </c:pt>
                <c:pt idx="578">
                  <c:v>36</c:v>
                </c:pt>
                <c:pt idx="579">
                  <c:v>36</c:v>
                </c:pt>
                <c:pt idx="580">
                  <c:v>36</c:v>
                </c:pt>
                <c:pt idx="581">
                  <c:v>36</c:v>
                </c:pt>
                <c:pt idx="582">
                  <c:v>36</c:v>
                </c:pt>
                <c:pt idx="583">
                  <c:v>36</c:v>
                </c:pt>
                <c:pt idx="584">
                  <c:v>36</c:v>
                </c:pt>
                <c:pt idx="585">
                  <c:v>36</c:v>
                </c:pt>
                <c:pt idx="586">
                  <c:v>36</c:v>
                </c:pt>
                <c:pt idx="587">
                  <c:v>36</c:v>
                </c:pt>
                <c:pt idx="588">
                  <c:v>36</c:v>
                </c:pt>
                <c:pt idx="589">
                  <c:v>36</c:v>
                </c:pt>
                <c:pt idx="590">
                  <c:v>36</c:v>
                </c:pt>
                <c:pt idx="591">
                  <c:v>36</c:v>
                </c:pt>
                <c:pt idx="592">
                  <c:v>36</c:v>
                </c:pt>
                <c:pt idx="593">
                  <c:v>36</c:v>
                </c:pt>
                <c:pt idx="594">
                  <c:v>36</c:v>
                </c:pt>
                <c:pt idx="595">
                  <c:v>36</c:v>
                </c:pt>
                <c:pt idx="596">
                  <c:v>36</c:v>
                </c:pt>
                <c:pt idx="597">
                  <c:v>36</c:v>
                </c:pt>
                <c:pt idx="598">
                  <c:v>37</c:v>
                </c:pt>
                <c:pt idx="599">
                  <c:v>37</c:v>
                </c:pt>
                <c:pt idx="600">
                  <c:v>37</c:v>
                </c:pt>
                <c:pt idx="601">
                  <c:v>37</c:v>
                </c:pt>
                <c:pt idx="602">
                  <c:v>37</c:v>
                </c:pt>
                <c:pt idx="603">
                  <c:v>37</c:v>
                </c:pt>
                <c:pt idx="604">
                  <c:v>37</c:v>
                </c:pt>
                <c:pt idx="605">
                  <c:v>37</c:v>
                </c:pt>
                <c:pt idx="606">
                  <c:v>37</c:v>
                </c:pt>
                <c:pt idx="607">
                  <c:v>37</c:v>
                </c:pt>
                <c:pt idx="608">
                  <c:v>37</c:v>
                </c:pt>
                <c:pt idx="609">
                  <c:v>37</c:v>
                </c:pt>
                <c:pt idx="610">
                  <c:v>37</c:v>
                </c:pt>
                <c:pt idx="611">
                  <c:v>37</c:v>
                </c:pt>
                <c:pt idx="612">
                  <c:v>37</c:v>
                </c:pt>
                <c:pt idx="613">
                  <c:v>37</c:v>
                </c:pt>
                <c:pt idx="614">
                  <c:v>37</c:v>
                </c:pt>
                <c:pt idx="615">
                  <c:v>37</c:v>
                </c:pt>
                <c:pt idx="616">
                  <c:v>37</c:v>
                </c:pt>
                <c:pt idx="617">
                  <c:v>37</c:v>
                </c:pt>
                <c:pt idx="618">
                  <c:v>37</c:v>
                </c:pt>
                <c:pt idx="619">
                  <c:v>37</c:v>
                </c:pt>
                <c:pt idx="620">
                  <c:v>37</c:v>
                </c:pt>
                <c:pt idx="621">
                  <c:v>37</c:v>
                </c:pt>
                <c:pt idx="622">
                  <c:v>37</c:v>
                </c:pt>
                <c:pt idx="623">
                  <c:v>38</c:v>
                </c:pt>
                <c:pt idx="624">
                  <c:v>38</c:v>
                </c:pt>
                <c:pt idx="625">
                  <c:v>38</c:v>
                </c:pt>
                <c:pt idx="626">
                  <c:v>38</c:v>
                </c:pt>
                <c:pt idx="627">
                  <c:v>38</c:v>
                </c:pt>
                <c:pt idx="628">
                  <c:v>38</c:v>
                </c:pt>
                <c:pt idx="629">
                  <c:v>38</c:v>
                </c:pt>
                <c:pt idx="630">
                  <c:v>38</c:v>
                </c:pt>
                <c:pt idx="631">
                  <c:v>38</c:v>
                </c:pt>
                <c:pt idx="632">
                  <c:v>38</c:v>
                </c:pt>
                <c:pt idx="633">
                  <c:v>38</c:v>
                </c:pt>
                <c:pt idx="634">
                  <c:v>38</c:v>
                </c:pt>
                <c:pt idx="635">
                  <c:v>38</c:v>
                </c:pt>
                <c:pt idx="636">
                  <c:v>38</c:v>
                </c:pt>
                <c:pt idx="637">
                  <c:v>38</c:v>
                </c:pt>
                <c:pt idx="638">
                  <c:v>38</c:v>
                </c:pt>
                <c:pt idx="639">
                  <c:v>38</c:v>
                </c:pt>
                <c:pt idx="640">
                  <c:v>38</c:v>
                </c:pt>
                <c:pt idx="641">
                  <c:v>38</c:v>
                </c:pt>
                <c:pt idx="642">
                  <c:v>38</c:v>
                </c:pt>
                <c:pt idx="643">
                  <c:v>38</c:v>
                </c:pt>
                <c:pt idx="644">
                  <c:v>38</c:v>
                </c:pt>
                <c:pt idx="645">
                  <c:v>38</c:v>
                </c:pt>
                <c:pt idx="646">
                  <c:v>38</c:v>
                </c:pt>
                <c:pt idx="647">
                  <c:v>38</c:v>
                </c:pt>
                <c:pt idx="648">
                  <c:v>39</c:v>
                </c:pt>
                <c:pt idx="649">
                  <c:v>39</c:v>
                </c:pt>
                <c:pt idx="650">
                  <c:v>39</c:v>
                </c:pt>
                <c:pt idx="651">
                  <c:v>39</c:v>
                </c:pt>
                <c:pt idx="652">
                  <c:v>39</c:v>
                </c:pt>
                <c:pt idx="653">
                  <c:v>39</c:v>
                </c:pt>
                <c:pt idx="654">
                  <c:v>39</c:v>
                </c:pt>
                <c:pt idx="655">
                  <c:v>39</c:v>
                </c:pt>
                <c:pt idx="656">
                  <c:v>39</c:v>
                </c:pt>
                <c:pt idx="657">
                  <c:v>39</c:v>
                </c:pt>
                <c:pt idx="658">
                  <c:v>39</c:v>
                </c:pt>
                <c:pt idx="659">
                  <c:v>39</c:v>
                </c:pt>
                <c:pt idx="660">
                  <c:v>39</c:v>
                </c:pt>
                <c:pt idx="661">
                  <c:v>39</c:v>
                </c:pt>
                <c:pt idx="662">
                  <c:v>39</c:v>
                </c:pt>
                <c:pt idx="663">
                  <c:v>39</c:v>
                </c:pt>
                <c:pt idx="664">
                  <c:v>39</c:v>
                </c:pt>
                <c:pt idx="665">
                  <c:v>39</c:v>
                </c:pt>
                <c:pt idx="666">
                  <c:v>39</c:v>
                </c:pt>
                <c:pt idx="667">
                  <c:v>39</c:v>
                </c:pt>
                <c:pt idx="668">
                  <c:v>39</c:v>
                </c:pt>
                <c:pt idx="669">
                  <c:v>39</c:v>
                </c:pt>
                <c:pt idx="670">
                  <c:v>39</c:v>
                </c:pt>
                <c:pt idx="671">
                  <c:v>39</c:v>
                </c:pt>
                <c:pt idx="672">
                  <c:v>39</c:v>
                </c:pt>
                <c:pt idx="673">
                  <c:v>40</c:v>
                </c:pt>
                <c:pt idx="674">
                  <c:v>40</c:v>
                </c:pt>
                <c:pt idx="675">
                  <c:v>40</c:v>
                </c:pt>
                <c:pt idx="676">
                  <c:v>40</c:v>
                </c:pt>
                <c:pt idx="677">
                  <c:v>40</c:v>
                </c:pt>
                <c:pt idx="678">
                  <c:v>40</c:v>
                </c:pt>
                <c:pt idx="679">
                  <c:v>40</c:v>
                </c:pt>
                <c:pt idx="680">
                  <c:v>40</c:v>
                </c:pt>
                <c:pt idx="681">
                  <c:v>40</c:v>
                </c:pt>
                <c:pt idx="682">
                  <c:v>40</c:v>
                </c:pt>
                <c:pt idx="683">
                  <c:v>40</c:v>
                </c:pt>
                <c:pt idx="684">
                  <c:v>40</c:v>
                </c:pt>
                <c:pt idx="685">
                  <c:v>40</c:v>
                </c:pt>
                <c:pt idx="686">
                  <c:v>40</c:v>
                </c:pt>
                <c:pt idx="687">
                  <c:v>40</c:v>
                </c:pt>
                <c:pt idx="688">
                  <c:v>40</c:v>
                </c:pt>
                <c:pt idx="689">
                  <c:v>40</c:v>
                </c:pt>
                <c:pt idx="690">
                  <c:v>40</c:v>
                </c:pt>
                <c:pt idx="691">
                  <c:v>40</c:v>
                </c:pt>
                <c:pt idx="692">
                  <c:v>40</c:v>
                </c:pt>
                <c:pt idx="693">
                  <c:v>40</c:v>
                </c:pt>
                <c:pt idx="694">
                  <c:v>40</c:v>
                </c:pt>
                <c:pt idx="695">
                  <c:v>40</c:v>
                </c:pt>
                <c:pt idx="696">
                  <c:v>40</c:v>
                </c:pt>
                <c:pt idx="697">
                  <c:v>40</c:v>
                </c:pt>
                <c:pt idx="698">
                  <c:v>40</c:v>
                </c:pt>
                <c:pt idx="699">
                  <c:v>40</c:v>
                </c:pt>
                <c:pt idx="700">
                  <c:v>41</c:v>
                </c:pt>
                <c:pt idx="701">
                  <c:v>41</c:v>
                </c:pt>
                <c:pt idx="702">
                  <c:v>41</c:v>
                </c:pt>
                <c:pt idx="703">
                  <c:v>41</c:v>
                </c:pt>
                <c:pt idx="704">
                  <c:v>41</c:v>
                </c:pt>
                <c:pt idx="705">
                  <c:v>41</c:v>
                </c:pt>
                <c:pt idx="706">
                  <c:v>41</c:v>
                </c:pt>
                <c:pt idx="707">
                  <c:v>41</c:v>
                </c:pt>
                <c:pt idx="708">
                  <c:v>41</c:v>
                </c:pt>
                <c:pt idx="709">
                  <c:v>41</c:v>
                </c:pt>
                <c:pt idx="710">
                  <c:v>41</c:v>
                </c:pt>
                <c:pt idx="711">
                  <c:v>41</c:v>
                </c:pt>
                <c:pt idx="712">
                  <c:v>41</c:v>
                </c:pt>
                <c:pt idx="713">
                  <c:v>41</c:v>
                </c:pt>
                <c:pt idx="714">
                  <c:v>41</c:v>
                </c:pt>
                <c:pt idx="715">
                  <c:v>41</c:v>
                </c:pt>
                <c:pt idx="716">
                  <c:v>41</c:v>
                </c:pt>
                <c:pt idx="717">
                  <c:v>41</c:v>
                </c:pt>
                <c:pt idx="718">
                  <c:v>41</c:v>
                </c:pt>
                <c:pt idx="719">
                  <c:v>41</c:v>
                </c:pt>
                <c:pt idx="720">
                  <c:v>41</c:v>
                </c:pt>
                <c:pt idx="721">
                  <c:v>41</c:v>
                </c:pt>
                <c:pt idx="722">
                  <c:v>41</c:v>
                </c:pt>
                <c:pt idx="723">
                  <c:v>41</c:v>
                </c:pt>
                <c:pt idx="724">
                  <c:v>41</c:v>
                </c:pt>
                <c:pt idx="725">
                  <c:v>41</c:v>
                </c:pt>
                <c:pt idx="726">
                  <c:v>41</c:v>
                </c:pt>
                <c:pt idx="727">
                  <c:v>42</c:v>
                </c:pt>
                <c:pt idx="728">
                  <c:v>42</c:v>
                </c:pt>
                <c:pt idx="729">
                  <c:v>42</c:v>
                </c:pt>
                <c:pt idx="730">
                  <c:v>42</c:v>
                </c:pt>
                <c:pt idx="731">
                  <c:v>42</c:v>
                </c:pt>
                <c:pt idx="732">
                  <c:v>42</c:v>
                </c:pt>
                <c:pt idx="733">
                  <c:v>42</c:v>
                </c:pt>
                <c:pt idx="734">
                  <c:v>42</c:v>
                </c:pt>
                <c:pt idx="735">
                  <c:v>42</c:v>
                </c:pt>
                <c:pt idx="736">
                  <c:v>42</c:v>
                </c:pt>
                <c:pt idx="737">
                  <c:v>42</c:v>
                </c:pt>
                <c:pt idx="738">
                  <c:v>42</c:v>
                </c:pt>
                <c:pt idx="739">
                  <c:v>42</c:v>
                </c:pt>
                <c:pt idx="740">
                  <c:v>42</c:v>
                </c:pt>
                <c:pt idx="741">
                  <c:v>42</c:v>
                </c:pt>
                <c:pt idx="742">
                  <c:v>42</c:v>
                </c:pt>
                <c:pt idx="743">
                  <c:v>42</c:v>
                </c:pt>
                <c:pt idx="744">
                  <c:v>42</c:v>
                </c:pt>
                <c:pt idx="745">
                  <c:v>42</c:v>
                </c:pt>
                <c:pt idx="746">
                  <c:v>42</c:v>
                </c:pt>
                <c:pt idx="747">
                  <c:v>42</c:v>
                </c:pt>
                <c:pt idx="748">
                  <c:v>42</c:v>
                </c:pt>
                <c:pt idx="749">
                  <c:v>42</c:v>
                </c:pt>
                <c:pt idx="750">
                  <c:v>42</c:v>
                </c:pt>
                <c:pt idx="751">
                  <c:v>42</c:v>
                </c:pt>
                <c:pt idx="752">
                  <c:v>42</c:v>
                </c:pt>
                <c:pt idx="753">
                  <c:v>42</c:v>
                </c:pt>
                <c:pt idx="754">
                  <c:v>43</c:v>
                </c:pt>
                <c:pt idx="755">
                  <c:v>43</c:v>
                </c:pt>
                <c:pt idx="756">
                  <c:v>43</c:v>
                </c:pt>
                <c:pt idx="757">
                  <c:v>43</c:v>
                </c:pt>
                <c:pt idx="758">
                  <c:v>43</c:v>
                </c:pt>
                <c:pt idx="759">
                  <c:v>43</c:v>
                </c:pt>
                <c:pt idx="760">
                  <c:v>43</c:v>
                </c:pt>
                <c:pt idx="761">
                  <c:v>43</c:v>
                </c:pt>
                <c:pt idx="762">
                  <c:v>43</c:v>
                </c:pt>
                <c:pt idx="763">
                  <c:v>43</c:v>
                </c:pt>
                <c:pt idx="764">
                  <c:v>43</c:v>
                </c:pt>
                <c:pt idx="765">
                  <c:v>43</c:v>
                </c:pt>
                <c:pt idx="766">
                  <c:v>43</c:v>
                </c:pt>
                <c:pt idx="767">
                  <c:v>43</c:v>
                </c:pt>
                <c:pt idx="768">
                  <c:v>43</c:v>
                </c:pt>
                <c:pt idx="769">
                  <c:v>43</c:v>
                </c:pt>
                <c:pt idx="770">
                  <c:v>43</c:v>
                </c:pt>
                <c:pt idx="771">
                  <c:v>43</c:v>
                </c:pt>
                <c:pt idx="772">
                  <c:v>43</c:v>
                </c:pt>
                <c:pt idx="773">
                  <c:v>43</c:v>
                </c:pt>
                <c:pt idx="774">
                  <c:v>43</c:v>
                </c:pt>
                <c:pt idx="775">
                  <c:v>43</c:v>
                </c:pt>
                <c:pt idx="776">
                  <c:v>43</c:v>
                </c:pt>
                <c:pt idx="777">
                  <c:v>43</c:v>
                </c:pt>
                <c:pt idx="778">
                  <c:v>43</c:v>
                </c:pt>
                <c:pt idx="779">
                  <c:v>43</c:v>
                </c:pt>
                <c:pt idx="780">
                  <c:v>43</c:v>
                </c:pt>
                <c:pt idx="781">
                  <c:v>44</c:v>
                </c:pt>
                <c:pt idx="782">
                  <c:v>44</c:v>
                </c:pt>
                <c:pt idx="783">
                  <c:v>44</c:v>
                </c:pt>
                <c:pt idx="784">
                  <c:v>44</c:v>
                </c:pt>
                <c:pt idx="785">
                  <c:v>44</c:v>
                </c:pt>
                <c:pt idx="786">
                  <c:v>44</c:v>
                </c:pt>
                <c:pt idx="787">
                  <c:v>44</c:v>
                </c:pt>
                <c:pt idx="788">
                  <c:v>44</c:v>
                </c:pt>
                <c:pt idx="789">
                  <c:v>44</c:v>
                </c:pt>
                <c:pt idx="790">
                  <c:v>44</c:v>
                </c:pt>
                <c:pt idx="791">
                  <c:v>44</c:v>
                </c:pt>
                <c:pt idx="792">
                  <c:v>44</c:v>
                </c:pt>
                <c:pt idx="793">
                  <c:v>44</c:v>
                </c:pt>
                <c:pt idx="794">
                  <c:v>44</c:v>
                </c:pt>
                <c:pt idx="795">
                  <c:v>44</c:v>
                </c:pt>
                <c:pt idx="796">
                  <c:v>44</c:v>
                </c:pt>
                <c:pt idx="797">
                  <c:v>44</c:v>
                </c:pt>
                <c:pt idx="798">
                  <c:v>44</c:v>
                </c:pt>
                <c:pt idx="799">
                  <c:v>44</c:v>
                </c:pt>
                <c:pt idx="800">
                  <c:v>44</c:v>
                </c:pt>
                <c:pt idx="801">
                  <c:v>44</c:v>
                </c:pt>
                <c:pt idx="802">
                  <c:v>44</c:v>
                </c:pt>
                <c:pt idx="803">
                  <c:v>44</c:v>
                </c:pt>
                <c:pt idx="804">
                  <c:v>44</c:v>
                </c:pt>
                <c:pt idx="805">
                  <c:v>44</c:v>
                </c:pt>
                <c:pt idx="806">
                  <c:v>44</c:v>
                </c:pt>
                <c:pt idx="807">
                  <c:v>44</c:v>
                </c:pt>
                <c:pt idx="808">
                  <c:v>45</c:v>
                </c:pt>
                <c:pt idx="809">
                  <c:v>45</c:v>
                </c:pt>
                <c:pt idx="810">
                  <c:v>45</c:v>
                </c:pt>
                <c:pt idx="811">
                  <c:v>45</c:v>
                </c:pt>
                <c:pt idx="812">
                  <c:v>45</c:v>
                </c:pt>
                <c:pt idx="813">
                  <c:v>45</c:v>
                </c:pt>
                <c:pt idx="814">
                  <c:v>45</c:v>
                </c:pt>
                <c:pt idx="815">
                  <c:v>45</c:v>
                </c:pt>
                <c:pt idx="816">
                  <c:v>45</c:v>
                </c:pt>
                <c:pt idx="817">
                  <c:v>45</c:v>
                </c:pt>
                <c:pt idx="818">
                  <c:v>45</c:v>
                </c:pt>
                <c:pt idx="819">
                  <c:v>45</c:v>
                </c:pt>
                <c:pt idx="820">
                  <c:v>45</c:v>
                </c:pt>
                <c:pt idx="821">
                  <c:v>45</c:v>
                </c:pt>
                <c:pt idx="822">
                  <c:v>45</c:v>
                </c:pt>
                <c:pt idx="823">
                  <c:v>45</c:v>
                </c:pt>
                <c:pt idx="824">
                  <c:v>45</c:v>
                </c:pt>
                <c:pt idx="825">
                  <c:v>45</c:v>
                </c:pt>
                <c:pt idx="826">
                  <c:v>45</c:v>
                </c:pt>
                <c:pt idx="827">
                  <c:v>45</c:v>
                </c:pt>
                <c:pt idx="828">
                  <c:v>45</c:v>
                </c:pt>
                <c:pt idx="829">
                  <c:v>45</c:v>
                </c:pt>
                <c:pt idx="830">
                  <c:v>45</c:v>
                </c:pt>
                <c:pt idx="831">
                  <c:v>45</c:v>
                </c:pt>
                <c:pt idx="832">
                  <c:v>45</c:v>
                </c:pt>
                <c:pt idx="833">
                  <c:v>45</c:v>
                </c:pt>
                <c:pt idx="834">
                  <c:v>45</c:v>
                </c:pt>
                <c:pt idx="835">
                  <c:v>45</c:v>
                </c:pt>
                <c:pt idx="836">
                  <c:v>45</c:v>
                </c:pt>
                <c:pt idx="837">
                  <c:v>46</c:v>
                </c:pt>
                <c:pt idx="838">
                  <c:v>46</c:v>
                </c:pt>
                <c:pt idx="839">
                  <c:v>46</c:v>
                </c:pt>
                <c:pt idx="840">
                  <c:v>46</c:v>
                </c:pt>
                <c:pt idx="841">
                  <c:v>46</c:v>
                </c:pt>
                <c:pt idx="842">
                  <c:v>46</c:v>
                </c:pt>
                <c:pt idx="843">
                  <c:v>46</c:v>
                </c:pt>
                <c:pt idx="844">
                  <c:v>46</c:v>
                </c:pt>
                <c:pt idx="845">
                  <c:v>46</c:v>
                </c:pt>
                <c:pt idx="846">
                  <c:v>46</c:v>
                </c:pt>
                <c:pt idx="847">
                  <c:v>46</c:v>
                </c:pt>
                <c:pt idx="848">
                  <c:v>46</c:v>
                </c:pt>
                <c:pt idx="849">
                  <c:v>46</c:v>
                </c:pt>
                <c:pt idx="850">
                  <c:v>46</c:v>
                </c:pt>
                <c:pt idx="851">
                  <c:v>46</c:v>
                </c:pt>
                <c:pt idx="852">
                  <c:v>46</c:v>
                </c:pt>
                <c:pt idx="853">
                  <c:v>46</c:v>
                </c:pt>
                <c:pt idx="854">
                  <c:v>46</c:v>
                </c:pt>
                <c:pt idx="855">
                  <c:v>46</c:v>
                </c:pt>
                <c:pt idx="856">
                  <c:v>46</c:v>
                </c:pt>
                <c:pt idx="857">
                  <c:v>46</c:v>
                </c:pt>
                <c:pt idx="858">
                  <c:v>46</c:v>
                </c:pt>
                <c:pt idx="859">
                  <c:v>46</c:v>
                </c:pt>
                <c:pt idx="860">
                  <c:v>46</c:v>
                </c:pt>
                <c:pt idx="861">
                  <c:v>46</c:v>
                </c:pt>
                <c:pt idx="862">
                  <c:v>46</c:v>
                </c:pt>
                <c:pt idx="863">
                  <c:v>46</c:v>
                </c:pt>
                <c:pt idx="864">
                  <c:v>46</c:v>
                </c:pt>
                <c:pt idx="865">
                  <c:v>46</c:v>
                </c:pt>
                <c:pt idx="866">
                  <c:v>47</c:v>
                </c:pt>
                <c:pt idx="867">
                  <c:v>47</c:v>
                </c:pt>
                <c:pt idx="868">
                  <c:v>47</c:v>
                </c:pt>
                <c:pt idx="869">
                  <c:v>47</c:v>
                </c:pt>
                <c:pt idx="870">
                  <c:v>47</c:v>
                </c:pt>
                <c:pt idx="871">
                  <c:v>47</c:v>
                </c:pt>
                <c:pt idx="872">
                  <c:v>47</c:v>
                </c:pt>
                <c:pt idx="873">
                  <c:v>47</c:v>
                </c:pt>
                <c:pt idx="874">
                  <c:v>47</c:v>
                </c:pt>
                <c:pt idx="875">
                  <c:v>47</c:v>
                </c:pt>
                <c:pt idx="876">
                  <c:v>47</c:v>
                </c:pt>
                <c:pt idx="877">
                  <c:v>47</c:v>
                </c:pt>
                <c:pt idx="878">
                  <c:v>47</c:v>
                </c:pt>
                <c:pt idx="879">
                  <c:v>47</c:v>
                </c:pt>
                <c:pt idx="880">
                  <c:v>47</c:v>
                </c:pt>
                <c:pt idx="881">
                  <c:v>47</c:v>
                </c:pt>
                <c:pt idx="882">
                  <c:v>47</c:v>
                </c:pt>
                <c:pt idx="883">
                  <c:v>47</c:v>
                </c:pt>
                <c:pt idx="884">
                  <c:v>47</c:v>
                </c:pt>
                <c:pt idx="885">
                  <c:v>47</c:v>
                </c:pt>
                <c:pt idx="886">
                  <c:v>47</c:v>
                </c:pt>
                <c:pt idx="887">
                  <c:v>47</c:v>
                </c:pt>
                <c:pt idx="888">
                  <c:v>47</c:v>
                </c:pt>
                <c:pt idx="889">
                  <c:v>47</c:v>
                </c:pt>
                <c:pt idx="890">
                  <c:v>47</c:v>
                </c:pt>
                <c:pt idx="891">
                  <c:v>47</c:v>
                </c:pt>
                <c:pt idx="892">
                  <c:v>47</c:v>
                </c:pt>
                <c:pt idx="893">
                  <c:v>47</c:v>
                </c:pt>
                <c:pt idx="894">
                  <c:v>47</c:v>
                </c:pt>
                <c:pt idx="895">
                  <c:v>48</c:v>
                </c:pt>
                <c:pt idx="896">
                  <c:v>48</c:v>
                </c:pt>
                <c:pt idx="897">
                  <c:v>48</c:v>
                </c:pt>
                <c:pt idx="898">
                  <c:v>48</c:v>
                </c:pt>
                <c:pt idx="899">
                  <c:v>48</c:v>
                </c:pt>
                <c:pt idx="900">
                  <c:v>48</c:v>
                </c:pt>
                <c:pt idx="901">
                  <c:v>48</c:v>
                </c:pt>
                <c:pt idx="902">
                  <c:v>48</c:v>
                </c:pt>
                <c:pt idx="903">
                  <c:v>48</c:v>
                </c:pt>
                <c:pt idx="904">
                  <c:v>48</c:v>
                </c:pt>
                <c:pt idx="905">
                  <c:v>48</c:v>
                </c:pt>
                <c:pt idx="906">
                  <c:v>48</c:v>
                </c:pt>
                <c:pt idx="907">
                  <c:v>48</c:v>
                </c:pt>
                <c:pt idx="908">
                  <c:v>48</c:v>
                </c:pt>
                <c:pt idx="909">
                  <c:v>48</c:v>
                </c:pt>
                <c:pt idx="910">
                  <c:v>48</c:v>
                </c:pt>
                <c:pt idx="911">
                  <c:v>48</c:v>
                </c:pt>
                <c:pt idx="912">
                  <c:v>48</c:v>
                </c:pt>
                <c:pt idx="913">
                  <c:v>48</c:v>
                </c:pt>
                <c:pt idx="914">
                  <c:v>48</c:v>
                </c:pt>
                <c:pt idx="915">
                  <c:v>48</c:v>
                </c:pt>
                <c:pt idx="916">
                  <c:v>48</c:v>
                </c:pt>
                <c:pt idx="917">
                  <c:v>48</c:v>
                </c:pt>
                <c:pt idx="918">
                  <c:v>48</c:v>
                </c:pt>
                <c:pt idx="919">
                  <c:v>48</c:v>
                </c:pt>
                <c:pt idx="920">
                  <c:v>48</c:v>
                </c:pt>
                <c:pt idx="921">
                  <c:v>48</c:v>
                </c:pt>
                <c:pt idx="922">
                  <c:v>48</c:v>
                </c:pt>
                <c:pt idx="923">
                  <c:v>48</c:v>
                </c:pt>
                <c:pt idx="924">
                  <c:v>49</c:v>
                </c:pt>
                <c:pt idx="925">
                  <c:v>49</c:v>
                </c:pt>
                <c:pt idx="926">
                  <c:v>49</c:v>
                </c:pt>
                <c:pt idx="927">
                  <c:v>49</c:v>
                </c:pt>
                <c:pt idx="928">
                  <c:v>49</c:v>
                </c:pt>
                <c:pt idx="929">
                  <c:v>49</c:v>
                </c:pt>
                <c:pt idx="930">
                  <c:v>49</c:v>
                </c:pt>
                <c:pt idx="931">
                  <c:v>49</c:v>
                </c:pt>
                <c:pt idx="932">
                  <c:v>49</c:v>
                </c:pt>
                <c:pt idx="933">
                  <c:v>49</c:v>
                </c:pt>
                <c:pt idx="934">
                  <c:v>49</c:v>
                </c:pt>
                <c:pt idx="935">
                  <c:v>49</c:v>
                </c:pt>
                <c:pt idx="936">
                  <c:v>49</c:v>
                </c:pt>
                <c:pt idx="937">
                  <c:v>49</c:v>
                </c:pt>
                <c:pt idx="938">
                  <c:v>49</c:v>
                </c:pt>
                <c:pt idx="939">
                  <c:v>49</c:v>
                </c:pt>
                <c:pt idx="940">
                  <c:v>49</c:v>
                </c:pt>
                <c:pt idx="941">
                  <c:v>49</c:v>
                </c:pt>
                <c:pt idx="942">
                  <c:v>49</c:v>
                </c:pt>
                <c:pt idx="943">
                  <c:v>49</c:v>
                </c:pt>
                <c:pt idx="944">
                  <c:v>49</c:v>
                </c:pt>
                <c:pt idx="945">
                  <c:v>49</c:v>
                </c:pt>
                <c:pt idx="946">
                  <c:v>49</c:v>
                </c:pt>
                <c:pt idx="947">
                  <c:v>49</c:v>
                </c:pt>
                <c:pt idx="948">
                  <c:v>49</c:v>
                </c:pt>
                <c:pt idx="949">
                  <c:v>49</c:v>
                </c:pt>
                <c:pt idx="950">
                  <c:v>49</c:v>
                </c:pt>
                <c:pt idx="951">
                  <c:v>49</c:v>
                </c:pt>
                <c:pt idx="952">
                  <c:v>50</c:v>
                </c:pt>
                <c:pt idx="953">
                  <c:v>50</c:v>
                </c:pt>
                <c:pt idx="954">
                  <c:v>50</c:v>
                </c:pt>
                <c:pt idx="955">
                  <c:v>50</c:v>
                </c:pt>
                <c:pt idx="956">
                  <c:v>50</c:v>
                </c:pt>
                <c:pt idx="957">
                  <c:v>50</c:v>
                </c:pt>
                <c:pt idx="958">
                  <c:v>50</c:v>
                </c:pt>
                <c:pt idx="959">
                  <c:v>50</c:v>
                </c:pt>
                <c:pt idx="960">
                  <c:v>50</c:v>
                </c:pt>
                <c:pt idx="961">
                  <c:v>50</c:v>
                </c:pt>
                <c:pt idx="962">
                  <c:v>50</c:v>
                </c:pt>
                <c:pt idx="963">
                  <c:v>50</c:v>
                </c:pt>
                <c:pt idx="964">
                  <c:v>50</c:v>
                </c:pt>
                <c:pt idx="965">
                  <c:v>50</c:v>
                </c:pt>
                <c:pt idx="966">
                  <c:v>50</c:v>
                </c:pt>
                <c:pt idx="967">
                  <c:v>50</c:v>
                </c:pt>
                <c:pt idx="968">
                  <c:v>50</c:v>
                </c:pt>
                <c:pt idx="969">
                  <c:v>50</c:v>
                </c:pt>
                <c:pt idx="970">
                  <c:v>50</c:v>
                </c:pt>
                <c:pt idx="971">
                  <c:v>50</c:v>
                </c:pt>
                <c:pt idx="972">
                  <c:v>50</c:v>
                </c:pt>
                <c:pt idx="973">
                  <c:v>50</c:v>
                </c:pt>
                <c:pt idx="974">
                  <c:v>50</c:v>
                </c:pt>
                <c:pt idx="975">
                  <c:v>50</c:v>
                </c:pt>
                <c:pt idx="976">
                  <c:v>50</c:v>
                </c:pt>
                <c:pt idx="977">
                  <c:v>50</c:v>
                </c:pt>
                <c:pt idx="978">
                  <c:v>50</c:v>
                </c:pt>
                <c:pt idx="979">
                  <c:v>50</c:v>
                </c:pt>
                <c:pt idx="980">
                  <c:v>50</c:v>
                </c:pt>
                <c:pt idx="981">
                  <c:v>51</c:v>
                </c:pt>
                <c:pt idx="982">
                  <c:v>51</c:v>
                </c:pt>
                <c:pt idx="983">
                  <c:v>51</c:v>
                </c:pt>
                <c:pt idx="984">
                  <c:v>51</c:v>
                </c:pt>
                <c:pt idx="985">
                  <c:v>51</c:v>
                </c:pt>
                <c:pt idx="986">
                  <c:v>51</c:v>
                </c:pt>
                <c:pt idx="987">
                  <c:v>51</c:v>
                </c:pt>
                <c:pt idx="988">
                  <c:v>51</c:v>
                </c:pt>
                <c:pt idx="989">
                  <c:v>51</c:v>
                </c:pt>
                <c:pt idx="990">
                  <c:v>51</c:v>
                </c:pt>
                <c:pt idx="991">
                  <c:v>51</c:v>
                </c:pt>
                <c:pt idx="992">
                  <c:v>51</c:v>
                </c:pt>
                <c:pt idx="993">
                  <c:v>51</c:v>
                </c:pt>
                <c:pt idx="994">
                  <c:v>51</c:v>
                </c:pt>
                <c:pt idx="995">
                  <c:v>51</c:v>
                </c:pt>
                <c:pt idx="996">
                  <c:v>51</c:v>
                </c:pt>
                <c:pt idx="997">
                  <c:v>51</c:v>
                </c:pt>
                <c:pt idx="998">
                  <c:v>51</c:v>
                </c:pt>
                <c:pt idx="999">
                  <c:v>51</c:v>
                </c:pt>
                <c:pt idx="1000">
                  <c:v>51</c:v>
                </c:pt>
                <c:pt idx="1001">
                  <c:v>51</c:v>
                </c:pt>
                <c:pt idx="1002">
                  <c:v>51</c:v>
                </c:pt>
                <c:pt idx="1003">
                  <c:v>51</c:v>
                </c:pt>
                <c:pt idx="1004">
                  <c:v>51</c:v>
                </c:pt>
                <c:pt idx="1005">
                  <c:v>51</c:v>
                </c:pt>
                <c:pt idx="1006">
                  <c:v>51</c:v>
                </c:pt>
                <c:pt idx="1007">
                  <c:v>51</c:v>
                </c:pt>
                <c:pt idx="1008">
                  <c:v>51</c:v>
                </c:pt>
                <c:pt idx="1009">
                  <c:v>51</c:v>
                </c:pt>
                <c:pt idx="1010">
                  <c:v>52</c:v>
                </c:pt>
                <c:pt idx="1011">
                  <c:v>52</c:v>
                </c:pt>
                <c:pt idx="1012">
                  <c:v>52</c:v>
                </c:pt>
                <c:pt idx="1013">
                  <c:v>52</c:v>
                </c:pt>
                <c:pt idx="1014">
                  <c:v>52</c:v>
                </c:pt>
                <c:pt idx="1015">
                  <c:v>52</c:v>
                </c:pt>
                <c:pt idx="1016">
                  <c:v>52</c:v>
                </c:pt>
                <c:pt idx="1017">
                  <c:v>52</c:v>
                </c:pt>
                <c:pt idx="1018">
                  <c:v>52</c:v>
                </c:pt>
                <c:pt idx="1019">
                  <c:v>52</c:v>
                </c:pt>
                <c:pt idx="1020">
                  <c:v>52</c:v>
                </c:pt>
                <c:pt idx="1021">
                  <c:v>52</c:v>
                </c:pt>
                <c:pt idx="1022">
                  <c:v>52</c:v>
                </c:pt>
                <c:pt idx="1023">
                  <c:v>52</c:v>
                </c:pt>
                <c:pt idx="1024">
                  <c:v>52</c:v>
                </c:pt>
                <c:pt idx="1025">
                  <c:v>52</c:v>
                </c:pt>
                <c:pt idx="1026">
                  <c:v>52</c:v>
                </c:pt>
                <c:pt idx="1027">
                  <c:v>52</c:v>
                </c:pt>
                <c:pt idx="1028">
                  <c:v>52</c:v>
                </c:pt>
                <c:pt idx="1029">
                  <c:v>52</c:v>
                </c:pt>
                <c:pt idx="1030">
                  <c:v>52</c:v>
                </c:pt>
                <c:pt idx="1031">
                  <c:v>52</c:v>
                </c:pt>
                <c:pt idx="1032">
                  <c:v>52</c:v>
                </c:pt>
                <c:pt idx="1033">
                  <c:v>52</c:v>
                </c:pt>
                <c:pt idx="1034">
                  <c:v>52</c:v>
                </c:pt>
                <c:pt idx="1035">
                  <c:v>52</c:v>
                </c:pt>
                <c:pt idx="1036">
                  <c:v>52</c:v>
                </c:pt>
                <c:pt idx="1037">
                  <c:v>52</c:v>
                </c:pt>
                <c:pt idx="1038">
                  <c:v>52</c:v>
                </c:pt>
                <c:pt idx="1039">
                  <c:v>53</c:v>
                </c:pt>
                <c:pt idx="1040">
                  <c:v>53</c:v>
                </c:pt>
                <c:pt idx="1041">
                  <c:v>53</c:v>
                </c:pt>
                <c:pt idx="1042">
                  <c:v>53</c:v>
                </c:pt>
                <c:pt idx="1043">
                  <c:v>53</c:v>
                </c:pt>
                <c:pt idx="1044">
                  <c:v>53</c:v>
                </c:pt>
                <c:pt idx="1045">
                  <c:v>53</c:v>
                </c:pt>
                <c:pt idx="1046">
                  <c:v>53</c:v>
                </c:pt>
                <c:pt idx="1047">
                  <c:v>53</c:v>
                </c:pt>
                <c:pt idx="1048">
                  <c:v>53</c:v>
                </c:pt>
                <c:pt idx="1049">
                  <c:v>53</c:v>
                </c:pt>
                <c:pt idx="1050">
                  <c:v>53</c:v>
                </c:pt>
                <c:pt idx="1051">
                  <c:v>53</c:v>
                </c:pt>
                <c:pt idx="1052">
                  <c:v>53</c:v>
                </c:pt>
                <c:pt idx="1053">
                  <c:v>53</c:v>
                </c:pt>
                <c:pt idx="1054">
                  <c:v>53</c:v>
                </c:pt>
                <c:pt idx="1055">
                  <c:v>53</c:v>
                </c:pt>
                <c:pt idx="1056">
                  <c:v>53</c:v>
                </c:pt>
                <c:pt idx="1057">
                  <c:v>53</c:v>
                </c:pt>
                <c:pt idx="1058">
                  <c:v>53</c:v>
                </c:pt>
                <c:pt idx="1059">
                  <c:v>53</c:v>
                </c:pt>
                <c:pt idx="1060">
                  <c:v>53</c:v>
                </c:pt>
                <c:pt idx="1061">
                  <c:v>53</c:v>
                </c:pt>
                <c:pt idx="1062">
                  <c:v>53</c:v>
                </c:pt>
                <c:pt idx="1063">
                  <c:v>53</c:v>
                </c:pt>
                <c:pt idx="1064">
                  <c:v>53</c:v>
                </c:pt>
                <c:pt idx="1065">
                  <c:v>53</c:v>
                </c:pt>
                <c:pt idx="1066">
                  <c:v>53</c:v>
                </c:pt>
                <c:pt idx="1067">
                  <c:v>54</c:v>
                </c:pt>
                <c:pt idx="1068">
                  <c:v>54</c:v>
                </c:pt>
                <c:pt idx="1069">
                  <c:v>54</c:v>
                </c:pt>
                <c:pt idx="1070">
                  <c:v>54</c:v>
                </c:pt>
                <c:pt idx="1071">
                  <c:v>54</c:v>
                </c:pt>
                <c:pt idx="1072">
                  <c:v>54</c:v>
                </c:pt>
                <c:pt idx="1073">
                  <c:v>54</c:v>
                </c:pt>
                <c:pt idx="1074">
                  <c:v>54</c:v>
                </c:pt>
                <c:pt idx="1075">
                  <c:v>54</c:v>
                </c:pt>
                <c:pt idx="1076">
                  <c:v>54</c:v>
                </c:pt>
                <c:pt idx="1077">
                  <c:v>54</c:v>
                </c:pt>
                <c:pt idx="1078">
                  <c:v>54</c:v>
                </c:pt>
                <c:pt idx="1079">
                  <c:v>54</c:v>
                </c:pt>
                <c:pt idx="1080">
                  <c:v>54</c:v>
                </c:pt>
                <c:pt idx="1081">
                  <c:v>54</c:v>
                </c:pt>
                <c:pt idx="1082">
                  <c:v>54</c:v>
                </c:pt>
                <c:pt idx="1083">
                  <c:v>54</c:v>
                </c:pt>
                <c:pt idx="1084">
                  <c:v>54</c:v>
                </c:pt>
                <c:pt idx="1085">
                  <c:v>54</c:v>
                </c:pt>
                <c:pt idx="1086">
                  <c:v>54</c:v>
                </c:pt>
                <c:pt idx="1087">
                  <c:v>54</c:v>
                </c:pt>
                <c:pt idx="1088">
                  <c:v>54</c:v>
                </c:pt>
                <c:pt idx="1089">
                  <c:v>54</c:v>
                </c:pt>
                <c:pt idx="1090">
                  <c:v>54</c:v>
                </c:pt>
                <c:pt idx="1091">
                  <c:v>54</c:v>
                </c:pt>
                <c:pt idx="1092">
                  <c:v>54</c:v>
                </c:pt>
                <c:pt idx="1093">
                  <c:v>54</c:v>
                </c:pt>
                <c:pt idx="1094">
                  <c:v>54</c:v>
                </c:pt>
                <c:pt idx="1095">
                  <c:v>55</c:v>
                </c:pt>
                <c:pt idx="1096">
                  <c:v>55</c:v>
                </c:pt>
                <c:pt idx="1097">
                  <c:v>55</c:v>
                </c:pt>
                <c:pt idx="1098">
                  <c:v>55</c:v>
                </c:pt>
                <c:pt idx="1099">
                  <c:v>55</c:v>
                </c:pt>
                <c:pt idx="1100">
                  <c:v>55</c:v>
                </c:pt>
                <c:pt idx="1101">
                  <c:v>55</c:v>
                </c:pt>
                <c:pt idx="1102">
                  <c:v>55</c:v>
                </c:pt>
                <c:pt idx="1103">
                  <c:v>55</c:v>
                </c:pt>
                <c:pt idx="1104">
                  <c:v>55</c:v>
                </c:pt>
                <c:pt idx="1105">
                  <c:v>55</c:v>
                </c:pt>
                <c:pt idx="1106">
                  <c:v>55</c:v>
                </c:pt>
                <c:pt idx="1107">
                  <c:v>55</c:v>
                </c:pt>
                <c:pt idx="1108">
                  <c:v>55</c:v>
                </c:pt>
                <c:pt idx="1109">
                  <c:v>55</c:v>
                </c:pt>
                <c:pt idx="1110">
                  <c:v>55</c:v>
                </c:pt>
                <c:pt idx="1111">
                  <c:v>55</c:v>
                </c:pt>
                <c:pt idx="1112">
                  <c:v>55</c:v>
                </c:pt>
                <c:pt idx="1113">
                  <c:v>55</c:v>
                </c:pt>
                <c:pt idx="1114">
                  <c:v>55</c:v>
                </c:pt>
                <c:pt idx="1115">
                  <c:v>55</c:v>
                </c:pt>
                <c:pt idx="1116">
                  <c:v>55</c:v>
                </c:pt>
                <c:pt idx="1117">
                  <c:v>55</c:v>
                </c:pt>
                <c:pt idx="1118">
                  <c:v>55</c:v>
                </c:pt>
                <c:pt idx="1119">
                  <c:v>55</c:v>
                </c:pt>
                <c:pt idx="1120">
                  <c:v>55</c:v>
                </c:pt>
                <c:pt idx="1121">
                  <c:v>56</c:v>
                </c:pt>
                <c:pt idx="1122">
                  <c:v>56</c:v>
                </c:pt>
                <c:pt idx="1123">
                  <c:v>56</c:v>
                </c:pt>
                <c:pt idx="1124">
                  <c:v>56</c:v>
                </c:pt>
                <c:pt idx="1125">
                  <c:v>56</c:v>
                </c:pt>
                <c:pt idx="1126">
                  <c:v>56</c:v>
                </c:pt>
                <c:pt idx="1127">
                  <c:v>56</c:v>
                </c:pt>
                <c:pt idx="1128">
                  <c:v>56</c:v>
                </c:pt>
                <c:pt idx="1129">
                  <c:v>56</c:v>
                </c:pt>
                <c:pt idx="1130">
                  <c:v>56</c:v>
                </c:pt>
                <c:pt idx="1131">
                  <c:v>56</c:v>
                </c:pt>
                <c:pt idx="1132">
                  <c:v>56</c:v>
                </c:pt>
                <c:pt idx="1133">
                  <c:v>56</c:v>
                </c:pt>
                <c:pt idx="1134">
                  <c:v>56</c:v>
                </c:pt>
                <c:pt idx="1135">
                  <c:v>56</c:v>
                </c:pt>
                <c:pt idx="1136">
                  <c:v>56</c:v>
                </c:pt>
                <c:pt idx="1137">
                  <c:v>56</c:v>
                </c:pt>
                <c:pt idx="1138">
                  <c:v>56</c:v>
                </c:pt>
                <c:pt idx="1139">
                  <c:v>56</c:v>
                </c:pt>
                <c:pt idx="1140">
                  <c:v>56</c:v>
                </c:pt>
                <c:pt idx="1141">
                  <c:v>56</c:v>
                </c:pt>
                <c:pt idx="1142">
                  <c:v>56</c:v>
                </c:pt>
                <c:pt idx="1143">
                  <c:v>56</c:v>
                </c:pt>
                <c:pt idx="1144">
                  <c:v>56</c:v>
                </c:pt>
                <c:pt idx="1145">
                  <c:v>56</c:v>
                </c:pt>
                <c:pt idx="1146">
                  <c:v>56</c:v>
                </c:pt>
                <c:pt idx="1147">
                  <c:v>57</c:v>
                </c:pt>
                <c:pt idx="1148">
                  <c:v>57</c:v>
                </c:pt>
                <c:pt idx="1149">
                  <c:v>57</c:v>
                </c:pt>
                <c:pt idx="1150">
                  <c:v>57</c:v>
                </c:pt>
                <c:pt idx="1151">
                  <c:v>57</c:v>
                </c:pt>
                <c:pt idx="1152">
                  <c:v>57</c:v>
                </c:pt>
                <c:pt idx="1153">
                  <c:v>57</c:v>
                </c:pt>
                <c:pt idx="1154">
                  <c:v>57</c:v>
                </c:pt>
                <c:pt idx="1155">
                  <c:v>57</c:v>
                </c:pt>
                <c:pt idx="1156">
                  <c:v>57</c:v>
                </c:pt>
                <c:pt idx="1157">
                  <c:v>57</c:v>
                </c:pt>
                <c:pt idx="1158">
                  <c:v>57</c:v>
                </c:pt>
                <c:pt idx="1159">
                  <c:v>57</c:v>
                </c:pt>
                <c:pt idx="1160">
                  <c:v>57</c:v>
                </c:pt>
                <c:pt idx="1161">
                  <c:v>57</c:v>
                </c:pt>
                <c:pt idx="1162">
                  <c:v>57</c:v>
                </c:pt>
                <c:pt idx="1163">
                  <c:v>57</c:v>
                </c:pt>
                <c:pt idx="1164">
                  <c:v>57</c:v>
                </c:pt>
                <c:pt idx="1165">
                  <c:v>57</c:v>
                </c:pt>
                <c:pt idx="1166">
                  <c:v>57</c:v>
                </c:pt>
                <c:pt idx="1167">
                  <c:v>57</c:v>
                </c:pt>
                <c:pt idx="1168">
                  <c:v>57</c:v>
                </c:pt>
                <c:pt idx="1169">
                  <c:v>57</c:v>
                </c:pt>
                <c:pt idx="1170">
                  <c:v>57</c:v>
                </c:pt>
                <c:pt idx="1171">
                  <c:v>57</c:v>
                </c:pt>
                <c:pt idx="1172">
                  <c:v>57</c:v>
                </c:pt>
                <c:pt idx="1173">
                  <c:v>58</c:v>
                </c:pt>
                <c:pt idx="1174">
                  <c:v>58</c:v>
                </c:pt>
                <c:pt idx="1175">
                  <c:v>58</c:v>
                </c:pt>
                <c:pt idx="1176">
                  <c:v>58</c:v>
                </c:pt>
                <c:pt idx="1177">
                  <c:v>58</c:v>
                </c:pt>
                <c:pt idx="1178">
                  <c:v>58</c:v>
                </c:pt>
                <c:pt idx="1179">
                  <c:v>58</c:v>
                </c:pt>
                <c:pt idx="1180">
                  <c:v>58</c:v>
                </c:pt>
                <c:pt idx="1181">
                  <c:v>58</c:v>
                </c:pt>
                <c:pt idx="1182">
                  <c:v>58</c:v>
                </c:pt>
                <c:pt idx="1183">
                  <c:v>58</c:v>
                </c:pt>
                <c:pt idx="1184">
                  <c:v>58</c:v>
                </c:pt>
                <c:pt idx="1185">
                  <c:v>58</c:v>
                </c:pt>
                <c:pt idx="1186">
                  <c:v>58</c:v>
                </c:pt>
                <c:pt idx="1187">
                  <c:v>58</c:v>
                </c:pt>
                <c:pt idx="1188">
                  <c:v>58</c:v>
                </c:pt>
                <c:pt idx="1189">
                  <c:v>58</c:v>
                </c:pt>
                <c:pt idx="1190">
                  <c:v>58</c:v>
                </c:pt>
                <c:pt idx="1191">
                  <c:v>58</c:v>
                </c:pt>
                <c:pt idx="1192">
                  <c:v>58</c:v>
                </c:pt>
                <c:pt idx="1193">
                  <c:v>58</c:v>
                </c:pt>
                <c:pt idx="1194">
                  <c:v>58</c:v>
                </c:pt>
                <c:pt idx="1195">
                  <c:v>58</c:v>
                </c:pt>
                <c:pt idx="1196">
                  <c:v>58</c:v>
                </c:pt>
                <c:pt idx="1197">
                  <c:v>58</c:v>
                </c:pt>
                <c:pt idx="1198">
                  <c:v>59</c:v>
                </c:pt>
                <c:pt idx="1199">
                  <c:v>59</c:v>
                </c:pt>
                <c:pt idx="1200">
                  <c:v>59</c:v>
                </c:pt>
                <c:pt idx="1201">
                  <c:v>59</c:v>
                </c:pt>
                <c:pt idx="1202">
                  <c:v>59</c:v>
                </c:pt>
                <c:pt idx="1203">
                  <c:v>59</c:v>
                </c:pt>
                <c:pt idx="1204">
                  <c:v>59</c:v>
                </c:pt>
                <c:pt idx="1205">
                  <c:v>59</c:v>
                </c:pt>
                <c:pt idx="1206">
                  <c:v>59</c:v>
                </c:pt>
                <c:pt idx="1207">
                  <c:v>59</c:v>
                </c:pt>
                <c:pt idx="1208">
                  <c:v>59</c:v>
                </c:pt>
                <c:pt idx="1209">
                  <c:v>59</c:v>
                </c:pt>
                <c:pt idx="1210">
                  <c:v>59</c:v>
                </c:pt>
                <c:pt idx="1211">
                  <c:v>59</c:v>
                </c:pt>
                <c:pt idx="1212">
                  <c:v>59</c:v>
                </c:pt>
                <c:pt idx="1213">
                  <c:v>59</c:v>
                </c:pt>
                <c:pt idx="1214">
                  <c:v>59</c:v>
                </c:pt>
                <c:pt idx="1215">
                  <c:v>59</c:v>
                </c:pt>
                <c:pt idx="1216">
                  <c:v>59</c:v>
                </c:pt>
                <c:pt idx="1217">
                  <c:v>59</c:v>
                </c:pt>
                <c:pt idx="1218">
                  <c:v>59</c:v>
                </c:pt>
                <c:pt idx="1219">
                  <c:v>59</c:v>
                </c:pt>
                <c:pt idx="1220">
                  <c:v>59</c:v>
                </c:pt>
                <c:pt idx="1221">
                  <c:v>59</c:v>
                </c:pt>
                <c:pt idx="1222">
                  <c:v>59</c:v>
                </c:pt>
                <c:pt idx="1223">
                  <c:v>60</c:v>
                </c:pt>
                <c:pt idx="1224">
                  <c:v>60</c:v>
                </c:pt>
                <c:pt idx="1225">
                  <c:v>60</c:v>
                </c:pt>
                <c:pt idx="1226">
                  <c:v>60</c:v>
                </c:pt>
                <c:pt idx="1227">
                  <c:v>60</c:v>
                </c:pt>
                <c:pt idx="1228">
                  <c:v>60</c:v>
                </c:pt>
                <c:pt idx="1229">
                  <c:v>60</c:v>
                </c:pt>
                <c:pt idx="1230">
                  <c:v>60</c:v>
                </c:pt>
                <c:pt idx="1231">
                  <c:v>60</c:v>
                </c:pt>
                <c:pt idx="1232">
                  <c:v>60</c:v>
                </c:pt>
                <c:pt idx="1233">
                  <c:v>60</c:v>
                </c:pt>
                <c:pt idx="1234">
                  <c:v>60</c:v>
                </c:pt>
                <c:pt idx="1235">
                  <c:v>60</c:v>
                </c:pt>
                <c:pt idx="1236">
                  <c:v>60</c:v>
                </c:pt>
                <c:pt idx="1237">
                  <c:v>60</c:v>
                </c:pt>
                <c:pt idx="1238">
                  <c:v>60</c:v>
                </c:pt>
                <c:pt idx="1239">
                  <c:v>60</c:v>
                </c:pt>
                <c:pt idx="1240">
                  <c:v>60</c:v>
                </c:pt>
                <c:pt idx="1241">
                  <c:v>60</c:v>
                </c:pt>
                <c:pt idx="1242">
                  <c:v>60</c:v>
                </c:pt>
                <c:pt idx="1243">
                  <c:v>60</c:v>
                </c:pt>
                <c:pt idx="1244">
                  <c:v>60</c:v>
                </c:pt>
                <c:pt idx="1245">
                  <c:v>60</c:v>
                </c:pt>
                <c:pt idx="1246">
                  <c:v>61</c:v>
                </c:pt>
                <c:pt idx="1247">
                  <c:v>61</c:v>
                </c:pt>
                <c:pt idx="1248">
                  <c:v>61</c:v>
                </c:pt>
                <c:pt idx="1249">
                  <c:v>61</c:v>
                </c:pt>
                <c:pt idx="1250">
                  <c:v>61</c:v>
                </c:pt>
                <c:pt idx="1251">
                  <c:v>61</c:v>
                </c:pt>
                <c:pt idx="1252">
                  <c:v>61</c:v>
                </c:pt>
                <c:pt idx="1253">
                  <c:v>61</c:v>
                </c:pt>
                <c:pt idx="1254">
                  <c:v>61</c:v>
                </c:pt>
                <c:pt idx="1255">
                  <c:v>61</c:v>
                </c:pt>
                <c:pt idx="1256">
                  <c:v>61</c:v>
                </c:pt>
                <c:pt idx="1257">
                  <c:v>61</c:v>
                </c:pt>
                <c:pt idx="1258">
                  <c:v>61</c:v>
                </c:pt>
                <c:pt idx="1259">
                  <c:v>61</c:v>
                </c:pt>
                <c:pt idx="1260">
                  <c:v>61</c:v>
                </c:pt>
                <c:pt idx="1261">
                  <c:v>61</c:v>
                </c:pt>
                <c:pt idx="1262">
                  <c:v>61</c:v>
                </c:pt>
                <c:pt idx="1263">
                  <c:v>61</c:v>
                </c:pt>
                <c:pt idx="1264">
                  <c:v>61</c:v>
                </c:pt>
                <c:pt idx="1265">
                  <c:v>61</c:v>
                </c:pt>
                <c:pt idx="1266">
                  <c:v>61</c:v>
                </c:pt>
                <c:pt idx="1267">
                  <c:v>61</c:v>
                </c:pt>
                <c:pt idx="1268">
                  <c:v>61</c:v>
                </c:pt>
                <c:pt idx="1269">
                  <c:v>62</c:v>
                </c:pt>
                <c:pt idx="1270">
                  <c:v>62</c:v>
                </c:pt>
                <c:pt idx="1271">
                  <c:v>62</c:v>
                </c:pt>
                <c:pt idx="1272">
                  <c:v>62</c:v>
                </c:pt>
                <c:pt idx="1273">
                  <c:v>62</c:v>
                </c:pt>
                <c:pt idx="1274">
                  <c:v>62</c:v>
                </c:pt>
                <c:pt idx="1275">
                  <c:v>62</c:v>
                </c:pt>
                <c:pt idx="1276">
                  <c:v>62</c:v>
                </c:pt>
                <c:pt idx="1277">
                  <c:v>62</c:v>
                </c:pt>
                <c:pt idx="1278">
                  <c:v>62</c:v>
                </c:pt>
                <c:pt idx="1279">
                  <c:v>62</c:v>
                </c:pt>
                <c:pt idx="1280">
                  <c:v>62</c:v>
                </c:pt>
                <c:pt idx="1281">
                  <c:v>62</c:v>
                </c:pt>
                <c:pt idx="1282">
                  <c:v>62</c:v>
                </c:pt>
                <c:pt idx="1283">
                  <c:v>62</c:v>
                </c:pt>
                <c:pt idx="1284">
                  <c:v>62</c:v>
                </c:pt>
                <c:pt idx="1285">
                  <c:v>62</c:v>
                </c:pt>
                <c:pt idx="1286">
                  <c:v>62</c:v>
                </c:pt>
                <c:pt idx="1287">
                  <c:v>62</c:v>
                </c:pt>
                <c:pt idx="1288">
                  <c:v>62</c:v>
                </c:pt>
                <c:pt idx="1289">
                  <c:v>62</c:v>
                </c:pt>
                <c:pt idx="1290">
                  <c:v>62</c:v>
                </c:pt>
                <c:pt idx="1291">
                  <c:v>62</c:v>
                </c:pt>
                <c:pt idx="1292">
                  <c:v>63</c:v>
                </c:pt>
                <c:pt idx="1293">
                  <c:v>63</c:v>
                </c:pt>
                <c:pt idx="1294">
                  <c:v>63</c:v>
                </c:pt>
                <c:pt idx="1295">
                  <c:v>63</c:v>
                </c:pt>
                <c:pt idx="1296">
                  <c:v>63</c:v>
                </c:pt>
                <c:pt idx="1297">
                  <c:v>63</c:v>
                </c:pt>
                <c:pt idx="1298">
                  <c:v>63</c:v>
                </c:pt>
                <c:pt idx="1299">
                  <c:v>63</c:v>
                </c:pt>
                <c:pt idx="1300">
                  <c:v>63</c:v>
                </c:pt>
                <c:pt idx="1301">
                  <c:v>63</c:v>
                </c:pt>
                <c:pt idx="1302">
                  <c:v>63</c:v>
                </c:pt>
                <c:pt idx="1303">
                  <c:v>63</c:v>
                </c:pt>
                <c:pt idx="1304">
                  <c:v>63</c:v>
                </c:pt>
                <c:pt idx="1305">
                  <c:v>63</c:v>
                </c:pt>
                <c:pt idx="1306">
                  <c:v>63</c:v>
                </c:pt>
                <c:pt idx="1307">
                  <c:v>63</c:v>
                </c:pt>
                <c:pt idx="1308">
                  <c:v>63</c:v>
                </c:pt>
                <c:pt idx="1309">
                  <c:v>63</c:v>
                </c:pt>
                <c:pt idx="1310">
                  <c:v>63</c:v>
                </c:pt>
                <c:pt idx="1311">
                  <c:v>63</c:v>
                </c:pt>
                <c:pt idx="1312">
                  <c:v>63</c:v>
                </c:pt>
                <c:pt idx="1313">
                  <c:v>63</c:v>
                </c:pt>
                <c:pt idx="1314">
                  <c:v>63</c:v>
                </c:pt>
                <c:pt idx="1315">
                  <c:v>64</c:v>
                </c:pt>
                <c:pt idx="1316">
                  <c:v>64</c:v>
                </c:pt>
                <c:pt idx="1317">
                  <c:v>64</c:v>
                </c:pt>
                <c:pt idx="1318">
                  <c:v>64</c:v>
                </c:pt>
                <c:pt idx="1319">
                  <c:v>64</c:v>
                </c:pt>
                <c:pt idx="1320">
                  <c:v>64</c:v>
                </c:pt>
                <c:pt idx="1321">
                  <c:v>64</c:v>
                </c:pt>
                <c:pt idx="1322">
                  <c:v>64</c:v>
                </c:pt>
                <c:pt idx="1323">
                  <c:v>64</c:v>
                </c:pt>
                <c:pt idx="1324">
                  <c:v>64</c:v>
                </c:pt>
                <c:pt idx="1325">
                  <c:v>64</c:v>
                </c:pt>
                <c:pt idx="1326">
                  <c:v>64</c:v>
                </c:pt>
                <c:pt idx="1327">
                  <c:v>64</c:v>
                </c:pt>
                <c:pt idx="1328">
                  <c:v>64</c:v>
                </c:pt>
                <c:pt idx="1329">
                  <c:v>64</c:v>
                </c:pt>
                <c:pt idx="1330">
                  <c:v>64</c:v>
                </c:pt>
                <c:pt idx="1331">
                  <c:v>64</c:v>
                </c:pt>
                <c:pt idx="1332">
                  <c:v>64</c:v>
                </c:pt>
                <c:pt idx="1333">
                  <c:v>64</c:v>
                </c:pt>
                <c:pt idx="1334">
                  <c:v>64</c:v>
                </c:pt>
                <c:pt idx="1335">
                  <c:v>64</c:v>
                </c:pt>
                <c:pt idx="1336">
                  <c:v>64</c:v>
                </c:pt>
              </c:numCache>
            </c:numRef>
          </c:xVal>
          <c:yVal>
            <c:numRef>
              <c:f>Sheet16!$G$2:$G$1339</c:f>
              <c:numCache>
                <c:formatCode>_-[$$-409]* #,##0.00_ ;_-[$$-409]* \-#,##0.00\ ;_-[$$-409]* "-"??_ ;_-@_ </c:formatCode>
                <c:ptCount val="1338"/>
                <c:pt idx="0">
                  <c:v>1121.8739</c:v>
                </c:pt>
                <c:pt idx="1">
                  <c:v>1131.5065999999999</c:v>
                </c:pt>
                <c:pt idx="2">
                  <c:v>1135.9407000000001</c:v>
                </c:pt>
                <c:pt idx="3">
                  <c:v>1136.3994</c:v>
                </c:pt>
                <c:pt idx="4">
                  <c:v>1137.011</c:v>
                </c:pt>
                <c:pt idx="5">
                  <c:v>1137.4697000000001</c:v>
                </c:pt>
                <c:pt idx="6">
                  <c:v>1141.4450999999999</c:v>
                </c:pt>
                <c:pt idx="7">
                  <c:v>1146.7965999999999</c:v>
                </c:pt>
                <c:pt idx="8">
                  <c:v>1149.3959</c:v>
                </c:pt>
                <c:pt idx="9">
                  <c:v>1163.4627</c:v>
                </c:pt>
                <c:pt idx="10">
                  <c:v>1241.5650000000001</c:v>
                </c:pt>
                <c:pt idx="11">
                  <c:v>1242.26</c:v>
                </c:pt>
                <c:pt idx="12">
                  <c:v>1242.816</c:v>
                </c:pt>
                <c:pt idx="13">
                  <c:v>1252.4069999999999</c:v>
                </c:pt>
                <c:pt idx="14">
                  <c:v>1253.9359999999999</c:v>
                </c:pt>
                <c:pt idx="15">
                  <c:v>1256.299</c:v>
                </c:pt>
                <c:pt idx="16">
                  <c:v>1261.442</c:v>
                </c:pt>
                <c:pt idx="17">
                  <c:v>1261.8589999999999</c:v>
                </c:pt>
                <c:pt idx="18">
                  <c:v>1263.249</c:v>
                </c:pt>
                <c:pt idx="19">
                  <c:v>1391.5287000000001</c:v>
                </c:pt>
                <c:pt idx="20">
                  <c:v>1515.3449000000001</c:v>
                </c:pt>
                <c:pt idx="21">
                  <c:v>1526.3119999999999</c:v>
                </c:pt>
                <c:pt idx="22">
                  <c:v>1532.4697000000001</c:v>
                </c:pt>
                <c:pt idx="23">
                  <c:v>1534.3045</c:v>
                </c:pt>
                <c:pt idx="24">
                  <c:v>1607.5101</c:v>
                </c:pt>
                <c:pt idx="25">
                  <c:v>1615.7666999999999</c:v>
                </c:pt>
                <c:pt idx="26">
                  <c:v>1621.3402000000001</c:v>
                </c:pt>
                <c:pt idx="27">
                  <c:v>1621.8827000000001</c:v>
                </c:pt>
                <c:pt idx="28">
                  <c:v>1622.1885</c:v>
                </c:pt>
                <c:pt idx="29">
                  <c:v>1625.4337499999999</c:v>
                </c:pt>
                <c:pt idx="30">
                  <c:v>1627.2824499999999</c:v>
                </c:pt>
                <c:pt idx="31">
                  <c:v>1628.4709</c:v>
                </c:pt>
                <c:pt idx="32">
                  <c:v>1629.8335</c:v>
                </c:pt>
                <c:pt idx="33">
                  <c:v>1631.6683</c:v>
                </c:pt>
                <c:pt idx="34">
                  <c:v>1631.8212000000001</c:v>
                </c:pt>
                <c:pt idx="35">
                  <c:v>1632.0362500000001</c:v>
                </c:pt>
                <c:pt idx="36">
                  <c:v>1632.5644500000001</c:v>
                </c:pt>
                <c:pt idx="37">
                  <c:v>1633.0444</c:v>
                </c:pt>
                <c:pt idx="38">
                  <c:v>1633.9618</c:v>
                </c:pt>
                <c:pt idx="39">
                  <c:v>1634.5734</c:v>
                </c:pt>
                <c:pt idx="40">
                  <c:v>1635.7336499999999</c:v>
                </c:pt>
                <c:pt idx="41">
                  <c:v>1639.5631000000001</c:v>
                </c:pt>
                <c:pt idx="42">
                  <c:v>1646.4296999999999</c:v>
                </c:pt>
                <c:pt idx="43">
                  <c:v>1664.9996000000001</c:v>
                </c:pt>
                <c:pt idx="44">
                  <c:v>1674.6323</c:v>
                </c:pt>
                <c:pt idx="45">
                  <c:v>1682.597</c:v>
                </c:pt>
                <c:pt idx="46">
                  <c:v>1694.7963999999999</c:v>
                </c:pt>
                <c:pt idx="47">
                  <c:v>1702.4553000000001</c:v>
                </c:pt>
                <c:pt idx="48">
                  <c:v>1704.5681</c:v>
                </c:pt>
                <c:pt idx="49">
                  <c:v>1704.7001499999999</c:v>
                </c:pt>
                <c:pt idx="50">
                  <c:v>1705.6244999999999</c:v>
                </c:pt>
                <c:pt idx="51">
                  <c:v>1708.0014000000001</c:v>
                </c:pt>
                <c:pt idx="52">
                  <c:v>1708.9257500000001</c:v>
                </c:pt>
                <c:pt idx="53">
                  <c:v>1711.0268000000001</c:v>
                </c:pt>
                <c:pt idx="54">
                  <c:v>1712.2270000000001</c:v>
                </c:pt>
                <c:pt idx="55">
                  <c:v>1719.4363000000001</c:v>
                </c:pt>
                <c:pt idx="56">
                  <c:v>1720.3536999999999</c:v>
                </c:pt>
                <c:pt idx="57">
                  <c:v>1725.5523000000001</c:v>
                </c:pt>
                <c:pt idx="58">
                  <c:v>1727.54</c:v>
                </c:pt>
                <c:pt idx="59">
                  <c:v>1727.7850000000001</c:v>
                </c:pt>
                <c:pt idx="60">
                  <c:v>1728.8969999999999</c:v>
                </c:pt>
                <c:pt idx="61">
                  <c:v>1731.6769999999999</c:v>
                </c:pt>
                <c:pt idx="62">
                  <c:v>1737.376</c:v>
                </c:pt>
                <c:pt idx="63">
                  <c:v>1743.2139999999999</c:v>
                </c:pt>
                <c:pt idx="64">
                  <c:v>1744.4649999999999</c:v>
                </c:pt>
                <c:pt idx="65">
                  <c:v>1748.7739999999999</c:v>
                </c:pt>
                <c:pt idx="66">
                  <c:v>1759.338</c:v>
                </c:pt>
                <c:pt idx="67">
                  <c:v>1769.5316499999999</c:v>
                </c:pt>
                <c:pt idx="68">
                  <c:v>1815.8759</c:v>
                </c:pt>
                <c:pt idx="69">
                  <c:v>1824.2854</c:v>
                </c:pt>
                <c:pt idx="70">
                  <c:v>1826.8430000000001</c:v>
                </c:pt>
                <c:pt idx="71">
                  <c:v>1832.0940000000001</c:v>
                </c:pt>
                <c:pt idx="72">
                  <c:v>1837.2370000000001</c:v>
                </c:pt>
                <c:pt idx="73">
                  <c:v>1837.2819</c:v>
                </c:pt>
                <c:pt idx="74">
                  <c:v>1842.519</c:v>
                </c:pt>
                <c:pt idx="75">
                  <c:v>1875.3440000000001</c:v>
                </c:pt>
                <c:pt idx="76">
                  <c:v>1877.9294</c:v>
                </c:pt>
                <c:pt idx="77">
                  <c:v>1880.07</c:v>
                </c:pt>
                <c:pt idx="78">
                  <c:v>1880.4870000000001</c:v>
                </c:pt>
                <c:pt idx="79">
                  <c:v>1906.35825</c:v>
                </c:pt>
                <c:pt idx="80">
                  <c:v>1909.52745</c:v>
                </c:pt>
                <c:pt idx="81">
                  <c:v>1917.3184000000001</c:v>
                </c:pt>
                <c:pt idx="82">
                  <c:v>1964.78</c:v>
                </c:pt>
                <c:pt idx="83">
                  <c:v>1967.0227</c:v>
                </c:pt>
                <c:pt idx="84">
                  <c:v>1969.614</c:v>
                </c:pt>
                <c:pt idx="85">
                  <c:v>1972.95</c:v>
                </c:pt>
                <c:pt idx="86">
                  <c:v>1977.8150000000001</c:v>
                </c:pt>
                <c:pt idx="87">
                  <c:v>1980.07</c:v>
                </c:pt>
                <c:pt idx="88">
                  <c:v>1981.5818999999999</c:v>
                </c:pt>
                <c:pt idx="89">
                  <c:v>1984.4532999999999</c:v>
                </c:pt>
                <c:pt idx="90">
                  <c:v>1986.9333999999999</c:v>
                </c:pt>
                <c:pt idx="91">
                  <c:v>2007.9449999999999</c:v>
                </c:pt>
                <c:pt idx="92">
                  <c:v>2020.1769999999999</c:v>
                </c:pt>
                <c:pt idx="93">
                  <c:v>2020.5523000000001</c:v>
                </c:pt>
                <c:pt idx="94">
                  <c:v>2026.9740999999999</c:v>
                </c:pt>
                <c:pt idx="95">
                  <c:v>2045.68525</c:v>
                </c:pt>
                <c:pt idx="96">
                  <c:v>2055.3249000000001</c:v>
                </c:pt>
                <c:pt idx="97">
                  <c:v>2102.2647000000002</c:v>
                </c:pt>
                <c:pt idx="98">
                  <c:v>2103.08</c:v>
                </c:pt>
                <c:pt idx="99">
                  <c:v>2104.1134000000002</c:v>
                </c:pt>
                <c:pt idx="100">
                  <c:v>2117.3388500000001</c:v>
                </c:pt>
                <c:pt idx="101">
                  <c:v>2128.4310500000001</c:v>
                </c:pt>
                <c:pt idx="102">
                  <c:v>2130.6759000000002</c:v>
                </c:pt>
                <c:pt idx="103">
                  <c:v>2134.9014999999999</c:v>
                </c:pt>
                <c:pt idx="104">
                  <c:v>2136.8822500000001</c:v>
                </c:pt>
                <c:pt idx="105">
                  <c:v>2137.6536000000001</c:v>
                </c:pt>
                <c:pt idx="106">
                  <c:v>2138.0707000000002</c:v>
                </c:pt>
                <c:pt idx="107">
                  <c:v>2150.4690000000001</c:v>
                </c:pt>
                <c:pt idx="108">
                  <c:v>2154.3609999999999</c:v>
                </c:pt>
                <c:pt idx="109">
                  <c:v>2155.6815000000001</c:v>
                </c:pt>
                <c:pt idx="110">
                  <c:v>2156.7518</c:v>
                </c:pt>
                <c:pt idx="111">
                  <c:v>2166.732</c:v>
                </c:pt>
                <c:pt idx="112">
                  <c:v>2196.4731999999999</c:v>
                </c:pt>
                <c:pt idx="113">
                  <c:v>2198.1898500000002</c:v>
                </c:pt>
                <c:pt idx="114">
                  <c:v>2200.8308499999998</c:v>
                </c:pt>
                <c:pt idx="115">
                  <c:v>2201.0971</c:v>
                </c:pt>
                <c:pt idx="116">
                  <c:v>2203.4718499999999</c:v>
                </c:pt>
                <c:pt idx="117">
                  <c:v>2203.7359499999998</c:v>
                </c:pt>
                <c:pt idx="118">
                  <c:v>2205.9807999999998</c:v>
                </c:pt>
                <c:pt idx="119">
                  <c:v>2207.6974500000001</c:v>
                </c:pt>
                <c:pt idx="120">
                  <c:v>2211.1307499999998</c:v>
                </c:pt>
                <c:pt idx="121">
                  <c:v>2217.4691499999999</c:v>
                </c:pt>
                <c:pt idx="122">
                  <c:v>2217.6012000000001</c:v>
                </c:pt>
                <c:pt idx="123">
                  <c:v>2219.4450999999999</c:v>
                </c:pt>
                <c:pt idx="124">
                  <c:v>2221.5644499999999</c:v>
                </c:pt>
                <c:pt idx="125">
                  <c:v>2250.8352</c:v>
                </c:pt>
                <c:pt idx="126">
                  <c:v>2254.7966999999999</c:v>
                </c:pt>
                <c:pt idx="127">
                  <c:v>2257.47525</c:v>
                </c:pt>
                <c:pt idx="128">
                  <c:v>2261.5688</c:v>
                </c:pt>
                <c:pt idx="129">
                  <c:v>2302.3000000000002</c:v>
                </c:pt>
                <c:pt idx="130">
                  <c:v>2304.0021999999999</c:v>
                </c:pt>
                <c:pt idx="131">
                  <c:v>2322.6217999999999</c:v>
                </c:pt>
                <c:pt idx="132">
                  <c:v>2331.5189999999998</c:v>
                </c:pt>
                <c:pt idx="133">
                  <c:v>2352.9684499999998</c:v>
                </c:pt>
                <c:pt idx="134">
                  <c:v>2362.2290499999999</c:v>
                </c:pt>
                <c:pt idx="135">
                  <c:v>2395.17155</c:v>
                </c:pt>
                <c:pt idx="136">
                  <c:v>2396.0958999999998</c:v>
                </c:pt>
                <c:pt idx="137">
                  <c:v>2404.7338</c:v>
                </c:pt>
                <c:pt idx="138">
                  <c:v>2416.9549999999999</c:v>
                </c:pt>
                <c:pt idx="139">
                  <c:v>2438.0551999999998</c:v>
                </c:pt>
                <c:pt idx="140">
                  <c:v>2457.2111500000001</c:v>
                </c:pt>
                <c:pt idx="141">
                  <c:v>2457.502</c:v>
                </c:pt>
                <c:pt idx="142">
                  <c:v>2459.7201</c:v>
                </c:pt>
                <c:pt idx="143">
                  <c:v>2464.6188000000002</c:v>
                </c:pt>
                <c:pt idx="144">
                  <c:v>2473.3341</c:v>
                </c:pt>
                <c:pt idx="145">
                  <c:v>2480.9791</c:v>
                </c:pt>
                <c:pt idx="146">
                  <c:v>2483.7359999999999</c:v>
                </c:pt>
                <c:pt idx="147">
                  <c:v>2494.0219999999999</c:v>
                </c:pt>
                <c:pt idx="148">
                  <c:v>2497.0383000000002</c:v>
                </c:pt>
                <c:pt idx="149">
                  <c:v>2498.4144000000001</c:v>
                </c:pt>
                <c:pt idx="150">
                  <c:v>2523.1695</c:v>
                </c:pt>
                <c:pt idx="151">
                  <c:v>2527.8186500000002</c:v>
                </c:pt>
                <c:pt idx="152">
                  <c:v>2534.3937500000002</c:v>
                </c:pt>
                <c:pt idx="153">
                  <c:v>2566.4706999999999</c:v>
                </c:pt>
                <c:pt idx="154">
                  <c:v>2585.2689999999998</c:v>
                </c:pt>
                <c:pt idx="155">
                  <c:v>2585.8506499999999</c:v>
                </c:pt>
                <c:pt idx="156">
                  <c:v>2597.779</c:v>
                </c:pt>
                <c:pt idx="157">
                  <c:v>2632.9920000000002</c:v>
                </c:pt>
                <c:pt idx="158">
                  <c:v>2639.0428999999999</c:v>
                </c:pt>
                <c:pt idx="159">
                  <c:v>2643.2685000000001</c:v>
                </c:pt>
                <c:pt idx="160">
                  <c:v>2680.9493000000002</c:v>
                </c:pt>
                <c:pt idx="161">
                  <c:v>2689.4953999999998</c:v>
                </c:pt>
                <c:pt idx="162">
                  <c:v>2690.1138000000001</c:v>
                </c:pt>
                <c:pt idx="163">
                  <c:v>2699.56835</c:v>
                </c:pt>
                <c:pt idx="164">
                  <c:v>2709.1118999999999</c:v>
                </c:pt>
                <c:pt idx="165">
                  <c:v>2709.24395</c:v>
                </c:pt>
                <c:pt idx="166">
                  <c:v>2710.8285500000002</c:v>
                </c:pt>
                <c:pt idx="167">
                  <c:v>2719.2797500000001</c:v>
                </c:pt>
                <c:pt idx="168">
                  <c:v>2721.3208</c:v>
                </c:pt>
                <c:pt idx="169">
                  <c:v>2727.3951000000002</c:v>
                </c:pt>
                <c:pt idx="170">
                  <c:v>2730.1078499999999</c:v>
                </c:pt>
                <c:pt idx="171">
                  <c:v>2731.9122000000002</c:v>
                </c:pt>
                <c:pt idx="172">
                  <c:v>2741.9479999999999</c:v>
                </c:pt>
                <c:pt idx="173">
                  <c:v>2755.0209500000001</c:v>
                </c:pt>
                <c:pt idx="174">
                  <c:v>2775.1921499999999</c:v>
                </c:pt>
                <c:pt idx="175">
                  <c:v>2789.0574000000001</c:v>
                </c:pt>
                <c:pt idx="176">
                  <c:v>2801.2588000000001</c:v>
                </c:pt>
                <c:pt idx="177">
                  <c:v>2803.69785</c:v>
                </c:pt>
                <c:pt idx="178">
                  <c:v>2842.7607499999999</c:v>
                </c:pt>
                <c:pt idx="179">
                  <c:v>2850.6837500000001</c:v>
                </c:pt>
                <c:pt idx="180">
                  <c:v>2855.4375500000001</c:v>
                </c:pt>
                <c:pt idx="181">
                  <c:v>2866.0909999999999</c:v>
                </c:pt>
                <c:pt idx="182">
                  <c:v>2867.1196</c:v>
                </c:pt>
                <c:pt idx="183">
                  <c:v>2897.3235</c:v>
                </c:pt>
                <c:pt idx="184">
                  <c:v>2899.4893499999998</c:v>
                </c:pt>
                <c:pt idx="185">
                  <c:v>2902.9065000000001</c:v>
                </c:pt>
                <c:pt idx="186">
                  <c:v>2904.0880000000002</c:v>
                </c:pt>
                <c:pt idx="187">
                  <c:v>2913.569</c:v>
                </c:pt>
                <c:pt idx="188">
                  <c:v>2927.0646999999999</c:v>
                </c:pt>
                <c:pt idx="189">
                  <c:v>2974.1260000000002</c:v>
                </c:pt>
                <c:pt idx="190">
                  <c:v>3021.80915</c:v>
                </c:pt>
                <c:pt idx="191">
                  <c:v>3044.2132999999999</c:v>
                </c:pt>
                <c:pt idx="192">
                  <c:v>3046.0619999999999</c:v>
                </c:pt>
                <c:pt idx="193">
                  <c:v>3056.3881000000001</c:v>
                </c:pt>
                <c:pt idx="194">
                  <c:v>3062.5082499999999</c:v>
                </c:pt>
                <c:pt idx="195">
                  <c:v>3070.8087</c:v>
                </c:pt>
                <c:pt idx="196">
                  <c:v>3077.0954999999999</c:v>
                </c:pt>
                <c:pt idx="197">
                  <c:v>3161.4540000000002</c:v>
                </c:pt>
                <c:pt idx="198">
                  <c:v>3167.4558499999998</c:v>
                </c:pt>
                <c:pt idx="199">
                  <c:v>3171.6149</c:v>
                </c:pt>
                <c:pt idx="200">
                  <c:v>3172.018</c:v>
                </c:pt>
                <c:pt idx="201">
                  <c:v>3176.2876999999999</c:v>
                </c:pt>
                <c:pt idx="202">
                  <c:v>3176.8159000000001</c:v>
                </c:pt>
                <c:pt idx="203">
                  <c:v>3180.5101</c:v>
                </c:pt>
                <c:pt idx="204">
                  <c:v>3201.2451500000002</c:v>
                </c:pt>
                <c:pt idx="205">
                  <c:v>3206.4913499999998</c:v>
                </c:pt>
                <c:pt idx="206">
                  <c:v>3208.7869999999998</c:v>
                </c:pt>
                <c:pt idx="207">
                  <c:v>3213.6220499999999</c:v>
                </c:pt>
                <c:pt idx="208">
                  <c:v>3227.1210999999998</c:v>
                </c:pt>
                <c:pt idx="209">
                  <c:v>3238.4357</c:v>
                </c:pt>
                <c:pt idx="210">
                  <c:v>3260.1990000000001</c:v>
                </c:pt>
                <c:pt idx="211">
                  <c:v>3268.84665</c:v>
                </c:pt>
                <c:pt idx="212">
                  <c:v>3277.1610000000001</c:v>
                </c:pt>
                <c:pt idx="213">
                  <c:v>3279.8685500000001</c:v>
                </c:pt>
                <c:pt idx="214">
                  <c:v>3292.5298499999999</c:v>
                </c:pt>
                <c:pt idx="215">
                  <c:v>3309.7926000000002</c:v>
                </c:pt>
                <c:pt idx="216">
                  <c:v>3353.2840000000001</c:v>
                </c:pt>
                <c:pt idx="217">
                  <c:v>3353.4703</c:v>
                </c:pt>
                <c:pt idx="218">
                  <c:v>3366.6696999999999</c:v>
                </c:pt>
                <c:pt idx="219">
                  <c:v>3378.91</c:v>
                </c:pt>
                <c:pt idx="220">
                  <c:v>3385.3991500000002</c:v>
                </c:pt>
                <c:pt idx="221">
                  <c:v>3392.3652000000002</c:v>
                </c:pt>
                <c:pt idx="222">
                  <c:v>3392.9767999999999</c:v>
                </c:pt>
                <c:pt idx="223">
                  <c:v>3393.35635</c:v>
                </c:pt>
                <c:pt idx="224">
                  <c:v>3410.3240000000001</c:v>
                </c:pt>
                <c:pt idx="225">
                  <c:v>3443.0639999999999</c:v>
                </c:pt>
                <c:pt idx="226">
                  <c:v>3471.4096</c:v>
                </c:pt>
                <c:pt idx="227">
                  <c:v>3481.8679999999999</c:v>
                </c:pt>
                <c:pt idx="228">
                  <c:v>3484.3310000000001</c:v>
                </c:pt>
                <c:pt idx="229">
                  <c:v>3490.5491000000002</c:v>
                </c:pt>
                <c:pt idx="230">
                  <c:v>3500.6122999999998</c:v>
                </c:pt>
                <c:pt idx="231">
                  <c:v>3537.703</c:v>
                </c:pt>
                <c:pt idx="232">
                  <c:v>3554.203</c:v>
                </c:pt>
                <c:pt idx="233">
                  <c:v>3556.9223000000002</c:v>
                </c:pt>
                <c:pt idx="234">
                  <c:v>3558.6202499999999</c:v>
                </c:pt>
                <c:pt idx="235">
                  <c:v>3561.8888999999999</c:v>
                </c:pt>
                <c:pt idx="236">
                  <c:v>3577.9989999999998</c:v>
                </c:pt>
                <c:pt idx="237">
                  <c:v>3579.8287</c:v>
                </c:pt>
                <c:pt idx="238">
                  <c:v>3591.48</c:v>
                </c:pt>
                <c:pt idx="239">
                  <c:v>3594.17085</c:v>
                </c:pt>
                <c:pt idx="240">
                  <c:v>3597.596</c:v>
                </c:pt>
                <c:pt idx="241">
                  <c:v>3645.0893999999998</c:v>
                </c:pt>
                <c:pt idx="242">
                  <c:v>3659.346</c:v>
                </c:pt>
                <c:pt idx="243">
                  <c:v>3693.4279999999999</c:v>
                </c:pt>
                <c:pt idx="244">
                  <c:v>3704.3544999999999</c:v>
                </c:pt>
                <c:pt idx="245">
                  <c:v>3732.6251000000002</c:v>
                </c:pt>
                <c:pt idx="246">
                  <c:v>3736.4647</c:v>
                </c:pt>
                <c:pt idx="247">
                  <c:v>3756.6215999999999</c:v>
                </c:pt>
                <c:pt idx="248">
                  <c:v>3757.8447999999999</c:v>
                </c:pt>
                <c:pt idx="249">
                  <c:v>3761.2919999999999</c:v>
                </c:pt>
                <c:pt idx="250">
                  <c:v>3766.8838000000001</c:v>
                </c:pt>
                <c:pt idx="251">
                  <c:v>3847.674</c:v>
                </c:pt>
                <c:pt idx="252">
                  <c:v>3857.7592500000001</c:v>
                </c:pt>
                <c:pt idx="253">
                  <c:v>3861.2096499999998</c:v>
                </c:pt>
                <c:pt idx="254">
                  <c:v>3866.8552</c:v>
                </c:pt>
                <c:pt idx="255">
                  <c:v>3875.7341000000001</c:v>
                </c:pt>
                <c:pt idx="256">
                  <c:v>3877.3042500000001</c:v>
                </c:pt>
                <c:pt idx="257">
                  <c:v>3906.127</c:v>
                </c:pt>
                <c:pt idx="258">
                  <c:v>3925.7582000000002</c:v>
                </c:pt>
                <c:pt idx="259">
                  <c:v>3935.1799000000001</c:v>
                </c:pt>
                <c:pt idx="260">
                  <c:v>3943.5954000000002</c:v>
                </c:pt>
                <c:pt idx="261">
                  <c:v>3947.4131000000002</c:v>
                </c:pt>
                <c:pt idx="262">
                  <c:v>3956.0714499999999</c:v>
                </c:pt>
                <c:pt idx="263">
                  <c:v>3972.9247</c:v>
                </c:pt>
                <c:pt idx="264">
                  <c:v>3981.9767999999999</c:v>
                </c:pt>
                <c:pt idx="265">
                  <c:v>3987.9259999999999</c:v>
                </c:pt>
                <c:pt idx="266">
                  <c:v>3989.8409999999999</c:v>
                </c:pt>
                <c:pt idx="267">
                  <c:v>3994.1777999999999</c:v>
                </c:pt>
                <c:pt idx="268">
                  <c:v>4005.4225000000001</c:v>
                </c:pt>
                <c:pt idx="269">
                  <c:v>4032.2406999999998</c:v>
                </c:pt>
                <c:pt idx="270">
                  <c:v>4040.55825</c:v>
                </c:pt>
                <c:pt idx="271">
                  <c:v>4058.1161000000002</c:v>
                </c:pt>
                <c:pt idx="272">
                  <c:v>4058.71245</c:v>
                </c:pt>
                <c:pt idx="273">
                  <c:v>4074.4537</c:v>
                </c:pt>
                <c:pt idx="274">
                  <c:v>4076.4969999999998</c:v>
                </c:pt>
                <c:pt idx="275">
                  <c:v>4133.6416499999996</c:v>
                </c:pt>
                <c:pt idx="276">
                  <c:v>4134.0824499999999</c:v>
                </c:pt>
                <c:pt idx="277">
                  <c:v>4137.5227000000004</c:v>
                </c:pt>
                <c:pt idx="278">
                  <c:v>4149.7359999999999</c:v>
                </c:pt>
                <c:pt idx="279">
                  <c:v>4151.0286999999998</c:v>
                </c:pt>
                <c:pt idx="280">
                  <c:v>4185.0978999999998</c:v>
                </c:pt>
                <c:pt idx="281">
                  <c:v>4189.1130999999996</c:v>
                </c:pt>
                <c:pt idx="282">
                  <c:v>4234.9269999999997</c:v>
                </c:pt>
                <c:pt idx="283">
                  <c:v>4237.12655</c:v>
                </c:pt>
                <c:pt idx="284">
                  <c:v>4239.8926499999998</c:v>
                </c:pt>
                <c:pt idx="285">
                  <c:v>4243.5900499999998</c:v>
                </c:pt>
                <c:pt idx="286">
                  <c:v>4260.7439999999997</c:v>
                </c:pt>
                <c:pt idx="287">
                  <c:v>4266.1657999999998</c:v>
                </c:pt>
                <c:pt idx="288">
                  <c:v>4296.2712000000001</c:v>
                </c:pt>
                <c:pt idx="289">
                  <c:v>4320.4108500000002</c:v>
                </c:pt>
                <c:pt idx="290">
                  <c:v>4337.7352000000001</c:v>
                </c:pt>
                <c:pt idx="291">
                  <c:v>4340.4408999999996</c:v>
                </c:pt>
                <c:pt idx="292">
                  <c:v>4347.0233500000004</c:v>
                </c:pt>
                <c:pt idx="293">
                  <c:v>4349.4620000000004</c:v>
                </c:pt>
                <c:pt idx="294">
                  <c:v>4350.5144</c:v>
                </c:pt>
                <c:pt idx="295">
                  <c:v>4357.0436499999996</c:v>
                </c:pt>
                <c:pt idx="296">
                  <c:v>4391.652</c:v>
                </c:pt>
                <c:pt idx="297">
                  <c:v>4399.7309999999998</c:v>
                </c:pt>
                <c:pt idx="298">
                  <c:v>4402.2330000000002</c:v>
                </c:pt>
                <c:pt idx="299">
                  <c:v>4415.1588000000002</c:v>
                </c:pt>
                <c:pt idx="300">
                  <c:v>4428.8878500000001</c:v>
                </c:pt>
                <c:pt idx="301">
                  <c:v>4433.3877000000002</c:v>
                </c:pt>
                <c:pt idx="302">
                  <c:v>4433.9159</c:v>
                </c:pt>
                <c:pt idx="303">
                  <c:v>4435.0941999999995</c:v>
                </c:pt>
                <c:pt idx="304">
                  <c:v>4438.2633999999998</c:v>
                </c:pt>
                <c:pt idx="305">
                  <c:v>4441.2131499999996</c:v>
                </c:pt>
                <c:pt idx="306">
                  <c:v>4449.4620000000004</c:v>
                </c:pt>
                <c:pt idx="307">
                  <c:v>4454.40265</c:v>
                </c:pt>
                <c:pt idx="308">
                  <c:v>4462.7218000000003</c:v>
                </c:pt>
                <c:pt idx="309">
                  <c:v>4463.2051000000001</c:v>
                </c:pt>
                <c:pt idx="310">
                  <c:v>4466.6214</c:v>
                </c:pt>
                <c:pt idx="311">
                  <c:v>4500.33925</c:v>
                </c:pt>
                <c:pt idx="312">
                  <c:v>4504.6624000000002</c:v>
                </c:pt>
                <c:pt idx="313">
                  <c:v>4518.8262500000001</c:v>
                </c:pt>
                <c:pt idx="314">
                  <c:v>4527.1829500000003</c:v>
                </c:pt>
                <c:pt idx="315">
                  <c:v>4529.4769999999999</c:v>
                </c:pt>
                <c:pt idx="316">
                  <c:v>4536.259</c:v>
                </c:pt>
                <c:pt idx="317">
                  <c:v>4544.2348000000002</c:v>
                </c:pt>
                <c:pt idx="318">
                  <c:v>4561.1885000000002</c:v>
                </c:pt>
                <c:pt idx="319">
                  <c:v>4562.8420999999998</c:v>
                </c:pt>
                <c:pt idx="320">
                  <c:v>4564.1914500000003</c:v>
                </c:pt>
                <c:pt idx="321">
                  <c:v>4571.4130500000001</c:v>
                </c:pt>
                <c:pt idx="322">
                  <c:v>4618.0798999999997</c:v>
                </c:pt>
                <c:pt idx="323">
                  <c:v>4646.759</c:v>
                </c:pt>
                <c:pt idx="324">
                  <c:v>4661.2863500000003</c:v>
                </c:pt>
                <c:pt idx="325">
                  <c:v>4667.6076499999999</c:v>
                </c:pt>
                <c:pt idx="326">
                  <c:v>4670.6400000000003</c:v>
                </c:pt>
                <c:pt idx="327">
                  <c:v>4673.3922000000002</c:v>
                </c:pt>
                <c:pt idx="328">
                  <c:v>4686.3887000000004</c:v>
                </c:pt>
                <c:pt idx="329">
                  <c:v>4687.7969999999996</c:v>
                </c:pt>
                <c:pt idx="330">
                  <c:v>4718.2035500000002</c:v>
                </c:pt>
                <c:pt idx="331">
                  <c:v>4719.52405</c:v>
                </c:pt>
                <c:pt idx="332">
                  <c:v>4719.7365499999996</c:v>
                </c:pt>
                <c:pt idx="333">
                  <c:v>4738.2682000000004</c:v>
                </c:pt>
                <c:pt idx="334">
                  <c:v>4746.3440000000001</c:v>
                </c:pt>
                <c:pt idx="335">
                  <c:v>4747.0528999999997</c:v>
                </c:pt>
                <c:pt idx="336">
                  <c:v>4751.07</c:v>
                </c:pt>
                <c:pt idx="337">
                  <c:v>4753.6368000000002</c:v>
                </c:pt>
                <c:pt idx="338">
                  <c:v>4762.3289999999997</c:v>
                </c:pt>
                <c:pt idx="339">
                  <c:v>4766.0219999999999</c:v>
                </c:pt>
                <c:pt idx="340">
                  <c:v>4779.6022999999996</c:v>
                </c:pt>
                <c:pt idx="341">
                  <c:v>4795.6567999999997</c:v>
                </c:pt>
                <c:pt idx="342">
                  <c:v>4827.9049500000001</c:v>
                </c:pt>
                <c:pt idx="343">
                  <c:v>4830.63</c:v>
                </c:pt>
                <c:pt idx="344">
                  <c:v>4837.5823</c:v>
                </c:pt>
                <c:pt idx="345">
                  <c:v>4846.9201499999999</c:v>
                </c:pt>
                <c:pt idx="346">
                  <c:v>4877.9810500000003</c:v>
                </c:pt>
                <c:pt idx="347">
                  <c:v>4883.866</c:v>
                </c:pt>
                <c:pt idx="348">
                  <c:v>4889.0367999999999</c:v>
                </c:pt>
                <c:pt idx="349">
                  <c:v>4889.9994999999999</c:v>
                </c:pt>
                <c:pt idx="350">
                  <c:v>4894.7533000000003</c:v>
                </c:pt>
                <c:pt idx="351">
                  <c:v>4906.4096499999996</c:v>
                </c:pt>
                <c:pt idx="352">
                  <c:v>4915.0598499999996</c:v>
                </c:pt>
                <c:pt idx="353">
                  <c:v>4922.9159</c:v>
                </c:pt>
                <c:pt idx="354">
                  <c:v>4931.6469999999999</c:v>
                </c:pt>
                <c:pt idx="355">
                  <c:v>4934.7049999999999</c:v>
                </c:pt>
                <c:pt idx="356">
                  <c:v>4949.7587000000003</c:v>
                </c:pt>
                <c:pt idx="357">
                  <c:v>4992.3764000000001</c:v>
                </c:pt>
                <c:pt idx="358">
                  <c:v>5002.7826999999997</c:v>
                </c:pt>
                <c:pt idx="359">
                  <c:v>5003.8530000000001</c:v>
                </c:pt>
                <c:pt idx="360">
                  <c:v>5012.4709999999995</c:v>
                </c:pt>
                <c:pt idx="361">
                  <c:v>5028.1466</c:v>
                </c:pt>
                <c:pt idx="362">
                  <c:v>5031.26955</c:v>
                </c:pt>
                <c:pt idx="363">
                  <c:v>5080.0959999999995</c:v>
                </c:pt>
                <c:pt idx="364">
                  <c:v>5116.5003999999999</c:v>
                </c:pt>
                <c:pt idx="365">
                  <c:v>5124.1886999999997</c:v>
                </c:pt>
                <c:pt idx="366">
                  <c:v>5125.2156999999997</c:v>
                </c:pt>
                <c:pt idx="367">
                  <c:v>5138.2566999999999</c:v>
                </c:pt>
                <c:pt idx="368">
                  <c:v>5148.5526</c:v>
                </c:pt>
                <c:pt idx="369">
                  <c:v>5152.134</c:v>
                </c:pt>
                <c:pt idx="370">
                  <c:v>5209.5788499999999</c:v>
                </c:pt>
                <c:pt idx="371">
                  <c:v>5227.9887500000004</c:v>
                </c:pt>
                <c:pt idx="372">
                  <c:v>5240.7650000000003</c:v>
                </c:pt>
                <c:pt idx="373">
                  <c:v>5245.2268999999997</c:v>
                </c:pt>
                <c:pt idx="374">
                  <c:v>5246.0469999999996</c:v>
                </c:pt>
                <c:pt idx="375">
                  <c:v>5253.5240000000003</c:v>
                </c:pt>
                <c:pt idx="376">
                  <c:v>5257.5079500000002</c:v>
                </c:pt>
                <c:pt idx="377">
                  <c:v>5261.4694499999996</c:v>
                </c:pt>
                <c:pt idx="378">
                  <c:v>5266.3656000000001</c:v>
                </c:pt>
                <c:pt idx="379">
                  <c:v>5267.8181500000001</c:v>
                </c:pt>
                <c:pt idx="380">
                  <c:v>5272.1758</c:v>
                </c:pt>
                <c:pt idx="381">
                  <c:v>5312.1698500000002</c:v>
                </c:pt>
                <c:pt idx="382">
                  <c:v>5325.6509999999998</c:v>
                </c:pt>
                <c:pt idx="383">
                  <c:v>5327.4002499999997</c:v>
                </c:pt>
                <c:pt idx="384">
                  <c:v>5354.0746499999996</c:v>
                </c:pt>
                <c:pt idx="385">
                  <c:v>5373.3642499999996</c:v>
                </c:pt>
                <c:pt idx="386">
                  <c:v>5375.0379999999996</c:v>
                </c:pt>
                <c:pt idx="387">
                  <c:v>5377.4578000000001</c:v>
                </c:pt>
                <c:pt idx="388">
                  <c:v>5383.5360000000001</c:v>
                </c:pt>
                <c:pt idx="389">
                  <c:v>5385.3379000000004</c:v>
                </c:pt>
                <c:pt idx="390">
                  <c:v>5397.6166999999996</c:v>
                </c:pt>
                <c:pt idx="391">
                  <c:v>5400.9804999999997</c:v>
                </c:pt>
                <c:pt idx="392">
                  <c:v>5415.6611999999996</c:v>
                </c:pt>
                <c:pt idx="393">
                  <c:v>5425.0233500000004</c:v>
                </c:pt>
                <c:pt idx="394">
                  <c:v>5428.7277000000004</c:v>
                </c:pt>
                <c:pt idx="395">
                  <c:v>5438.7491</c:v>
                </c:pt>
                <c:pt idx="396">
                  <c:v>5458.0464499999998</c:v>
                </c:pt>
                <c:pt idx="397">
                  <c:v>5469.0065999999997</c:v>
                </c:pt>
                <c:pt idx="398">
                  <c:v>5472.4489999999996</c:v>
                </c:pt>
                <c:pt idx="399">
                  <c:v>5478.0367999999999</c:v>
                </c:pt>
                <c:pt idx="400">
                  <c:v>5484.4673000000003</c:v>
                </c:pt>
                <c:pt idx="401">
                  <c:v>5488.2619999999997</c:v>
                </c:pt>
                <c:pt idx="402">
                  <c:v>5584.3056999999999</c:v>
                </c:pt>
                <c:pt idx="403">
                  <c:v>5594.8455000000004</c:v>
                </c:pt>
                <c:pt idx="404">
                  <c:v>5615.3689999999997</c:v>
                </c:pt>
                <c:pt idx="405">
                  <c:v>5630.4578499999998</c:v>
                </c:pt>
                <c:pt idx="406">
                  <c:v>5649.7150000000001</c:v>
                </c:pt>
                <c:pt idx="407">
                  <c:v>5662.2250000000004</c:v>
                </c:pt>
                <c:pt idx="408">
                  <c:v>5693.4305000000004</c:v>
                </c:pt>
                <c:pt idx="409">
                  <c:v>5699.8374999999996</c:v>
                </c:pt>
                <c:pt idx="410">
                  <c:v>5708.8670000000002</c:v>
                </c:pt>
                <c:pt idx="411">
                  <c:v>5709.1643999999997</c:v>
                </c:pt>
                <c:pt idx="412">
                  <c:v>5729.0052999999998</c:v>
                </c:pt>
                <c:pt idx="413">
                  <c:v>5757.41345</c:v>
                </c:pt>
                <c:pt idx="414">
                  <c:v>5836.5204000000003</c:v>
                </c:pt>
                <c:pt idx="415">
                  <c:v>5846.9175999999998</c:v>
                </c:pt>
                <c:pt idx="416">
                  <c:v>5855.9025000000001</c:v>
                </c:pt>
                <c:pt idx="417">
                  <c:v>5910.9440000000004</c:v>
                </c:pt>
                <c:pt idx="418">
                  <c:v>5920.1040999999996</c:v>
                </c:pt>
                <c:pt idx="419">
                  <c:v>5926.8459999999995</c:v>
                </c:pt>
                <c:pt idx="420">
                  <c:v>5934.3797999999997</c:v>
                </c:pt>
                <c:pt idx="421">
                  <c:v>5966.8873999999996</c:v>
                </c:pt>
                <c:pt idx="422">
                  <c:v>5969.723</c:v>
                </c:pt>
                <c:pt idx="423">
                  <c:v>5972.3779999999997</c:v>
                </c:pt>
                <c:pt idx="424">
                  <c:v>5974.3846999999996</c:v>
                </c:pt>
                <c:pt idx="425">
                  <c:v>5976.8311000000003</c:v>
                </c:pt>
                <c:pt idx="426">
                  <c:v>5979.7309999999998</c:v>
                </c:pt>
                <c:pt idx="427">
                  <c:v>5989.5236500000001</c:v>
                </c:pt>
                <c:pt idx="428">
                  <c:v>6059.1729999999998</c:v>
                </c:pt>
                <c:pt idx="429">
                  <c:v>6067.1267500000004</c:v>
                </c:pt>
                <c:pt idx="430">
                  <c:v>6079.6715000000004</c:v>
                </c:pt>
                <c:pt idx="431">
                  <c:v>6082.4049999999997</c:v>
                </c:pt>
                <c:pt idx="432">
                  <c:v>6112.3529500000004</c:v>
                </c:pt>
                <c:pt idx="433">
                  <c:v>6113.2310500000003</c:v>
                </c:pt>
                <c:pt idx="434">
                  <c:v>6117.4944999999998</c:v>
                </c:pt>
                <c:pt idx="435">
                  <c:v>6123.5688</c:v>
                </c:pt>
                <c:pt idx="436">
                  <c:v>6128.79745</c:v>
                </c:pt>
                <c:pt idx="437">
                  <c:v>6184.2993999999999</c:v>
                </c:pt>
                <c:pt idx="438">
                  <c:v>6185.3208000000004</c:v>
                </c:pt>
                <c:pt idx="439">
                  <c:v>6186.1270000000004</c:v>
                </c:pt>
                <c:pt idx="440">
                  <c:v>6196.4480000000003</c:v>
                </c:pt>
                <c:pt idx="441">
                  <c:v>6198.7518</c:v>
                </c:pt>
                <c:pt idx="442">
                  <c:v>6203.90175</c:v>
                </c:pt>
                <c:pt idx="443">
                  <c:v>6238.2979999999998</c:v>
                </c:pt>
                <c:pt idx="444">
                  <c:v>6250.4350000000004</c:v>
                </c:pt>
                <c:pt idx="445">
                  <c:v>6272.4772000000003</c:v>
                </c:pt>
                <c:pt idx="446">
                  <c:v>6282.2349999999997</c:v>
                </c:pt>
                <c:pt idx="447">
                  <c:v>6289.7548999999999</c:v>
                </c:pt>
                <c:pt idx="448">
                  <c:v>6311.9520000000002</c:v>
                </c:pt>
                <c:pt idx="449">
                  <c:v>6313.759</c:v>
                </c:pt>
                <c:pt idx="450">
                  <c:v>6334.3435499999996</c:v>
                </c:pt>
                <c:pt idx="451">
                  <c:v>6338.0756000000001</c:v>
                </c:pt>
                <c:pt idx="452">
                  <c:v>6356.2707</c:v>
                </c:pt>
                <c:pt idx="453">
                  <c:v>6358.7764500000003</c:v>
                </c:pt>
                <c:pt idx="454">
                  <c:v>6360.9935999999998</c:v>
                </c:pt>
                <c:pt idx="455">
                  <c:v>6373.55735</c:v>
                </c:pt>
                <c:pt idx="456">
                  <c:v>6389.3778499999999</c:v>
                </c:pt>
                <c:pt idx="457">
                  <c:v>6393.6034499999996</c:v>
                </c:pt>
                <c:pt idx="458">
                  <c:v>6402.2913500000004</c:v>
                </c:pt>
                <c:pt idx="459">
                  <c:v>6406.4107000000004</c:v>
                </c:pt>
                <c:pt idx="460">
                  <c:v>6414.1779999999999</c:v>
                </c:pt>
                <c:pt idx="461">
                  <c:v>6435.6237000000001</c:v>
                </c:pt>
                <c:pt idx="462">
                  <c:v>6455.86265</c:v>
                </c:pt>
                <c:pt idx="463">
                  <c:v>6457.8433999999997</c:v>
                </c:pt>
                <c:pt idx="464">
                  <c:v>6474.0129999999999</c:v>
                </c:pt>
                <c:pt idx="465">
                  <c:v>6496.8860000000004</c:v>
                </c:pt>
                <c:pt idx="466">
                  <c:v>6500.2358999999997</c:v>
                </c:pt>
                <c:pt idx="467">
                  <c:v>6548.1950500000003</c:v>
                </c:pt>
                <c:pt idx="468">
                  <c:v>6551.7501000000002</c:v>
                </c:pt>
                <c:pt idx="469">
                  <c:v>6555.07035</c:v>
                </c:pt>
                <c:pt idx="470">
                  <c:v>6571.0243499999997</c:v>
                </c:pt>
                <c:pt idx="471">
                  <c:v>6571.5439999999999</c:v>
                </c:pt>
                <c:pt idx="472">
                  <c:v>6593.5083000000004</c:v>
                </c:pt>
                <c:pt idx="473">
                  <c:v>6600.2059499999996</c:v>
                </c:pt>
                <c:pt idx="474">
                  <c:v>6600.3609999999999</c:v>
                </c:pt>
                <c:pt idx="475">
                  <c:v>6610.1097</c:v>
                </c:pt>
                <c:pt idx="476">
                  <c:v>6640.5448500000002</c:v>
                </c:pt>
                <c:pt idx="477">
                  <c:v>6652.5288</c:v>
                </c:pt>
                <c:pt idx="478">
                  <c:v>6653.7885999999999</c:v>
                </c:pt>
                <c:pt idx="479">
                  <c:v>6664.68595</c:v>
                </c:pt>
                <c:pt idx="480">
                  <c:v>6666.2430000000004</c:v>
                </c:pt>
                <c:pt idx="481">
                  <c:v>6686.4313000000002</c:v>
                </c:pt>
                <c:pt idx="482">
                  <c:v>6710.1918999999998</c:v>
                </c:pt>
                <c:pt idx="483">
                  <c:v>6746.7425000000003</c:v>
                </c:pt>
                <c:pt idx="484">
                  <c:v>6748.5911999999998</c:v>
                </c:pt>
                <c:pt idx="485">
                  <c:v>6753.0379999999996</c:v>
                </c:pt>
                <c:pt idx="486">
                  <c:v>6770.1925000000001</c:v>
                </c:pt>
                <c:pt idx="487">
                  <c:v>6775.9610000000002</c:v>
                </c:pt>
                <c:pt idx="488">
                  <c:v>6781.3541999999998</c:v>
                </c:pt>
                <c:pt idx="489">
                  <c:v>6796.8632500000003</c:v>
                </c:pt>
                <c:pt idx="490">
                  <c:v>6799.4579999999996</c:v>
                </c:pt>
                <c:pt idx="491">
                  <c:v>6837.3687</c:v>
                </c:pt>
                <c:pt idx="492">
                  <c:v>6849.0259999999998</c:v>
                </c:pt>
                <c:pt idx="493">
                  <c:v>6858.4795999999997</c:v>
                </c:pt>
                <c:pt idx="494">
                  <c:v>6875.9610000000002</c:v>
                </c:pt>
                <c:pt idx="495">
                  <c:v>6877.9800999999998</c:v>
                </c:pt>
                <c:pt idx="496">
                  <c:v>6933.2422500000002</c:v>
                </c:pt>
                <c:pt idx="497">
                  <c:v>6940.90985</c:v>
                </c:pt>
                <c:pt idx="498">
                  <c:v>6948.7007999999996</c:v>
                </c:pt>
                <c:pt idx="499">
                  <c:v>6985.50695</c:v>
                </c:pt>
                <c:pt idx="500">
                  <c:v>6986.6970000000001</c:v>
                </c:pt>
                <c:pt idx="501">
                  <c:v>7045.4989999999998</c:v>
                </c:pt>
                <c:pt idx="502">
                  <c:v>7046.7222000000002</c:v>
                </c:pt>
                <c:pt idx="503">
                  <c:v>7050.0213000000003</c:v>
                </c:pt>
                <c:pt idx="504">
                  <c:v>7050.6419999999998</c:v>
                </c:pt>
                <c:pt idx="505">
                  <c:v>7077.1894000000002</c:v>
                </c:pt>
                <c:pt idx="506">
                  <c:v>7133.9025000000001</c:v>
                </c:pt>
                <c:pt idx="507">
                  <c:v>7144.86265</c:v>
                </c:pt>
                <c:pt idx="508">
                  <c:v>7147.1049999999996</c:v>
                </c:pt>
                <c:pt idx="509">
                  <c:v>7147.4727999999996</c:v>
                </c:pt>
                <c:pt idx="510">
                  <c:v>7151.0919999999996</c:v>
                </c:pt>
                <c:pt idx="511">
                  <c:v>7152.6714000000002</c:v>
                </c:pt>
                <c:pt idx="512">
                  <c:v>7153.5538999999999</c:v>
                </c:pt>
                <c:pt idx="513">
                  <c:v>7160.0940000000001</c:v>
                </c:pt>
                <c:pt idx="514">
                  <c:v>7160.3302999999996</c:v>
                </c:pt>
                <c:pt idx="515">
                  <c:v>7162.0122000000001</c:v>
                </c:pt>
                <c:pt idx="516">
                  <c:v>7173.35995</c:v>
                </c:pt>
                <c:pt idx="517">
                  <c:v>7196.8670000000002</c:v>
                </c:pt>
                <c:pt idx="518">
                  <c:v>7201.7008500000002</c:v>
                </c:pt>
                <c:pt idx="519">
                  <c:v>7209.4917999999998</c:v>
                </c:pt>
                <c:pt idx="520">
                  <c:v>7222.7862500000001</c:v>
                </c:pt>
                <c:pt idx="521">
                  <c:v>7228.2156500000001</c:v>
                </c:pt>
                <c:pt idx="522">
                  <c:v>7243.8136000000004</c:v>
                </c:pt>
                <c:pt idx="523">
                  <c:v>7256.7231000000002</c:v>
                </c:pt>
                <c:pt idx="524">
                  <c:v>7261.741</c:v>
                </c:pt>
                <c:pt idx="525">
                  <c:v>7265.7025000000003</c:v>
                </c:pt>
                <c:pt idx="526">
                  <c:v>7281.5056000000004</c:v>
                </c:pt>
                <c:pt idx="527">
                  <c:v>7323.7348190000002</c:v>
                </c:pt>
                <c:pt idx="528">
                  <c:v>7325.0482000000002</c:v>
                </c:pt>
                <c:pt idx="529">
                  <c:v>7337.7479999999996</c:v>
                </c:pt>
                <c:pt idx="530">
                  <c:v>7345.0839999999998</c:v>
                </c:pt>
                <c:pt idx="531">
                  <c:v>7345.7266</c:v>
                </c:pt>
                <c:pt idx="532">
                  <c:v>7348.1419999999998</c:v>
                </c:pt>
                <c:pt idx="533">
                  <c:v>7358.1756500000001</c:v>
                </c:pt>
                <c:pt idx="534">
                  <c:v>7371.7719999999999</c:v>
                </c:pt>
                <c:pt idx="535">
                  <c:v>7418.5219999999999</c:v>
                </c:pt>
                <c:pt idx="536">
                  <c:v>7419.4778999999999</c:v>
                </c:pt>
                <c:pt idx="537">
                  <c:v>7421.1945500000002</c:v>
                </c:pt>
                <c:pt idx="538">
                  <c:v>7441.0529999999999</c:v>
                </c:pt>
                <c:pt idx="539">
                  <c:v>7441.5010000000002</c:v>
                </c:pt>
                <c:pt idx="540">
                  <c:v>7443.6430499999997</c:v>
                </c:pt>
                <c:pt idx="541">
                  <c:v>7445.9179999999997</c:v>
                </c:pt>
                <c:pt idx="542">
                  <c:v>7448.4039499999999</c:v>
                </c:pt>
                <c:pt idx="543">
                  <c:v>7512.2669999999998</c:v>
                </c:pt>
                <c:pt idx="544">
                  <c:v>7518.0253499999999</c:v>
                </c:pt>
                <c:pt idx="545">
                  <c:v>7526.7064499999997</c:v>
                </c:pt>
                <c:pt idx="546">
                  <c:v>7537.1638999999996</c:v>
                </c:pt>
                <c:pt idx="547">
                  <c:v>7623.518</c:v>
                </c:pt>
                <c:pt idx="548">
                  <c:v>7624.63</c:v>
                </c:pt>
                <c:pt idx="549">
                  <c:v>7626.9930000000004</c:v>
                </c:pt>
                <c:pt idx="550">
                  <c:v>7633.7205999999996</c:v>
                </c:pt>
                <c:pt idx="551">
                  <c:v>7639.4174499999999</c:v>
                </c:pt>
                <c:pt idx="552">
                  <c:v>7640.3091999999997</c:v>
                </c:pt>
                <c:pt idx="553">
                  <c:v>7650.7737500000003</c:v>
                </c:pt>
                <c:pt idx="554">
                  <c:v>7682.67</c:v>
                </c:pt>
                <c:pt idx="555">
                  <c:v>7726.8540000000003</c:v>
                </c:pt>
                <c:pt idx="556">
                  <c:v>7727.2532000000001</c:v>
                </c:pt>
                <c:pt idx="557">
                  <c:v>7729.6457499999997</c:v>
                </c:pt>
                <c:pt idx="558">
                  <c:v>7731.4270999999999</c:v>
                </c:pt>
                <c:pt idx="559">
                  <c:v>7731.8578500000003</c:v>
                </c:pt>
                <c:pt idx="560">
                  <c:v>7740.3370000000004</c:v>
                </c:pt>
                <c:pt idx="561">
                  <c:v>7742.1098000000002</c:v>
                </c:pt>
                <c:pt idx="562">
                  <c:v>7749.1563999999998</c:v>
                </c:pt>
                <c:pt idx="563">
                  <c:v>7789.6350000000002</c:v>
                </c:pt>
                <c:pt idx="564">
                  <c:v>7804.1605</c:v>
                </c:pt>
                <c:pt idx="565">
                  <c:v>7935.29115</c:v>
                </c:pt>
                <c:pt idx="566">
                  <c:v>7954.5169999999998</c:v>
                </c:pt>
                <c:pt idx="567">
                  <c:v>7985.8149999999996</c:v>
                </c:pt>
                <c:pt idx="568">
                  <c:v>7986.4752500000004</c:v>
                </c:pt>
                <c:pt idx="569">
                  <c:v>8017.0611500000005</c:v>
                </c:pt>
                <c:pt idx="570">
                  <c:v>8023.1354499999998</c:v>
                </c:pt>
                <c:pt idx="571">
                  <c:v>8026.6665999999996</c:v>
                </c:pt>
                <c:pt idx="572">
                  <c:v>8027.9679999999998</c:v>
                </c:pt>
                <c:pt idx="573">
                  <c:v>8059.6791000000003</c:v>
                </c:pt>
                <c:pt idx="574">
                  <c:v>8062.7640000000001</c:v>
                </c:pt>
                <c:pt idx="575">
                  <c:v>8068.1850000000004</c:v>
                </c:pt>
                <c:pt idx="576">
                  <c:v>8083.9197999999997</c:v>
                </c:pt>
                <c:pt idx="577">
                  <c:v>8116.2688500000004</c:v>
                </c:pt>
                <c:pt idx="578">
                  <c:v>8116.68</c:v>
                </c:pt>
                <c:pt idx="579">
                  <c:v>8124.4084000000003</c:v>
                </c:pt>
                <c:pt idx="580">
                  <c:v>8125.7844999999998</c:v>
                </c:pt>
                <c:pt idx="581">
                  <c:v>8162.7162500000004</c:v>
                </c:pt>
                <c:pt idx="582">
                  <c:v>8211.1002000000008</c:v>
                </c:pt>
                <c:pt idx="583">
                  <c:v>8219.2039000000004</c:v>
                </c:pt>
                <c:pt idx="584">
                  <c:v>8232.6388000000006</c:v>
                </c:pt>
                <c:pt idx="585">
                  <c:v>8233.0974999999999</c:v>
                </c:pt>
                <c:pt idx="586">
                  <c:v>8240.5895999999993</c:v>
                </c:pt>
                <c:pt idx="587">
                  <c:v>8252.2842999999993</c:v>
                </c:pt>
                <c:pt idx="588">
                  <c:v>8269.0439999999999</c:v>
                </c:pt>
                <c:pt idx="589">
                  <c:v>8277.5229999999992</c:v>
                </c:pt>
                <c:pt idx="590">
                  <c:v>8280.6226999999999</c:v>
                </c:pt>
                <c:pt idx="591">
                  <c:v>8283.6807000000008</c:v>
                </c:pt>
                <c:pt idx="592">
                  <c:v>8302.5356499999998</c:v>
                </c:pt>
                <c:pt idx="593">
                  <c:v>8310.8391499999998</c:v>
                </c:pt>
                <c:pt idx="594">
                  <c:v>8334.4575499999992</c:v>
                </c:pt>
                <c:pt idx="595">
                  <c:v>8334.5895999999993</c:v>
                </c:pt>
                <c:pt idx="596">
                  <c:v>8342.9087500000005</c:v>
                </c:pt>
                <c:pt idx="597">
                  <c:v>8347.1643000000004</c:v>
                </c:pt>
                <c:pt idx="598">
                  <c:v>8410.0468500000006</c:v>
                </c:pt>
                <c:pt idx="599">
                  <c:v>8413.4630500000003</c:v>
                </c:pt>
                <c:pt idx="600">
                  <c:v>8428.0692999999992</c:v>
                </c:pt>
                <c:pt idx="601">
                  <c:v>8442.6669999999995</c:v>
                </c:pt>
                <c:pt idx="602">
                  <c:v>8444.4740000000002</c:v>
                </c:pt>
                <c:pt idx="603">
                  <c:v>8457.8179999999993</c:v>
                </c:pt>
                <c:pt idx="604">
                  <c:v>8515.7587000000003</c:v>
                </c:pt>
                <c:pt idx="605">
                  <c:v>8516.8289999999997</c:v>
                </c:pt>
                <c:pt idx="606">
                  <c:v>8520.0259999999998</c:v>
                </c:pt>
                <c:pt idx="607">
                  <c:v>8522.0030000000006</c:v>
                </c:pt>
                <c:pt idx="608">
                  <c:v>8527.5319999999992</c:v>
                </c:pt>
                <c:pt idx="609">
                  <c:v>8534.6718000000001</c:v>
                </c:pt>
                <c:pt idx="610">
                  <c:v>8538.28845</c:v>
                </c:pt>
                <c:pt idx="611">
                  <c:v>8539.6710000000003</c:v>
                </c:pt>
                <c:pt idx="612">
                  <c:v>8547.6913000000004</c:v>
                </c:pt>
                <c:pt idx="613">
                  <c:v>8551.3469999999998</c:v>
                </c:pt>
                <c:pt idx="614">
                  <c:v>8556.9069999999992</c:v>
                </c:pt>
                <c:pt idx="615">
                  <c:v>8569.8618000000006</c:v>
                </c:pt>
                <c:pt idx="616">
                  <c:v>8582.3022999999994</c:v>
                </c:pt>
                <c:pt idx="617">
                  <c:v>8596.8277999999991</c:v>
                </c:pt>
                <c:pt idx="618">
                  <c:v>8601.3292999999994</c:v>
                </c:pt>
                <c:pt idx="619">
                  <c:v>8603.8233999999993</c:v>
                </c:pt>
                <c:pt idx="620">
                  <c:v>8604.4836500000001</c:v>
                </c:pt>
                <c:pt idx="621">
                  <c:v>8605.3615000000009</c:v>
                </c:pt>
                <c:pt idx="622">
                  <c:v>8606.2173999999995</c:v>
                </c:pt>
                <c:pt idx="623">
                  <c:v>8615.2999999999993</c:v>
                </c:pt>
                <c:pt idx="624">
                  <c:v>8627.5411000000004</c:v>
                </c:pt>
                <c:pt idx="625">
                  <c:v>8671.1912499999999</c:v>
                </c:pt>
                <c:pt idx="626">
                  <c:v>8688.8588500000005</c:v>
                </c:pt>
                <c:pt idx="627">
                  <c:v>8703.4560000000001</c:v>
                </c:pt>
                <c:pt idx="628">
                  <c:v>8733.2292500000003</c:v>
                </c:pt>
                <c:pt idx="629">
                  <c:v>8765.2489999999998</c:v>
                </c:pt>
                <c:pt idx="630">
                  <c:v>8782.4689999999991</c:v>
                </c:pt>
                <c:pt idx="631">
                  <c:v>8798.5930000000008</c:v>
                </c:pt>
                <c:pt idx="632">
                  <c:v>8823.2790000000005</c:v>
                </c:pt>
                <c:pt idx="633">
                  <c:v>8823.9857499999998</c:v>
                </c:pt>
                <c:pt idx="634">
                  <c:v>8825.0859999999993</c:v>
                </c:pt>
                <c:pt idx="635">
                  <c:v>8827.2098999999998</c:v>
                </c:pt>
                <c:pt idx="636">
                  <c:v>8835.2649500000007</c:v>
                </c:pt>
                <c:pt idx="637">
                  <c:v>8871.1517000000003</c:v>
                </c:pt>
                <c:pt idx="638">
                  <c:v>8891.1394999999993</c:v>
                </c:pt>
                <c:pt idx="639">
                  <c:v>8930.9345499999999</c:v>
                </c:pt>
                <c:pt idx="640">
                  <c:v>8932.0840000000007</c:v>
                </c:pt>
                <c:pt idx="641">
                  <c:v>8944.1151000000009</c:v>
                </c:pt>
                <c:pt idx="642">
                  <c:v>8964.0605500000001</c:v>
                </c:pt>
                <c:pt idx="643">
                  <c:v>8965.7957499999993</c:v>
                </c:pt>
                <c:pt idx="644">
                  <c:v>8968.33</c:v>
                </c:pt>
                <c:pt idx="645">
                  <c:v>8978.1851000000006</c:v>
                </c:pt>
                <c:pt idx="646">
                  <c:v>8988.1587500000005</c:v>
                </c:pt>
                <c:pt idx="647">
                  <c:v>9048.0272999999997</c:v>
                </c:pt>
                <c:pt idx="648">
                  <c:v>9058.7302999999993</c:v>
                </c:pt>
                <c:pt idx="649">
                  <c:v>9095.0682500000003</c:v>
                </c:pt>
                <c:pt idx="650">
                  <c:v>9101.7980000000007</c:v>
                </c:pt>
                <c:pt idx="651">
                  <c:v>9140.9509999999991</c:v>
                </c:pt>
                <c:pt idx="652">
                  <c:v>9144.5650000000005</c:v>
                </c:pt>
                <c:pt idx="653">
                  <c:v>9174.1356500000002</c:v>
                </c:pt>
                <c:pt idx="654">
                  <c:v>9182.17</c:v>
                </c:pt>
                <c:pt idx="655">
                  <c:v>9193.8384999999998</c:v>
                </c:pt>
                <c:pt idx="656">
                  <c:v>9222.4025999999994</c:v>
                </c:pt>
                <c:pt idx="657">
                  <c:v>9225.2564000000002</c:v>
                </c:pt>
                <c:pt idx="658">
                  <c:v>9249.4951999999994</c:v>
                </c:pt>
                <c:pt idx="659">
                  <c:v>9264.7970000000005</c:v>
                </c:pt>
                <c:pt idx="660">
                  <c:v>9282.4806000000008</c:v>
                </c:pt>
                <c:pt idx="661">
                  <c:v>9283.5619999999999</c:v>
                </c:pt>
                <c:pt idx="662">
                  <c:v>9288.0267000000003</c:v>
                </c:pt>
                <c:pt idx="663">
                  <c:v>9290.1394999999993</c:v>
                </c:pt>
                <c:pt idx="664">
                  <c:v>9301.8935500000007</c:v>
                </c:pt>
                <c:pt idx="665">
                  <c:v>9304.7019</c:v>
                </c:pt>
                <c:pt idx="666">
                  <c:v>9361.3268000000007</c:v>
                </c:pt>
                <c:pt idx="667">
                  <c:v>9377.9046999999991</c:v>
                </c:pt>
                <c:pt idx="668">
                  <c:v>9386.1612999999998</c:v>
                </c:pt>
                <c:pt idx="669">
                  <c:v>9391.3459999999995</c:v>
                </c:pt>
                <c:pt idx="670">
                  <c:v>9411.0049999999992</c:v>
                </c:pt>
                <c:pt idx="671">
                  <c:v>9414.92</c:v>
                </c:pt>
                <c:pt idx="672">
                  <c:v>9432.9253000000008</c:v>
                </c:pt>
                <c:pt idx="673">
                  <c:v>9447.2503500000003</c:v>
                </c:pt>
                <c:pt idx="674">
                  <c:v>9447.3824000000004</c:v>
                </c:pt>
                <c:pt idx="675">
                  <c:v>9487.6442000000006</c:v>
                </c:pt>
                <c:pt idx="676">
                  <c:v>9500.5730500000009</c:v>
                </c:pt>
                <c:pt idx="677">
                  <c:v>9504.3102999999992</c:v>
                </c:pt>
                <c:pt idx="678">
                  <c:v>9541.6955500000004</c:v>
                </c:pt>
                <c:pt idx="679">
                  <c:v>9549.5650999999998</c:v>
                </c:pt>
                <c:pt idx="680">
                  <c:v>9563.0290000000005</c:v>
                </c:pt>
                <c:pt idx="681">
                  <c:v>9566.9909000000007</c:v>
                </c:pt>
                <c:pt idx="682">
                  <c:v>9583.8932999999997</c:v>
                </c:pt>
                <c:pt idx="683">
                  <c:v>9617.6624499999998</c:v>
                </c:pt>
                <c:pt idx="684">
                  <c:v>9620.3307000000004</c:v>
                </c:pt>
                <c:pt idx="685">
                  <c:v>9625.92</c:v>
                </c:pt>
                <c:pt idx="686">
                  <c:v>9630.3970000000008</c:v>
                </c:pt>
                <c:pt idx="687">
                  <c:v>9634.5380000000005</c:v>
                </c:pt>
                <c:pt idx="688">
                  <c:v>9644.2525000000005</c:v>
                </c:pt>
                <c:pt idx="689">
                  <c:v>9704.6680500000002</c:v>
                </c:pt>
                <c:pt idx="690">
                  <c:v>9715.8410000000003</c:v>
                </c:pt>
                <c:pt idx="691">
                  <c:v>9722.7695000000003</c:v>
                </c:pt>
                <c:pt idx="692">
                  <c:v>9724.5300000000007</c:v>
                </c:pt>
                <c:pt idx="693">
                  <c:v>9748.9105999999992</c:v>
                </c:pt>
                <c:pt idx="694">
                  <c:v>9778.3472000000002</c:v>
                </c:pt>
                <c:pt idx="695">
                  <c:v>9788.8659000000007</c:v>
                </c:pt>
                <c:pt idx="696">
                  <c:v>9800.8881999999994</c:v>
                </c:pt>
                <c:pt idx="697">
                  <c:v>9850.4320000000007</c:v>
                </c:pt>
                <c:pt idx="698">
                  <c:v>9855.1314000000002</c:v>
                </c:pt>
                <c:pt idx="699">
                  <c:v>9861.0249999999996</c:v>
                </c:pt>
                <c:pt idx="700">
                  <c:v>9863.4717999999993</c:v>
                </c:pt>
                <c:pt idx="701">
                  <c:v>9866.3048500000004</c:v>
                </c:pt>
                <c:pt idx="702">
                  <c:v>9869.8101999999999</c:v>
                </c:pt>
                <c:pt idx="703">
                  <c:v>9872.7009999999991</c:v>
                </c:pt>
                <c:pt idx="704">
                  <c:v>9875.6803999999993</c:v>
                </c:pt>
                <c:pt idx="705">
                  <c:v>9877.6077000000005</c:v>
                </c:pt>
                <c:pt idx="706">
                  <c:v>9880.0679999999993</c:v>
                </c:pt>
                <c:pt idx="707">
                  <c:v>9910.3598500000007</c:v>
                </c:pt>
                <c:pt idx="708">
                  <c:v>9957.7216000000008</c:v>
                </c:pt>
                <c:pt idx="709">
                  <c:v>9964.06</c:v>
                </c:pt>
                <c:pt idx="710">
                  <c:v>9991.0376500000002</c:v>
                </c:pt>
                <c:pt idx="711">
                  <c:v>10043.249</c:v>
                </c:pt>
                <c:pt idx="712">
                  <c:v>10065.413</c:v>
                </c:pt>
                <c:pt idx="713">
                  <c:v>10072.055050000001</c:v>
                </c:pt>
                <c:pt idx="714">
                  <c:v>10085.846</c:v>
                </c:pt>
                <c:pt idx="715">
                  <c:v>10096.969999999999</c:v>
                </c:pt>
                <c:pt idx="716">
                  <c:v>10106.134249999999</c:v>
                </c:pt>
                <c:pt idx="717">
                  <c:v>10107.220600000001</c:v>
                </c:pt>
                <c:pt idx="718">
                  <c:v>10115.00885</c:v>
                </c:pt>
                <c:pt idx="719">
                  <c:v>10118.424000000001</c:v>
                </c:pt>
                <c:pt idx="720">
                  <c:v>10141.136200000001</c:v>
                </c:pt>
                <c:pt idx="721">
                  <c:v>10156.7832</c:v>
                </c:pt>
                <c:pt idx="722">
                  <c:v>10197.772199999999</c:v>
                </c:pt>
                <c:pt idx="723">
                  <c:v>10214.636</c:v>
                </c:pt>
                <c:pt idx="724">
                  <c:v>10226.2842</c:v>
                </c:pt>
                <c:pt idx="725">
                  <c:v>10231.499900000001</c:v>
                </c:pt>
                <c:pt idx="726">
                  <c:v>10264.4421</c:v>
                </c:pt>
                <c:pt idx="727">
                  <c:v>10269.459999999999</c:v>
                </c:pt>
                <c:pt idx="728">
                  <c:v>10325.206</c:v>
                </c:pt>
                <c:pt idx="729">
                  <c:v>10338.9316</c:v>
                </c:pt>
                <c:pt idx="730">
                  <c:v>10355.641</c:v>
                </c:pt>
                <c:pt idx="731">
                  <c:v>10370.912549999999</c:v>
                </c:pt>
                <c:pt idx="732">
                  <c:v>10381.4787</c:v>
                </c:pt>
                <c:pt idx="733">
                  <c:v>10407.085849999999</c:v>
                </c:pt>
                <c:pt idx="734">
                  <c:v>10422.916649999999</c:v>
                </c:pt>
                <c:pt idx="735">
                  <c:v>10435.06525</c:v>
                </c:pt>
                <c:pt idx="736">
                  <c:v>10436.096</c:v>
                </c:pt>
                <c:pt idx="737">
                  <c:v>10450.552</c:v>
                </c:pt>
                <c:pt idx="738">
                  <c:v>10461.9794</c:v>
                </c:pt>
                <c:pt idx="739">
                  <c:v>10493.9458</c:v>
                </c:pt>
                <c:pt idx="740">
                  <c:v>10560.4917</c:v>
                </c:pt>
                <c:pt idx="741">
                  <c:v>10564.8845</c:v>
                </c:pt>
                <c:pt idx="742">
                  <c:v>10577.087</c:v>
                </c:pt>
                <c:pt idx="743">
                  <c:v>10579.710999999999</c:v>
                </c:pt>
                <c:pt idx="744">
                  <c:v>10594.225700000001</c:v>
                </c:pt>
                <c:pt idx="745">
                  <c:v>10594.501550000001</c:v>
                </c:pt>
                <c:pt idx="746">
                  <c:v>10600.5483</c:v>
                </c:pt>
                <c:pt idx="747">
                  <c:v>10601.412</c:v>
                </c:pt>
                <c:pt idx="748">
                  <c:v>10601.632250000001</c:v>
                </c:pt>
                <c:pt idx="749">
                  <c:v>10602.385</c:v>
                </c:pt>
                <c:pt idx="750">
                  <c:v>10702.642400000001</c:v>
                </c:pt>
                <c:pt idx="751">
                  <c:v>10704.47</c:v>
                </c:pt>
                <c:pt idx="752">
                  <c:v>10713.644</c:v>
                </c:pt>
                <c:pt idx="753">
                  <c:v>10736.87075</c:v>
                </c:pt>
                <c:pt idx="754">
                  <c:v>10791.96</c:v>
                </c:pt>
                <c:pt idx="755">
                  <c:v>10795.937330000001</c:v>
                </c:pt>
                <c:pt idx="756">
                  <c:v>10796.35025</c:v>
                </c:pt>
                <c:pt idx="757">
                  <c:v>10797.3362</c:v>
                </c:pt>
                <c:pt idx="758">
                  <c:v>10806.839</c:v>
                </c:pt>
                <c:pt idx="759">
                  <c:v>10807.4863</c:v>
                </c:pt>
                <c:pt idx="760">
                  <c:v>10825.253699999999</c:v>
                </c:pt>
                <c:pt idx="761">
                  <c:v>10848.1343</c:v>
                </c:pt>
                <c:pt idx="762">
                  <c:v>10923.933199999999</c:v>
                </c:pt>
                <c:pt idx="763">
                  <c:v>10928.849</c:v>
                </c:pt>
                <c:pt idx="764">
                  <c:v>10942.13205</c:v>
                </c:pt>
                <c:pt idx="765">
                  <c:v>10959.33</c:v>
                </c:pt>
                <c:pt idx="766">
                  <c:v>10959.6947</c:v>
                </c:pt>
                <c:pt idx="767">
                  <c:v>10965.446</c:v>
                </c:pt>
                <c:pt idx="768">
                  <c:v>10976.24575</c:v>
                </c:pt>
                <c:pt idx="769">
                  <c:v>10977.2063</c:v>
                </c:pt>
                <c:pt idx="770">
                  <c:v>10982.5013</c:v>
                </c:pt>
                <c:pt idx="771">
                  <c:v>11013.7119</c:v>
                </c:pt>
                <c:pt idx="772">
                  <c:v>11015.1747</c:v>
                </c:pt>
                <c:pt idx="773">
                  <c:v>11033.661700000001</c:v>
                </c:pt>
                <c:pt idx="774">
                  <c:v>11070.535</c:v>
                </c:pt>
                <c:pt idx="775">
                  <c:v>11073.175999999999</c:v>
                </c:pt>
                <c:pt idx="776">
                  <c:v>11082.5772</c:v>
                </c:pt>
                <c:pt idx="777">
                  <c:v>11085.586799999999</c:v>
                </c:pt>
                <c:pt idx="778">
                  <c:v>11090.7178</c:v>
                </c:pt>
                <c:pt idx="779">
                  <c:v>11093.6229</c:v>
                </c:pt>
                <c:pt idx="780">
                  <c:v>11150.78</c:v>
                </c:pt>
                <c:pt idx="781">
                  <c:v>11163.567999999999</c:v>
                </c:pt>
                <c:pt idx="782">
                  <c:v>11165.417649999999</c:v>
                </c:pt>
                <c:pt idx="783">
                  <c:v>11187.6567</c:v>
                </c:pt>
                <c:pt idx="784">
                  <c:v>11244.376899999999</c:v>
                </c:pt>
                <c:pt idx="785">
                  <c:v>11253.421</c:v>
                </c:pt>
                <c:pt idx="786">
                  <c:v>11264.540999999999</c:v>
                </c:pt>
                <c:pt idx="787">
                  <c:v>11272.331389999999</c:v>
                </c:pt>
                <c:pt idx="788">
                  <c:v>11286.538699999999</c:v>
                </c:pt>
                <c:pt idx="789">
                  <c:v>11289.10925</c:v>
                </c:pt>
                <c:pt idx="790">
                  <c:v>11299.343000000001</c:v>
                </c:pt>
                <c:pt idx="791">
                  <c:v>11305.93455</c:v>
                </c:pt>
                <c:pt idx="792">
                  <c:v>11326.71487</c:v>
                </c:pt>
                <c:pt idx="793">
                  <c:v>11345.519</c:v>
                </c:pt>
                <c:pt idx="794">
                  <c:v>11353.2276</c:v>
                </c:pt>
                <c:pt idx="795">
                  <c:v>11356.660900000001</c:v>
                </c:pt>
                <c:pt idx="796">
                  <c:v>11362.754999999999</c:v>
                </c:pt>
                <c:pt idx="797">
                  <c:v>11363.2832</c:v>
                </c:pt>
                <c:pt idx="798">
                  <c:v>11365.951999999999</c:v>
                </c:pt>
                <c:pt idx="799">
                  <c:v>11381.3254</c:v>
                </c:pt>
                <c:pt idx="800">
                  <c:v>11394.065549999999</c:v>
                </c:pt>
                <c:pt idx="801">
                  <c:v>11396.9002</c:v>
                </c:pt>
                <c:pt idx="802">
                  <c:v>11411.684999999999</c:v>
                </c:pt>
                <c:pt idx="803">
                  <c:v>11436.738149999999</c:v>
                </c:pt>
                <c:pt idx="804">
                  <c:v>11454.021500000001</c:v>
                </c:pt>
                <c:pt idx="805">
                  <c:v>11455.28</c:v>
                </c:pt>
                <c:pt idx="806">
                  <c:v>11482.63485</c:v>
                </c:pt>
                <c:pt idx="807">
                  <c:v>11488.31695</c:v>
                </c:pt>
                <c:pt idx="808">
                  <c:v>11512.405000000001</c:v>
                </c:pt>
                <c:pt idx="809">
                  <c:v>11520.099850000001</c:v>
                </c:pt>
                <c:pt idx="810">
                  <c:v>11534.872649999999</c:v>
                </c:pt>
                <c:pt idx="811">
                  <c:v>11538.421</c:v>
                </c:pt>
                <c:pt idx="812">
                  <c:v>11552.904</c:v>
                </c:pt>
                <c:pt idx="813">
                  <c:v>11554.223599999999</c:v>
                </c:pt>
                <c:pt idx="814">
                  <c:v>11566.30055</c:v>
                </c:pt>
                <c:pt idx="815">
                  <c:v>11576.13</c:v>
                </c:pt>
                <c:pt idx="816">
                  <c:v>11657.7189</c:v>
                </c:pt>
                <c:pt idx="817">
                  <c:v>11658.11505</c:v>
                </c:pt>
                <c:pt idx="818">
                  <c:v>11658.379150000001</c:v>
                </c:pt>
                <c:pt idx="819">
                  <c:v>11674.13</c:v>
                </c:pt>
                <c:pt idx="820">
                  <c:v>11729.6795</c:v>
                </c:pt>
                <c:pt idx="821">
                  <c:v>11735.87905</c:v>
                </c:pt>
                <c:pt idx="822">
                  <c:v>11737.848840000001</c:v>
                </c:pt>
                <c:pt idx="823">
                  <c:v>11741.726000000001</c:v>
                </c:pt>
                <c:pt idx="824">
                  <c:v>11743.299000000001</c:v>
                </c:pt>
                <c:pt idx="825">
                  <c:v>11743.9341</c:v>
                </c:pt>
                <c:pt idx="826">
                  <c:v>11763.000899999999</c:v>
                </c:pt>
                <c:pt idx="827">
                  <c:v>11830.6072</c:v>
                </c:pt>
                <c:pt idx="828">
                  <c:v>11833.782300000001</c:v>
                </c:pt>
                <c:pt idx="829">
                  <c:v>11837.16</c:v>
                </c:pt>
                <c:pt idx="830">
                  <c:v>11840.77505</c:v>
                </c:pt>
                <c:pt idx="831">
                  <c:v>11842.441999999999</c:v>
                </c:pt>
                <c:pt idx="832">
                  <c:v>11842.623750000001</c:v>
                </c:pt>
                <c:pt idx="833">
                  <c:v>11848.141</c:v>
                </c:pt>
                <c:pt idx="834">
                  <c:v>11856.4115</c:v>
                </c:pt>
                <c:pt idx="835">
                  <c:v>11879.10405</c:v>
                </c:pt>
                <c:pt idx="836">
                  <c:v>11881.358</c:v>
                </c:pt>
                <c:pt idx="837">
                  <c:v>11881.9696</c:v>
                </c:pt>
                <c:pt idx="838">
                  <c:v>11884.048580000001</c:v>
                </c:pt>
                <c:pt idx="839">
                  <c:v>11931.125249999999</c:v>
                </c:pt>
                <c:pt idx="840">
                  <c:v>11938.255950000001</c:v>
                </c:pt>
                <c:pt idx="841">
                  <c:v>11944.594349999999</c:v>
                </c:pt>
                <c:pt idx="842">
                  <c:v>11945.1327</c:v>
                </c:pt>
                <c:pt idx="843">
                  <c:v>11946.625899999999</c:v>
                </c:pt>
                <c:pt idx="844">
                  <c:v>11987.1682</c:v>
                </c:pt>
                <c:pt idx="845">
                  <c:v>12029.286700000001</c:v>
                </c:pt>
                <c:pt idx="846">
                  <c:v>12032.325999999999</c:v>
                </c:pt>
                <c:pt idx="847">
                  <c:v>12044.342000000001</c:v>
                </c:pt>
                <c:pt idx="848">
                  <c:v>12094.477999999999</c:v>
                </c:pt>
                <c:pt idx="849">
                  <c:v>12096.6512</c:v>
                </c:pt>
                <c:pt idx="850">
                  <c:v>12105.32</c:v>
                </c:pt>
                <c:pt idx="851">
                  <c:v>12124.992399999999</c:v>
                </c:pt>
                <c:pt idx="852">
                  <c:v>12129.614149999999</c:v>
                </c:pt>
                <c:pt idx="853">
                  <c:v>12142.578600000001</c:v>
                </c:pt>
                <c:pt idx="854">
                  <c:v>12146.971</c:v>
                </c:pt>
                <c:pt idx="855">
                  <c:v>12222.898300000001</c:v>
                </c:pt>
                <c:pt idx="856">
                  <c:v>12224.350850000001</c:v>
                </c:pt>
                <c:pt idx="857">
                  <c:v>12231.613600000001</c:v>
                </c:pt>
                <c:pt idx="858">
                  <c:v>12233.828</c:v>
                </c:pt>
                <c:pt idx="859">
                  <c:v>12235.8392</c:v>
                </c:pt>
                <c:pt idx="860">
                  <c:v>12244.531000000001</c:v>
                </c:pt>
                <c:pt idx="861">
                  <c:v>12265.5069</c:v>
                </c:pt>
                <c:pt idx="862">
                  <c:v>12268.632250000001</c:v>
                </c:pt>
                <c:pt idx="863">
                  <c:v>12269.68865</c:v>
                </c:pt>
                <c:pt idx="864">
                  <c:v>12323.936</c:v>
                </c:pt>
                <c:pt idx="865">
                  <c:v>12333.828</c:v>
                </c:pt>
                <c:pt idx="866">
                  <c:v>12347.172</c:v>
                </c:pt>
                <c:pt idx="867">
                  <c:v>12363.547</c:v>
                </c:pt>
                <c:pt idx="868">
                  <c:v>12404.8791</c:v>
                </c:pt>
                <c:pt idx="869">
                  <c:v>12430.95335</c:v>
                </c:pt>
                <c:pt idx="870">
                  <c:v>12475.3513</c:v>
                </c:pt>
                <c:pt idx="871">
                  <c:v>12479.70895</c:v>
                </c:pt>
                <c:pt idx="872">
                  <c:v>12485.8009</c:v>
                </c:pt>
                <c:pt idx="873">
                  <c:v>12495.290849999999</c:v>
                </c:pt>
                <c:pt idx="874">
                  <c:v>12523.604799999999</c:v>
                </c:pt>
                <c:pt idx="875">
                  <c:v>12557.605299999999</c:v>
                </c:pt>
                <c:pt idx="876">
                  <c:v>12574.049000000001</c:v>
                </c:pt>
                <c:pt idx="877">
                  <c:v>12592.5345</c:v>
                </c:pt>
                <c:pt idx="878">
                  <c:v>12609.88702</c:v>
                </c:pt>
                <c:pt idx="879">
                  <c:v>12622.1795</c:v>
                </c:pt>
                <c:pt idx="880">
                  <c:v>12629.1656</c:v>
                </c:pt>
                <c:pt idx="881">
                  <c:v>12629.896699999999</c:v>
                </c:pt>
                <c:pt idx="882">
                  <c:v>12638.195</c:v>
                </c:pt>
                <c:pt idx="883">
                  <c:v>12643.3778</c:v>
                </c:pt>
                <c:pt idx="884">
                  <c:v>12644.589</c:v>
                </c:pt>
                <c:pt idx="885">
                  <c:v>12646.207</c:v>
                </c:pt>
                <c:pt idx="886">
                  <c:v>12648.7034</c:v>
                </c:pt>
                <c:pt idx="887">
                  <c:v>12730.999599999999</c:v>
                </c:pt>
                <c:pt idx="888">
                  <c:v>12741.167450000001</c:v>
                </c:pt>
                <c:pt idx="889">
                  <c:v>12797.20962</c:v>
                </c:pt>
                <c:pt idx="890">
                  <c:v>12815.444949999999</c:v>
                </c:pt>
                <c:pt idx="891">
                  <c:v>12829.455099999999</c:v>
                </c:pt>
                <c:pt idx="892">
                  <c:v>12890.057650000001</c:v>
                </c:pt>
                <c:pt idx="893">
                  <c:v>12913.992399999999</c:v>
                </c:pt>
                <c:pt idx="894">
                  <c:v>12925.886</c:v>
                </c:pt>
                <c:pt idx="895">
                  <c:v>12928.7911</c:v>
                </c:pt>
                <c:pt idx="896">
                  <c:v>12949.1554</c:v>
                </c:pt>
                <c:pt idx="897">
                  <c:v>12950.0712</c:v>
                </c:pt>
                <c:pt idx="898">
                  <c:v>12957.118</c:v>
                </c:pt>
                <c:pt idx="899">
                  <c:v>12979.358</c:v>
                </c:pt>
                <c:pt idx="900">
                  <c:v>12981.3457</c:v>
                </c:pt>
                <c:pt idx="901">
                  <c:v>12982.8747</c:v>
                </c:pt>
                <c:pt idx="902">
                  <c:v>13012.20865</c:v>
                </c:pt>
                <c:pt idx="903">
                  <c:v>13019.161050000001</c:v>
                </c:pt>
                <c:pt idx="904">
                  <c:v>13041.921</c:v>
                </c:pt>
                <c:pt idx="905">
                  <c:v>13047.332350000001</c:v>
                </c:pt>
                <c:pt idx="906">
                  <c:v>13063.883</c:v>
                </c:pt>
                <c:pt idx="907">
                  <c:v>13112.604799999999</c:v>
                </c:pt>
                <c:pt idx="908">
                  <c:v>13126.677449999999</c:v>
                </c:pt>
                <c:pt idx="909">
                  <c:v>13129.603450000001</c:v>
                </c:pt>
                <c:pt idx="910">
                  <c:v>13143.336649999999</c:v>
                </c:pt>
                <c:pt idx="911">
                  <c:v>13143.86485</c:v>
                </c:pt>
                <c:pt idx="912">
                  <c:v>13204.28565</c:v>
                </c:pt>
                <c:pt idx="913">
                  <c:v>13217.094499999999</c:v>
                </c:pt>
                <c:pt idx="914">
                  <c:v>13224.057049999999</c:v>
                </c:pt>
                <c:pt idx="915">
                  <c:v>13224.692999999999</c:v>
                </c:pt>
                <c:pt idx="916">
                  <c:v>13228.846949999999</c:v>
                </c:pt>
                <c:pt idx="917">
                  <c:v>13352.0998</c:v>
                </c:pt>
                <c:pt idx="918">
                  <c:v>13390.558999999999</c:v>
                </c:pt>
                <c:pt idx="919">
                  <c:v>13393.755999999999</c:v>
                </c:pt>
                <c:pt idx="920">
                  <c:v>13405.390299999999</c:v>
                </c:pt>
                <c:pt idx="921">
                  <c:v>13415.0381</c:v>
                </c:pt>
                <c:pt idx="922">
                  <c:v>13429.035400000001</c:v>
                </c:pt>
                <c:pt idx="923">
                  <c:v>13430.264999999999</c:v>
                </c:pt>
                <c:pt idx="924">
                  <c:v>13451.121999999999</c:v>
                </c:pt>
                <c:pt idx="925">
                  <c:v>13457.960800000001</c:v>
                </c:pt>
                <c:pt idx="926">
                  <c:v>13462.52</c:v>
                </c:pt>
                <c:pt idx="927">
                  <c:v>13470.804400000001</c:v>
                </c:pt>
                <c:pt idx="928">
                  <c:v>13470.86</c:v>
                </c:pt>
                <c:pt idx="929">
                  <c:v>13555.0049</c:v>
                </c:pt>
                <c:pt idx="930">
                  <c:v>13607.36875</c:v>
                </c:pt>
                <c:pt idx="931">
                  <c:v>13616.3586</c:v>
                </c:pt>
                <c:pt idx="932">
                  <c:v>13635.6379</c:v>
                </c:pt>
                <c:pt idx="933">
                  <c:v>13725.47184</c:v>
                </c:pt>
                <c:pt idx="934">
                  <c:v>13747.87235</c:v>
                </c:pt>
                <c:pt idx="935">
                  <c:v>13770.097900000001</c:v>
                </c:pt>
                <c:pt idx="936">
                  <c:v>13822.803</c:v>
                </c:pt>
                <c:pt idx="937">
                  <c:v>13831.1152</c:v>
                </c:pt>
                <c:pt idx="938">
                  <c:v>13844.505999999999</c:v>
                </c:pt>
                <c:pt idx="939">
                  <c:v>13844.797200000001</c:v>
                </c:pt>
                <c:pt idx="940">
                  <c:v>13880.949000000001</c:v>
                </c:pt>
                <c:pt idx="941">
                  <c:v>13887.204</c:v>
                </c:pt>
                <c:pt idx="942">
                  <c:v>13887.968500000001</c:v>
                </c:pt>
                <c:pt idx="943">
                  <c:v>13919.822899999999</c:v>
                </c:pt>
                <c:pt idx="944">
                  <c:v>13937.666499999999</c:v>
                </c:pt>
                <c:pt idx="945">
                  <c:v>13974.455550000001</c:v>
                </c:pt>
                <c:pt idx="946">
                  <c:v>13981.850350000001</c:v>
                </c:pt>
                <c:pt idx="947">
                  <c:v>14001.1338</c:v>
                </c:pt>
                <c:pt idx="948">
                  <c:v>14001.286700000001</c:v>
                </c:pt>
                <c:pt idx="949">
                  <c:v>14007.222</c:v>
                </c:pt>
                <c:pt idx="950">
                  <c:v>14043.476699999999</c:v>
                </c:pt>
                <c:pt idx="951">
                  <c:v>14119.62</c:v>
                </c:pt>
                <c:pt idx="952">
                  <c:v>14133.03775</c:v>
                </c:pt>
                <c:pt idx="953">
                  <c:v>14210.53595</c:v>
                </c:pt>
                <c:pt idx="954">
                  <c:v>14235.072</c:v>
                </c:pt>
                <c:pt idx="955">
                  <c:v>14254.608200000001</c:v>
                </c:pt>
                <c:pt idx="956">
                  <c:v>14256.192800000001</c:v>
                </c:pt>
                <c:pt idx="957">
                  <c:v>14283.4594</c:v>
                </c:pt>
                <c:pt idx="958">
                  <c:v>14313.846299999999</c:v>
                </c:pt>
                <c:pt idx="959">
                  <c:v>14319.031000000001</c:v>
                </c:pt>
                <c:pt idx="960">
                  <c:v>14349.8544</c:v>
                </c:pt>
                <c:pt idx="961">
                  <c:v>14358.364369999999</c:v>
                </c:pt>
                <c:pt idx="962">
                  <c:v>14382.709049999999</c:v>
                </c:pt>
                <c:pt idx="963">
                  <c:v>14394.398150000001</c:v>
                </c:pt>
                <c:pt idx="964">
                  <c:v>14394.5579</c:v>
                </c:pt>
                <c:pt idx="965">
                  <c:v>14410.9321</c:v>
                </c:pt>
                <c:pt idx="966">
                  <c:v>14418.2804</c:v>
                </c:pt>
                <c:pt idx="967">
                  <c:v>14426.073850000001</c:v>
                </c:pt>
                <c:pt idx="968">
                  <c:v>14449.8544</c:v>
                </c:pt>
                <c:pt idx="969">
                  <c:v>14451.835150000001</c:v>
                </c:pt>
                <c:pt idx="970">
                  <c:v>14455.644050000001</c:v>
                </c:pt>
                <c:pt idx="971">
                  <c:v>14474.674999999999</c:v>
                </c:pt>
                <c:pt idx="972">
                  <c:v>14478.33015</c:v>
                </c:pt>
                <c:pt idx="973">
                  <c:v>14571.890799999999</c:v>
                </c:pt>
                <c:pt idx="974">
                  <c:v>14590.63205</c:v>
                </c:pt>
                <c:pt idx="975">
                  <c:v>14692.66935</c:v>
                </c:pt>
                <c:pt idx="976">
                  <c:v>14711.7438</c:v>
                </c:pt>
                <c:pt idx="977">
                  <c:v>14901.5167</c:v>
                </c:pt>
                <c:pt idx="978">
                  <c:v>14988.432000000001</c:v>
                </c:pt>
                <c:pt idx="979">
                  <c:v>15006.579449999999</c:v>
                </c:pt>
                <c:pt idx="980">
                  <c:v>15019.760050000001</c:v>
                </c:pt>
                <c:pt idx="981">
                  <c:v>15161.5344</c:v>
                </c:pt>
                <c:pt idx="982">
                  <c:v>15170.069</c:v>
                </c:pt>
                <c:pt idx="983">
                  <c:v>15230.324049999999</c:v>
                </c:pt>
                <c:pt idx="984">
                  <c:v>15359.104499999999</c:v>
                </c:pt>
                <c:pt idx="985">
                  <c:v>15518.180249999999</c:v>
                </c:pt>
                <c:pt idx="986">
                  <c:v>15555.188749999999</c:v>
                </c:pt>
                <c:pt idx="987">
                  <c:v>15612.19335</c:v>
                </c:pt>
                <c:pt idx="988">
                  <c:v>15817.985699999999</c:v>
                </c:pt>
                <c:pt idx="989">
                  <c:v>15820.699000000001</c:v>
                </c:pt>
                <c:pt idx="990">
                  <c:v>15828.82173</c:v>
                </c:pt>
                <c:pt idx="991">
                  <c:v>16069.08475</c:v>
                </c:pt>
                <c:pt idx="992">
                  <c:v>16085.127500000001</c:v>
                </c:pt>
                <c:pt idx="993">
                  <c:v>16115.3045</c:v>
                </c:pt>
                <c:pt idx="994">
                  <c:v>16138.762049999999</c:v>
                </c:pt>
                <c:pt idx="995">
                  <c:v>16232.847</c:v>
                </c:pt>
                <c:pt idx="996">
                  <c:v>16297.846</c:v>
                </c:pt>
                <c:pt idx="997">
                  <c:v>16420.494549999999</c:v>
                </c:pt>
                <c:pt idx="998">
                  <c:v>16450.894700000001</c:v>
                </c:pt>
                <c:pt idx="999">
                  <c:v>16455.707849999999</c:v>
                </c:pt>
                <c:pt idx="1000">
                  <c:v>16577.779500000001</c:v>
                </c:pt>
                <c:pt idx="1001">
                  <c:v>16586.49771</c:v>
                </c:pt>
                <c:pt idx="1002">
                  <c:v>16657.71745</c:v>
                </c:pt>
                <c:pt idx="1003">
                  <c:v>16776.304049999999</c:v>
                </c:pt>
                <c:pt idx="1004">
                  <c:v>16796.411940000002</c:v>
                </c:pt>
                <c:pt idx="1005">
                  <c:v>16884.923999999999</c:v>
                </c:pt>
                <c:pt idx="1006">
                  <c:v>17043.341400000001</c:v>
                </c:pt>
                <c:pt idx="1007">
                  <c:v>17081.080000000002</c:v>
                </c:pt>
                <c:pt idx="1008">
                  <c:v>17085.267599999999</c:v>
                </c:pt>
                <c:pt idx="1009">
                  <c:v>17128.426080000001</c:v>
                </c:pt>
                <c:pt idx="1010">
                  <c:v>17178.682400000002</c:v>
                </c:pt>
                <c:pt idx="1011">
                  <c:v>17179.522000000001</c:v>
                </c:pt>
                <c:pt idx="1012">
                  <c:v>17352.6803</c:v>
                </c:pt>
                <c:pt idx="1013">
                  <c:v>17361.766100000001</c:v>
                </c:pt>
                <c:pt idx="1014">
                  <c:v>17468.983899999999</c:v>
                </c:pt>
                <c:pt idx="1015">
                  <c:v>17496.306</c:v>
                </c:pt>
                <c:pt idx="1016">
                  <c:v>17560.37975</c:v>
                </c:pt>
                <c:pt idx="1017">
                  <c:v>17626.239509999999</c:v>
                </c:pt>
                <c:pt idx="1018">
                  <c:v>17663.144199999999</c:v>
                </c:pt>
                <c:pt idx="1019">
                  <c:v>17748.5062</c:v>
                </c:pt>
                <c:pt idx="1020">
                  <c:v>17878.900679999999</c:v>
                </c:pt>
                <c:pt idx="1021">
                  <c:v>17904.527050000001</c:v>
                </c:pt>
                <c:pt idx="1022">
                  <c:v>17929.303370000001</c:v>
                </c:pt>
                <c:pt idx="1023">
                  <c:v>17942.106</c:v>
                </c:pt>
                <c:pt idx="1024">
                  <c:v>18033.9679</c:v>
                </c:pt>
                <c:pt idx="1025">
                  <c:v>18157.876</c:v>
                </c:pt>
                <c:pt idx="1026">
                  <c:v>18218.161390000001</c:v>
                </c:pt>
                <c:pt idx="1027">
                  <c:v>18223.4512</c:v>
                </c:pt>
                <c:pt idx="1028">
                  <c:v>18246.495500000001</c:v>
                </c:pt>
                <c:pt idx="1029">
                  <c:v>18259.216</c:v>
                </c:pt>
                <c:pt idx="1030">
                  <c:v>18310.741999999998</c:v>
                </c:pt>
                <c:pt idx="1031">
                  <c:v>18328.238099999999</c:v>
                </c:pt>
                <c:pt idx="1032">
                  <c:v>18608.261999999999</c:v>
                </c:pt>
                <c:pt idx="1033">
                  <c:v>18648.421699999999</c:v>
                </c:pt>
                <c:pt idx="1034">
                  <c:v>18765.87545</c:v>
                </c:pt>
                <c:pt idx="1035">
                  <c:v>18767.737700000001</c:v>
                </c:pt>
                <c:pt idx="1036">
                  <c:v>18804.752400000001</c:v>
                </c:pt>
                <c:pt idx="1037">
                  <c:v>18806.145469999999</c:v>
                </c:pt>
                <c:pt idx="1038">
                  <c:v>18838.703659999999</c:v>
                </c:pt>
                <c:pt idx="1039">
                  <c:v>18903.491409999999</c:v>
                </c:pt>
                <c:pt idx="1040">
                  <c:v>18955.220170000001</c:v>
                </c:pt>
                <c:pt idx="1041">
                  <c:v>18963.171920000001</c:v>
                </c:pt>
                <c:pt idx="1042">
                  <c:v>18972.494999999999</c:v>
                </c:pt>
                <c:pt idx="1043">
                  <c:v>19023.259999999998</c:v>
                </c:pt>
                <c:pt idx="1044">
                  <c:v>19040.876</c:v>
                </c:pt>
                <c:pt idx="1045">
                  <c:v>19107.779600000002</c:v>
                </c:pt>
                <c:pt idx="1046">
                  <c:v>19144.576519999999</c:v>
                </c:pt>
                <c:pt idx="1047">
                  <c:v>19199.944</c:v>
                </c:pt>
                <c:pt idx="1048">
                  <c:v>19214.705529999999</c:v>
                </c:pt>
                <c:pt idx="1049">
                  <c:v>19350.368900000001</c:v>
                </c:pt>
                <c:pt idx="1050">
                  <c:v>19361.998800000001</c:v>
                </c:pt>
                <c:pt idx="1051">
                  <c:v>19442.353500000001</c:v>
                </c:pt>
                <c:pt idx="1052">
                  <c:v>19444.265800000001</c:v>
                </c:pt>
                <c:pt idx="1053">
                  <c:v>19496.71917</c:v>
                </c:pt>
                <c:pt idx="1054">
                  <c:v>19515.5416</c:v>
                </c:pt>
                <c:pt idx="1055">
                  <c:v>19521.968199999999</c:v>
                </c:pt>
                <c:pt idx="1056">
                  <c:v>19539.242999999999</c:v>
                </c:pt>
                <c:pt idx="1057">
                  <c:v>19594.809649999999</c:v>
                </c:pt>
                <c:pt idx="1058">
                  <c:v>19673.335729999999</c:v>
                </c:pt>
                <c:pt idx="1059">
                  <c:v>19719.6947</c:v>
                </c:pt>
                <c:pt idx="1060">
                  <c:v>19749.383379999999</c:v>
                </c:pt>
                <c:pt idx="1061">
                  <c:v>19798.054550000001</c:v>
                </c:pt>
                <c:pt idx="1062">
                  <c:v>19933.457999999999</c:v>
                </c:pt>
                <c:pt idx="1063">
                  <c:v>19964.746299999999</c:v>
                </c:pt>
                <c:pt idx="1064">
                  <c:v>20009.63365</c:v>
                </c:pt>
                <c:pt idx="1065">
                  <c:v>20149.322899999999</c:v>
                </c:pt>
                <c:pt idx="1066">
                  <c:v>20167.336029999999</c:v>
                </c:pt>
                <c:pt idx="1067">
                  <c:v>20177.671129999999</c:v>
                </c:pt>
                <c:pt idx="1068">
                  <c:v>20234.854749999999</c:v>
                </c:pt>
                <c:pt idx="1069">
                  <c:v>20277.807509999999</c:v>
                </c:pt>
                <c:pt idx="1070">
                  <c:v>20296.863450000001</c:v>
                </c:pt>
                <c:pt idx="1071">
                  <c:v>20420.604650000001</c:v>
                </c:pt>
                <c:pt idx="1072">
                  <c:v>20462.997660000001</c:v>
                </c:pt>
                <c:pt idx="1073">
                  <c:v>20630.283510000001</c:v>
                </c:pt>
                <c:pt idx="1074">
                  <c:v>20709.020339999999</c:v>
                </c:pt>
                <c:pt idx="1075">
                  <c:v>20745.989099999999</c:v>
                </c:pt>
                <c:pt idx="1076">
                  <c:v>20773.62775</c:v>
                </c:pt>
                <c:pt idx="1077">
                  <c:v>20781.48892</c:v>
                </c:pt>
                <c:pt idx="1078">
                  <c:v>20878.78443</c:v>
                </c:pt>
                <c:pt idx="1079">
                  <c:v>20984.0936</c:v>
                </c:pt>
                <c:pt idx="1080">
                  <c:v>21082.16</c:v>
                </c:pt>
                <c:pt idx="1081">
                  <c:v>21098.554049999999</c:v>
                </c:pt>
                <c:pt idx="1082">
                  <c:v>21195.817999999999</c:v>
                </c:pt>
                <c:pt idx="1083">
                  <c:v>21223.675800000001</c:v>
                </c:pt>
                <c:pt idx="1084">
                  <c:v>21232.182260000001</c:v>
                </c:pt>
                <c:pt idx="1085">
                  <c:v>21259.377949999998</c:v>
                </c:pt>
                <c:pt idx="1086">
                  <c:v>21344.846699999998</c:v>
                </c:pt>
                <c:pt idx="1087">
                  <c:v>21348.705999999998</c:v>
                </c:pt>
                <c:pt idx="1088">
                  <c:v>21472.478800000001</c:v>
                </c:pt>
                <c:pt idx="1089">
                  <c:v>21595.382290000001</c:v>
                </c:pt>
                <c:pt idx="1090">
                  <c:v>21659.930100000001</c:v>
                </c:pt>
                <c:pt idx="1091">
                  <c:v>21677.283449999999</c:v>
                </c:pt>
                <c:pt idx="1092">
                  <c:v>21771.3423</c:v>
                </c:pt>
                <c:pt idx="1093">
                  <c:v>21774.32215</c:v>
                </c:pt>
                <c:pt idx="1094">
                  <c:v>21797.000400000001</c:v>
                </c:pt>
                <c:pt idx="1095">
                  <c:v>21880.82</c:v>
                </c:pt>
                <c:pt idx="1096">
                  <c:v>21978.676899999999</c:v>
                </c:pt>
                <c:pt idx="1097">
                  <c:v>21984.47061</c:v>
                </c:pt>
                <c:pt idx="1098">
                  <c:v>22144.031999999999</c:v>
                </c:pt>
                <c:pt idx="1099">
                  <c:v>22192.437109999999</c:v>
                </c:pt>
                <c:pt idx="1100">
                  <c:v>22218.1149</c:v>
                </c:pt>
                <c:pt idx="1101">
                  <c:v>22331.566800000001</c:v>
                </c:pt>
                <c:pt idx="1102">
                  <c:v>22395.74424</c:v>
                </c:pt>
                <c:pt idx="1103">
                  <c:v>22412.648499999999</c:v>
                </c:pt>
                <c:pt idx="1104">
                  <c:v>22462.043750000001</c:v>
                </c:pt>
                <c:pt idx="1105">
                  <c:v>22478.6</c:v>
                </c:pt>
                <c:pt idx="1106">
                  <c:v>22493.659640000002</c:v>
                </c:pt>
                <c:pt idx="1107">
                  <c:v>23045.566159999998</c:v>
                </c:pt>
                <c:pt idx="1108">
                  <c:v>23065.420699999999</c:v>
                </c:pt>
                <c:pt idx="1109">
                  <c:v>23082.955330000001</c:v>
                </c:pt>
                <c:pt idx="1110">
                  <c:v>23241.47453</c:v>
                </c:pt>
                <c:pt idx="1111">
                  <c:v>23244.790199999999</c:v>
                </c:pt>
                <c:pt idx="1112">
                  <c:v>23288.928400000001</c:v>
                </c:pt>
                <c:pt idx="1113">
                  <c:v>23306.546999999999</c:v>
                </c:pt>
                <c:pt idx="1114">
                  <c:v>23401.30575</c:v>
                </c:pt>
                <c:pt idx="1115">
                  <c:v>23563.016179999999</c:v>
                </c:pt>
                <c:pt idx="1116">
                  <c:v>23568.272000000001</c:v>
                </c:pt>
                <c:pt idx="1117">
                  <c:v>23807.240600000001</c:v>
                </c:pt>
                <c:pt idx="1118">
                  <c:v>23887.662700000001</c:v>
                </c:pt>
                <c:pt idx="1119">
                  <c:v>23967.38305</c:v>
                </c:pt>
                <c:pt idx="1120">
                  <c:v>24059.680189999999</c:v>
                </c:pt>
                <c:pt idx="1121">
                  <c:v>24106.912550000001</c:v>
                </c:pt>
                <c:pt idx="1122">
                  <c:v>24180.933499999999</c:v>
                </c:pt>
                <c:pt idx="1123">
                  <c:v>24227.337240000001</c:v>
                </c:pt>
                <c:pt idx="1124">
                  <c:v>24393.6224</c:v>
                </c:pt>
                <c:pt idx="1125">
                  <c:v>24476.478510000001</c:v>
                </c:pt>
                <c:pt idx="1126">
                  <c:v>24513.091260000001</c:v>
                </c:pt>
                <c:pt idx="1127">
                  <c:v>24520.263999999999</c:v>
                </c:pt>
                <c:pt idx="1128">
                  <c:v>24535.698550000001</c:v>
                </c:pt>
                <c:pt idx="1129">
                  <c:v>24603.04837</c:v>
                </c:pt>
                <c:pt idx="1130">
                  <c:v>24667.419000000002</c:v>
                </c:pt>
                <c:pt idx="1131">
                  <c:v>24671.663339999999</c:v>
                </c:pt>
                <c:pt idx="1132">
                  <c:v>24869.836800000001</c:v>
                </c:pt>
                <c:pt idx="1133">
                  <c:v>24873.384900000001</c:v>
                </c:pt>
                <c:pt idx="1134">
                  <c:v>24915.046259999999</c:v>
                </c:pt>
                <c:pt idx="1135">
                  <c:v>24915.220850000002</c:v>
                </c:pt>
                <c:pt idx="1136">
                  <c:v>25081.76784</c:v>
                </c:pt>
                <c:pt idx="1137">
                  <c:v>25309.489000000001</c:v>
                </c:pt>
                <c:pt idx="1138">
                  <c:v>25333.332839999999</c:v>
                </c:pt>
                <c:pt idx="1139">
                  <c:v>25382.296999999999</c:v>
                </c:pt>
                <c:pt idx="1140">
                  <c:v>25517.11363</c:v>
                </c:pt>
                <c:pt idx="1141">
                  <c:v>25656.575260000001</c:v>
                </c:pt>
                <c:pt idx="1142">
                  <c:v>25678.778450000002</c:v>
                </c:pt>
                <c:pt idx="1143">
                  <c:v>25992.821039999999</c:v>
                </c:pt>
                <c:pt idx="1144">
                  <c:v>26018.950519999999</c:v>
                </c:pt>
                <c:pt idx="1145">
                  <c:v>26109.32905</c:v>
                </c:pt>
                <c:pt idx="1146">
                  <c:v>26125.674770000001</c:v>
                </c:pt>
                <c:pt idx="1147">
                  <c:v>26140.3603</c:v>
                </c:pt>
                <c:pt idx="1148">
                  <c:v>26236.579969999999</c:v>
                </c:pt>
                <c:pt idx="1149">
                  <c:v>26392.260289999998</c:v>
                </c:pt>
                <c:pt idx="1150">
                  <c:v>26467.09737</c:v>
                </c:pt>
                <c:pt idx="1151">
                  <c:v>26926.5144</c:v>
                </c:pt>
                <c:pt idx="1152">
                  <c:v>27000.98473</c:v>
                </c:pt>
                <c:pt idx="1153">
                  <c:v>27037.914100000002</c:v>
                </c:pt>
                <c:pt idx="1154">
                  <c:v>27117.993780000001</c:v>
                </c:pt>
                <c:pt idx="1155">
                  <c:v>27218.437249999999</c:v>
                </c:pt>
                <c:pt idx="1156">
                  <c:v>27322.73386</c:v>
                </c:pt>
                <c:pt idx="1157">
                  <c:v>27346.04207</c:v>
                </c:pt>
                <c:pt idx="1158">
                  <c:v>27375.904780000001</c:v>
                </c:pt>
                <c:pt idx="1159">
                  <c:v>27533.912899999999</c:v>
                </c:pt>
                <c:pt idx="1160">
                  <c:v>27724.28875</c:v>
                </c:pt>
                <c:pt idx="1161">
                  <c:v>27808.7251</c:v>
                </c:pt>
                <c:pt idx="1162">
                  <c:v>27941.28758</c:v>
                </c:pt>
                <c:pt idx="1163">
                  <c:v>28101.333050000001</c:v>
                </c:pt>
                <c:pt idx="1164">
                  <c:v>28287.897659999999</c:v>
                </c:pt>
                <c:pt idx="1165">
                  <c:v>28340.188849999999</c:v>
                </c:pt>
                <c:pt idx="1166">
                  <c:v>28468.919010000001</c:v>
                </c:pt>
                <c:pt idx="1167">
                  <c:v>28476.734990000001</c:v>
                </c:pt>
                <c:pt idx="1168">
                  <c:v>28868.6639</c:v>
                </c:pt>
                <c:pt idx="1169">
                  <c:v>28923.136920000001</c:v>
                </c:pt>
                <c:pt idx="1170">
                  <c:v>28950.4692</c:v>
                </c:pt>
                <c:pt idx="1171">
                  <c:v>29141.3603</c:v>
                </c:pt>
                <c:pt idx="1172">
                  <c:v>29186.482360000002</c:v>
                </c:pt>
                <c:pt idx="1173">
                  <c:v>29330.98315</c:v>
                </c:pt>
                <c:pt idx="1174">
                  <c:v>29523.1656</c:v>
                </c:pt>
                <c:pt idx="1175">
                  <c:v>30063.580549999999</c:v>
                </c:pt>
                <c:pt idx="1176">
                  <c:v>30166.618170000002</c:v>
                </c:pt>
                <c:pt idx="1177">
                  <c:v>30184.936699999998</c:v>
                </c:pt>
                <c:pt idx="1178">
                  <c:v>30259.995559999999</c:v>
                </c:pt>
                <c:pt idx="1179">
                  <c:v>30284.642940000002</c:v>
                </c:pt>
                <c:pt idx="1180">
                  <c:v>30942.191800000001</c:v>
                </c:pt>
                <c:pt idx="1181">
                  <c:v>31620.001059999999</c:v>
                </c:pt>
                <c:pt idx="1182">
                  <c:v>32108.662820000001</c:v>
                </c:pt>
                <c:pt idx="1183">
                  <c:v>32548.340499999998</c:v>
                </c:pt>
                <c:pt idx="1184">
                  <c:v>32734.186300000001</c:v>
                </c:pt>
                <c:pt idx="1185">
                  <c:v>32787.458590000002</c:v>
                </c:pt>
                <c:pt idx="1186">
                  <c:v>33307.550799999997</c:v>
                </c:pt>
                <c:pt idx="1187">
                  <c:v>33471.971890000001</c:v>
                </c:pt>
                <c:pt idx="1188">
                  <c:v>33475.817150000003</c:v>
                </c:pt>
                <c:pt idx="1189">
                  <c:v>33732.686699999998</c:v>
                </c:pt>
                <c:pt idx="1190">
                  <c:v>33750.291799999999</c:v>
                </c:pt>
                <c:pt idx="1191">
                  <c:v>33900.652999999998</c:v>
                </c:pt>
                <c:pt idx="1192">
                  <c:v>33907.548000000003</c:v>
                </c:pt>
                <c:pt idx="1193">
                  <c:v>34166.273000000001</c:v>
                </c:pt>
                <c:pt idx="1194">
                  <c:v>34254.053350000002</c:v>
                </c:pt>
                <c:pt idx="1195">
                  <c:v>34303.167200000004</c:v>
                </c:pt>
                <c:pt idx="1196">
                  <c:v>34439.855900000002</c:v>
                </c:pt>
                <c:pt idx="1197">
                  <c:v>34472.841</c:v>
                </c:pt>
                <c:pt idx="1198">
                  <c:v>34617.840649999998</c:v>
                </c:pt>
                <c:pt idx="1199">
                  <c:v>34672.147199999999</c:v>
                </c:pt>
                <c:pt idx="1200">
                  <c:v>34779.614999999998</c:v>
                </c:pt>
                <c:pt idx="1201">
                  <c:v>34806.467700000001</c:v>
                </c:pt>
                <c:pt idx="1202">
                  <c:v>34828.654000000002</c:v>
                </c:pt>
                <c:pt idx="1203">
                  <c:v>34838.873</c:v>
                </c:pt>
                <c:pt idx="1204">
                  <c:v>35069.374519999998</c:v>
                </c:pt>
                <c:pt idx="1205">
                  <c:v>35147.528480000001</c:v>
                </c:pt>
                <c:pt idx="1206">
                  <c:v>35160.134570000002</c:v>
                </c:pt>
                <c:pt idx="1207">
                  <c:v>35491.64</c:v>
                </c:pt>
                <c:pt idx="1208">
                  <c:v>35585.576000000001</c:v>
                </c:pt>
                <c:pt idx="1209">
                  <c:v>35595.589800000002</c:v>
                </c:pt>
                <c:pt idx="1210">
                  <c:v>36021.011200000001</c:v>
                </c:pt>
                <c:pt idx="1211">
                  <c:v>36085.218999999997</c:v>
                </c:pt>
                <c:pt idx="1212">
                  <c:v>36124.573700000001</c:v>
                </c:pt>
                <c:pt idx="1213">
                  <c:v>36149.483500000002</c:v>
                </c:pt>
                <c:pt idx="1214">
                  <c:v>36189.101699999999</c:v>
                </c:pt>
                <c:pt idx="1215">
                  <c:v>36197.699000000001</c:v>
                </c:pt>
                <c:pt idx="1216">
                  <c:v>36219.405449999998</c:v>
                </c:pt>
                <c:pt idx="1217">
                  <c:v>36307.798300000002</c:v>
                </c:pt>
                <c:pt idx="1218">
                  <c:v>36397.576000000001</c:v>
                </c:pt>
                <c:pt idx="1219">
                  <c:v>36580.282160000002</c:v>
                </c:pt>
                <c:pt idx="1220">
                  <c:v>36837.466999999997</c:v>
                </c:pt>
                <c:pt idx="1221">
                  <c:v>36898.733079999998</c:v>
                </c:pt>
                <c:pt idx="1222">
                  <c:v>36910.608030000003</c:v>
                </c:pt>
                <c:pt idx="1223">
                  <c:v>36950.256699999998</c:v>
                </c:pt>
                <c:pt idx="1224">
                  <c:v>37079.372000000003</c:v>
                </c:pt>
                <c:pt idx="1225">
                  <c:v>37133.898200000003</c:v>
                </c:pt>
                <c:pt idx="1226">
                  <c:v>37165.163800000002</c:v>
                </c:pt>
                <c:pt idx="1227">
                  <c:v>37270.1512</c:v>
                </c:pt>
                <c:pt idx="1228">
                  <c:v>37465.34375</c:v>
                </c:pt>
                <c:pt idx="1229">
                  <c:v>37484.4493</c:v>
                </c:pt>
                <c:pt idx="1230">
                  <c:v>37607.527699999999</c:v>
                </c:pt>
                <c:pt idx="1231">
                  <c:v>37701.876799999998</c:v>
                </c:pt>
                <c:pt idx="1232">
                  <c:v>37742.575700000001</c:v>
                </c:pt>
                <c:pt idx="1233">
                  <c:v>37829.724199999997</c:v>
                </c:pt>
                <c:pt idx="1234">
                  <c:v>38126.246500000001</c:v>
                </c:pt>
                <c:pt idx="1235">
                  <c:v>38245.593269999998</c:v>
                </c:pt>
                <c:pt idx="1236">
                  <c:v>38282.749499999998</c:v>
                </c:pt>
                <c:pt idx="1237">
                  <c:v>38344.565999999999</c:v>
                </c:pt>
                <c:pt idx="1238">
                  <c:v>38415.474000000002</c:v>
                </c:pt>
                <c:pt idx="1239">
                  <c:v>38511.628299999997</c:v>
                </c:pt>
                <c:pt idx="1240">
                  <c:v>38709.175999999999</c:v>
                </c:pt>
                <c:pt idx="1241">
                  <c:v>38711</c:v>
                </c:pt>
                <c:pt idx="1242">
                  <c:v>38746.355100000001</c:v>
                </c:pt>
                <c:pt idx="1243">
                  <c:v>38792.685599999997</c:v>
                </c:pt>
                <c:pt idx="1244">
                  <c:v>38998.546000000002</c:v>
                </c:pt>
                <c:pt idx="1245">
                  <c:v>39047.285000000003</c:v>
                </c:pt>
                <c:pt idx="1246">
                  <c:v>39125.332249999999</c:v>
                </c:pt>
                <c:pt idx="1247">
                  <c:v>39241.442000000003</c:v>
                </c:pt>
                <c:pt idx="1248">
                  <c:v>39556.494500000001</c:v>
                </c:pt>
                <c:pt idx="1249">
                  <c:v>39597.407200000001</c:v>
                </c:pt>
                <c:pt idx="1250">
                  <c:v>39611.757700000002</c:v>
                </c:pt>
                <c:pt idx="1251">
                  <c:v>39722.746200000001</c:v>
                </c:pt>
                <c:pt idx="1252">
                  <c:v>39725.518049999999</c:v>
                </c:pt>
                <c:pt idx="1253">
                  <c:v>39727.614000000001</c:v>
                </c:pt>
                <c:pt idx="1254">
                  <c:v>39774.276299999998</c:v>
                </c:pt>
                <c:pt idx="1255">
                  <c:v>39836.519</c:v>
                </c:pt>
                <c:pt idx="1256">
                  <c:v>39871.704299999998</c:v>
                </c:pt>
                <c:pt idx="1257">
                  <c:v>39983.425949999997</c:v>
                </c:pt>
                <c:pt idx="1258">
                  <c:v>40003.332249999999</c:v>
                </c:pt>
                <c:pt idx="1259">
                  <c:v>40103.89</c:v>
                </c:pt>
                <c:pt idx="1260">
                  <c:v>40182.245999999999</c:v>
                </c:pt>
                <c:pt idx="1261">
                  <c:v>40273.645499999999</c:v>
                </c:pt>
                <c:pt idx="1262">
                  <c:v>40419.019099999998</c:v>
                </c:pt>
                <c:pt idx="1263">
                  <c:v>40720.551050000002</c:v>
                </c:pt>
                <c:pt idx="1264">
                  <c:v>40904.199500000002</c:v>
                </c:pt>
                <c:pt idx="1265">
                  <c:v>40932.429499999998</c:v>
                </c:pt>
                <c:pt idx="1266">
                  <c:v>40941.285400000001</c:v>
                </c:pt>
                <c:pt idx="1267">
                  <c:v>40974.164900000003</c:v>
                </c:pt>
                <c:pt idx="1268">
                  <c:v>41034.221400000002</c:v>
                </c:pt>
                <c:pt idx="1269">
                  <c:v>41097.161749999999</c:v>
                </c:pt>
                <c:pt idx="1270">
                  <c:v>41661.601999999999</c:v>
                </c:pt>
                <c:pt idx="1271">
                  <c:v>41676.081100000003</c:v>
                </c:pt>
                <c:pt idx="1272">
                  <c:v>41919.097000000002</c:v>
                </c:pt>
                <c:pt idx="1273">
                  <c:v>41949.244100000004</c:v>
                </c:pt>
                <c:pt idx="1274">
                  <c:v>41999.519999999997</c:v>
                </c:pt>
                <c:pt idx="1275">
                  <c:v>42111.664700000001</c:v>
                </c:pt>
                <c:pt idx="1276">
                  <c:v>42112.2356</c:v>
                </c:pt>
                <c:pt idx="1277">
                  <c:v>42124.515299999999</c:v>
                </c:pt>
                <c:pt idx="1278">
                  <c:v>42211.138200000001</c:v>
                </c:pt>
                <c:pt idx="1279">
                  <c:v>42303.692150000003</c:v>
                </c:pt>
                <c:pt idx="1280">
                  <c:v>42560.430399999997</c:v>
                </c:pt>
                <c:pt idx="1281">
                  <c:v>42760.502200000003</c:v>
                </c:pt>
                <c:pt idx="1282">
                  <c:v>42856.838000000003</c:v>
                </c:pt>
                <c:pt idx="1283">
                  <c:v>42969.852700000003</c:v>
                </c:pt>
                <c:pt idx="1284">
                  <c:v>42983.458500000001</c:v>
                </c:pt>
                <c:pt idx="1285">
                  <c:v>43254.417950000003</c:v>
                </c:pt>
                <c:pt idx="1286">
                  <c:v>43578.939400000003</c:v>
                </c:pt>
                <c:pt idx="1287">
                  <c:v>43753.337050000002</c:v>
                </c:pt>
                <c:pt idx="1288">
                  <c:v>43813.866099999999</c:v>
                </c:pt>
                <c:pt idx="1289">
                  <c:v>43896.376300000004</c:v>
                </c:pt>
                <c:pt idx="1290">
                  <c:v>43921.183700000001</c:v>
                </c:pt>
                <c:pt idx="1291">
                  <c:v>43943.876100000001</c:v>
                </c:pt>
                <c:pt idx="1292">
                  <c:v>44202.653599999998</c:v>
                </c:pt>
                <c:pt idx="1293">
                  <c:v>44260.749900000003</c:v>
                </c:pt>
                <c:pt idx="1294">
                  <c:v>44400.4064</c:v>
                </c:pt>
                <c:pt idx="1295">
                  <c:v>44423.803</c:v>
                </c:pt>
                <c:pt idx="1296">
                  <c:v>44501.398200000003</c:v>
                </c:pt>
                <c:pt idx="1297">
                  <c:v>44585.455869999998</c:v>
                </c:pt>
                <c:pt idx="1298">
                  <c:v>44641.197399999997</c:v>
                </c:pt>
                <c:pt idx="1299">
                  <c:v>45008.955499999996</c:v>
                </c:pt>
                <c:pt idx="1300">
                  <c:v>45702.022349999999</c:v>
                </c:pt>
                <c:pt idx="1301">
                  <c:v>45710.207849999999</c:v>
                </c:pt>
                <c:pt idx="1302">
                  <c:v>45863.205000000002</c:v>
                </c:pt>
                <c:pt idx="1303">
                  <c:v>46113.510999999999</c:v>
                </c:pt>
                <c:pt idx="1304">
                  <c:v>46130.5265</c:v>
                </c:pt>
                <c:pt idx="1305">
                  <c:v>46151.124499999998</c:v>
                </c:pt>
                <c:pt idx="1306">
                  <c:v>46200.985099999998</c:v>
                </c:pt>
                <c:pt idx="1307">
                  <c:v>46255.112500000003</c:v>
                </c:pt>
                <c:pt idx="1308">
                  <c:v>46599.108399999997</c:v>
                </c:pt>
                <c:pt idx="1309">
                  <c:v>46661.4424</c:v>
                </c:pt>
                <c:pt idx="1310">
                  <c:v>46718.163249999998</c:v>
                </c:pt>
                <c:pt idx="1311">
                  <c:v>46889.261200000001</c:v>
                </c:pt>
                <c:pt idx="1312">
                  <c:v>47055.532099999997</c:v>
                </c:pt>
                <c:pt idx="1313">
                  <c:v>47269.853999999999</c:v>
                </c:pt>
                <c:pt idx="1314">
                  <c:v>47291.055</c:v>
                </c:pt>
                <c:pt idx="1315">
                  <c:v>47305.305</c:v>
                </c:pt>
                <c:pt idx="1316">
                  <c:v>47403.88</c:v>
                </c:pt>
                <c:pt idx="1317">
                  <c:v>47462.894</c:v>
                </c:pt>
                <c:pt idx="1318">
                  <c:v>47496.494449999998</c:v>
                </c:pt>
                <c:pt idx="1319">
                  <c:v>47896.79135</c:v>
                </c:pt>
                <c:pt idx="1320">
                  <c:v>47928.03</c:v>
                </c:pt>
                <c:pt idx="1321">
                  <c:v>48173.360999999997</c:v>
                </c:pt>
                <c:pt idx="1322">
                  <c:v>48517.563150000002</c:v>
                </c:pt>
                <c:pt idx="1323">
                  <c:v>48549.178350000002</c:v>
                </c:pt>
                <c:pt idx="1324">
                  <c:v>48673.558799999999</c:v>
                </c:pt>
                <c:pt idx="1325">
                  <c:v>48675.517699999997</c:v>
                </c:pt>
                <c:pt idx="1326">
                  <c:v>48824.45</c:v>
                </c:pt>
                <c:pt idx="1327">
                  <c:v>48885.135609999998</c:v>
                </c:pt>
                <c:pt idx="1328">
                  <c:v>48970.247600000002</c:v>
                </c:pt>
                <c:pt idx="1329">
                  <c:v>49577.662400000001</c:v>
                </c:pt>
                <c:pt idx="1330">
                  <c:v>51194.559139999998</c:v>
                </c:pt>
                <c:pt idx="1331">
                  <c:v>52590.829389999999</c:v>
                </c:pt>
                <c:pt idx="1332">
                  <c:v>55135.402090000003</c:v>
                </c:pt>
                <c:pt idx="1333">
                  <c:v>58571.074480000003</c:v>
                </c:pt>
                <c:pt idx="1334">
                  <c:v>60021.398970000002</c:v>
                </c:pt>
                <c:pt idx="1335">
                  <c:v>62592.873090000001</c:v>
                </c:pt>
                <c:pt idx="1336">
                  <c:v>63770.428010000003</c:v>
                </c:pt>
              </c:numCache>
            </c:numRef>
          </c:yVal>
          <c:smooth val="1"/>
          <c:extLst>
            <c:ext xmlns:c16="http://schemas.microsoft.com/office/drawing/2014/chart" uri="{C3380CC4-5D6E-409C-BE32-E72D297353CC}">
              <c16:uniqueId val="{00000000-AED4-45C6-8EE4-75CF4AEF2318}"/>
            </c:ext>
          </c:extLst>
        </c:ser>
        <c:dLbls>
          <c:showLegendKey val="0"/>
          <c:showVal val="0"/>
          <c:showCatName val="0"/>
          <c:showSerName val="0"/>
          <c:showPercent val="0"/>
          <c:showBubbleSize val="0"/>
        </c:dLbls>
        <c:axId val="848718159"/>
        <c:axId val="848724399"/>
      </c:scatterChart>
      <c:valAx>
        <c:axId val="848718159"/>
        <c:scaling>
          <c:orientation val="minMax"/>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848724399"/>
        <c:crosses val="autoZero"/>
        <c:crossBetween val="midCat"/>
      </c:valAx>
      <c:valAx>
        <c:axId val="8487243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Charges($)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quot;K&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71815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[healthcare_insurance_dashboard.xlsx]Sheet17!PivotTable19</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Sheet17!$B$3</c:f>
              <c:strCache>
                <c:ptCount val="1"/>
                <c:pt idx="0">
                  <c:v>Total</c:v>
                </c:pt>
              </c:strCache>
            </c:strRef>
          </c:tx>
          <c:spPr>
            <a:solidFill>
              <a:schemeClr val="accent1"/>
            </a:solidFill>
            <a:ln>
              <a:noFill/>
            </a:ln>
            <a:effectLst/>
          </c:spPr>
          <c:invertIfNegative val="0"/>
          <c:cat>
            <c:strRef>
              <c:f>Sheet17!$A$4:$A$8</c:f>
              <c:strCache>
                <c:ptCount val="4"/>
                <c:pt idx="0">
                  <c:v>Obese</c:v>
                </c:pt>
                <c:pt idx="1">
                  <c:v>Overweight</c:v>
                </c:pt>
                <c:pt idx="2">
                  <c:v>Normal</c:v>
                </c:pt>
                <c:pt idx="3">
                  <c:v>Underweight</c:v>
                </c:pt>
              </c:strCache>
            </c:strRef>
          </c:cat>
          <c:val>
            <c:numRef>
              <c:f>Sheet17!$B$4:$B$8</c:f>
              <c:numCache>
                <c:formatCode>_-[$$-409]* #,##0.00_ ;_-[$$-409]* \-#,##0.00\ ;_-[$$-409]* "-"??_ ;_-@_ </c:formatCode>
                <c:ptCount val="4"/>
                <c:pt idx="0">
                  <c:v>20964.187893541082</c:v>
                </c:pt>
                <c:pt idx="1">
                  <c:v>6162.731749919687</c:v>
                </c:pt>
                <c:pt idx="2">
                  <c:v>2447.0473602222219</c:v>
                </c:pt>
                <c:pt idx="3">
                  <c:v>1203.4331649999999</c:v>
                </c:pt>
              </c:numCache>
            </c:numRef>
          </c:val>
          <c:extLst>
            <c:ext xmlns:c16="http://schemas.microsoft.com/office/drawing/2014/chart" uri="{C3380CC4-5D6E-409C-BE32-E72D297353CC}">
              <c16:uniqueId val="{00000000-0523-46BD-A9A9-1E26229630ED}"/>
            </c:ext>
          </c:extLst>
        </c:ser>
        <c:dLbls>
          <c:showLegendKey val="0"/>
          <c:showVal val="0"/>
          <c:showCatName val="0"/>
          <c:showSerName val="0"/>
          <c:showPercent val="0"/>
          <c:showBubbleSize val="0"/>
        </c:dLbls>
        <c:gapWidth val="219"/>
        <c:overlap val="-27"/>
        <c:axId val="848697039"/>
        <c:axId val="848687439"/>
      </c:barChart>
      <c:catAx>
        <c:axId val="848697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687439"/>
        <c:crosses val="autoZero"/>
        <c:auto val="1"/>
        <c:lblAlgn val="ctr"/>
        <c:lblOffset val="100"/>
        <c:noMultiLvlLbl val="0"/>
      </c:catAx>
      <c:valAx>
        <c:axId val="848687439"/>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697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[healthcare_insurance_dashboard.xlsx]Sheet17!PivotTable19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1"/>
                </a:solidFill>
              </a:rPr>
              <a:t>Average charges by BMI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dLbl>
          <c:idx val="0"/>
          <c:layout>
            <c:manualLayout>
              <c:x val="-2.7777777777777779E-3"/>
              <c:y val="9.189997083697828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dLbl>
          <c:idx val="0"/>
          <c:layout>
            <c:manualLayout>
              <c:x val="0"/>
              <c:y val="4.560367454068241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dLbl>
          <c:idx val="0"/>
          <c:layout>
            <c:manualLayout>
              <c:x val="0"/>
              <c:y val="6.375400991542638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dLbl>
          <c:idx val="0"/>
          <c:layout>
            <c:manualLayout>
              <c:x val="0"/>
              <c:y val="1.20144356955379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Sheet17!$B$3</c:f>
              <c:strCache>
                <c:ptCount val="1"/>
                <c:pt idx="0">
                  <c:v>Total</c:v>
                </c:pt>
              </c:strCache>
            </c:strRef>
          </c:tx>
          <c:spPr>
            <a:solidFill>
              <a:schemeClr val="accent4"/>
            </a:solidFill>
            <a:ln>
              <a:noFill/>
            </a:ln>
            <a:effectLst/>
          </c:spPr>
          <c:invertIfNegative val="0"/>
          <c:dPt>
            <c:idx val="0"/>
            <c:invertIfNegative val="0"/>
            <c:bubble3D val="0"/>
            <c:spPr>
              <a:solidFill>
                <a:schemeClr val="accent4"/>
              </a:solidFill>
              <a:ln>
                <a:noFill/>
              </a:ln>
              <a:effectLst/>
            </c:spPr>
            <c:extLst>
              <c:ext xmlns:c16="http://schemas.microsoft.com/office/drawing/2014/chart" uri="{C3380CC4-5D6E-409C-BE32-E72D297353CC}">
                <c16:uniqueId val="{00000002-7EF6-45EA-9EC3-530F191B2341}"/>
              </c:ext>
            </c:extLst>
          </c:dPt>
          <c:dPt>
            <c:idx val="1"/>
            <c:invertIfNegative val="0"/>
            <c:bubble3D val="0"/>
            <c:spPr>
              <a:solidFill>
                <a:schemeClr val="accent4"/>
              </a:solidFill>
              <a:ln>
                <a:noFill/>
              </a:ln>
              <a:effectLst/>
            </c:spPr>
            <c:extLst>
              <c:ext xmlns:c16="http://schemas.microsoft.com/office/drawing/2014/chart" uri="{C3380CC4-5D6E-409C-BE32-E72D297353CC}">
                <c16:uniqueId val="{00000003-7EF6-45EA-9EC3-530F191B2341}"/>
              </c:ext>
            </c:extLst>
          </c:dPt>
          <c:dPt>
            <c:idx val="2"/>
            <c:invertIfNegative val="0"/>
            <c:bubble3D val="0"/>
            <c:spPr>
              <a:solidFill>
                <a:schemeClr val="accent4"/>
              </a:solidFill>
              <a:ln>
                <a:noFill/>
              </a:ln>
              <a:effectLst/>
            </c:spPr>
            <c:extLst>
              <c:ext xmlns:c16="http://schemas.microsoft.com/office/drawing/2014/chart" uri="{C3380CC4-5D6E-409C-BE32-E72D297353CC}">
                <c16:uniqueId val="{00000004-7EF6-45EA-9EC3-530F191B2341}"/>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5-7EF6-45EA-9EC3-530F191B2341}"/>
              </c:ext>
            </c:extLst>
          </c:dPt>
          <c:dLbls>
            <c:dLbl>
              <c:idx val="0"/>
              <c:layout>
                <c:manualLayout>
                  <c:x val="-2.7777777777777779E-3"/>
                  <c:y val="9.189997083697828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EF6-45EA-9EC3-530F191B2341}"/>
                </c:ext>
              </c:extLst>
            </c:dLbl>
            <c:dLbl>
              <c:idx val="1"/>
              <c:layout>
                <c:manualLayout>
                  <c:x val="0"/>
                  <c:y val="4.560367454068241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EF6-45EA-9EC3-530F191B2341}"/>
                </c:ext>
              </c:extLst>
            </c:dLbl>
            <c:dLbl>
              <c:idx val="2"/>
              <c:layout>
                <c:manualLayout>
                  <c:x val="0"/>
                  <c:y val="6.375400991542638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EF6-45EA-9EC3-530F191B2341}"/>
                </c:ext>
              </c:extLst>
            </c:dLbl>
            <c:dLbl>
              <c:idx val="3"/>
              <c:layout>
                <c:manualLayout>
                  <c:x val="0"/>
                  <c:y val="1.201443569553797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EF6-45EA-9EC3-530F191B234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Sheet17!$A$4:$A$8</c:f>
              <c:strCache>
                <c:ptCount val="4"/>
                <c:pt idx="0">
                  <c:v>Obese</c:v>
                </c:pt>
                <c:pt idx="1">
                  <c:v>Overweight</c:v>
                </c:pt>
                <c:pt idx="2">
                  <c:v>Normal</c:v>
                </c:pt>
                <c:pt idx="3">
                  <c:v>Underweight</c:v>
                </c:pt>
              </c:strCache>
            </c:strRef>
          </c:cat>
          <c:val>
            <c:numRef>
              <c:f>Sheet17!$B$4:$B$8</c:f>
              <c:numCache>
                <c:formatCode>_-[$$-409]* #,##0.00_ ;_-[$$-409]* \-#,##0.00\ ;_-[$$-409]* "-"??_ ;_-@_ </c:formatCode>
                <c:ptCount val="4"/>
                <c:pt idx="0">
                  <c:v>20964.187893541082</c:v>
                </c:pt>
                <c:pt idx="1">
                  <c:v>6162.731749919687</c:v>
                </c:pt>
                <c:pt idx="2">
                  <c:v>2447.0473602222219</c:v>
                </c:pt>
                <c:pt idx="3">
                  <c:v>1203.4331649999999</c:v>
                </c:pt>
              </c:numCache>
            </c:numRef>
          </c:val>
          <c:extLst>
            <c:ext xmlns:c16="http://schemas.microsoft.com/office/drawing/2014/chart" uri="{C3380CC4-5D6E-409C-BE32-E72D297353CC}">
              <c16:uniqueId val="{00000000-7EF6-45EA-9EC3-530F191B2341}"/>
            </c:ext>
          </c:extLst>
        </c:ser>
        <c:dLbls>
          <c:dLblPos val="inEnd"/>
          <c:showLegendKey val="0"/>
          <c:showVal val="1"/>
          <c:showCatName val="0"/>
          <c:showSerName val="0"/>
          <c:showPercent val="0"/>
          <c:showBubbleSize val="0"/>
        </c:dLbls>
        <c:gapWidth val="150"/>
        <c:axId val="848701359"/>
        <c:axId val="848702799"/>
      </c:barChart>
      <c:catAx>
        <c:axId val="8487013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BMI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702799"/>
        <c:crosses val="autoZero"/>
        <c:auto val="1"/>
        <c:lblAlgn val="ctr"/>
        <c:lblOffset val="100"/>
        <c:noMultiLvlLbl val="0"/>
      </c:catAx>
      <c:valAx>
        <c:axId val="8487027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of charges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701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Age Vs Charges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Sheet16!$G$1</c:f>
              <c:strCache>
                <c:ptCount val="1"/>
                <c:pt idx="0">
                  <c:v> charges </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xVal>
            <c:numRef>
              <c:f>Sheet16!$A$2:$A$1339</c:f>
              <c:numCache>
                <c:formatCode>General</c:formatCode>
                <c:ptCount val="1338"/>
                <c:pt idx="0">
                  <c:v>18</c:v>
                </c:pt>
                <c:pt idx="1">
                  <c:v>18</c:v>
                </c:pt>
                <c:pt idx="2">
                  <c:v>18</c:v>
                </c:pt>
                <c:pt idx="3">
                  <c:v>18</c:v>
                </c:pt>
                <c:pt idx="4">
                  <c:v>18</c:v>
                </c:pt>
                <c:pt idx="5">
                  <c:v>18</c:v>
                </c:pt>
                <c:pt idx="6">
                  <c:v>18</c:v>
                </c:pt>
                <c:pt idx="7">
                  <c:v>18</c:v>
                </c:pt>
                <c:pt idx="8">
                  <c:v>18</c:v>
                </c:pt>
                <c:pt idx="9">
                  <c:v>18</c:v>
                </c:pt>
                <c:pt idx="10">
                  <c:v>18</c:v>
                </c:pt>
                <c:pt idx="11">
                  <c:v>18</c:v>
                </c:pt>
                <c:pt idx="12">
                  <c:v>18</c:v>
                </c:pt>
                <c:pt idx="13">
                  <c:v>18</c:v>
                </c:pt>
                <c:pt idx="14">
                  <c:v>18</c:v>
                </c:pt>
                <c:pt idx="15">
                  <c:v>18</c:v>
                </c:pt>
                <c:pt idx="16">
                  <c:v>18</c:v>
                </c:pt>
                <c:pt idx="17">
                  <c:v>18</c:v>
                </c:pt>
                <c:pt idx="18">
                  <c:v>18</c:v>
                </c:pt>
                <c:pt idx="19">
                  <c:v>18</c:v>
                </c:pt>
                <c:pt idx="20">
                  <c:v>18</c:v>
                </c:pt>
                <c:pt idx="21">
                  <c:v>18</c:v>
                </c:pt>
                <c:pt idx="22">
                  <c:v>18</c:v>
                </c:pt>
                <c:pt idx="23">
                  <c:v>18</c:v>
                </c:pt>
                <c:pt idx="24">
                  <c:v>18</c:v>
                </c:pt>
                <c:pt idx="25">
                  <c:v>18</c:v>
                </c:pt>
                <c:pt idx="26">
                  <c:v>18</c:v>
                </c:pt>
                <c:pt idx="27">
                  <c:v>18</c:v>
                </c:pt>
                <c:pt idx="28">
                  <c:v>18</c:v>
                </c:pt>
                <c:pt idx="29">
                  <c:v>18</c:v>
                </c:pt>
                <c:pt idx="30">
                  <c:v>18</c:v>
                </c:pt>
                <c:pt idx="31">
                  <c:v>18</c:v>
                </c:pt>
                <c:pt idx="32">
                  <c:v>18</c:v>
                </c:pt>
                <c:pt idx="33">
                  <c:v>18</c:v>
                </c:pt>
                <c:pt idx="34">
                  <c:v>18</c:v>
                </c:pt>
                <c:pt idx="35">
                  <c:v>18</c:v>
                </c:pt>
                <c:pt idx="36">
                  <c:v>18</c:v>
                </c:pt>
                <c:pt idx="37">
                  <c:v>18</c:v>
                </c:pt>
                <c:pt idx="38">
                  <c:v>18</c:v>
                </c:pt>
                <c:pt idx="39">
                  <c:v>18</c:v>
                </c:pt>
                <c:pt idx="40">
                  <c:v>18</c:v>
                </c:pt>
                <c:pt idx="41">
                  <c:v>18</c:v>
                </c:pt>
                <c:pt idx="42">
                  <c:v>18</c:v>
                </c:pt>
                <c:pt idx="43">
                  <c:v>18</c:v>
                </c:pt>
                <c:pt idx="44">
                  <c:v>18</c:v>
                </c:pt>
                <c:pt idx="45">
                  <c:v>18</c:v>
                </c:pt>
                <c:pt idx="46">
                  <c:v>18</c:v>
                </c:pt>
                <c:pt idx="47">
                  <c:v>18</c:v>
                </c:pt>
                <c:pt idx="48">
                  <c:v>18</c:v>
                </c:pt>
                <c:pt idx="49">
                  <c:v>18</c:v>
                </c:pt>
                <c:pt idx="50">
                  <c:v>18</c:v>
                </c:pt>
                <c:pt idx="51">
                  <c:v>18</c:v>
                </c:pt>
                <c:pt idx="52">
                  <c:v>18</c:v>
                </c:pt>
                <c:pt idx="53">
                  <c:v>18</c:v>
                </c:pt>
                <c:pt idx="54">
                  <c:v>18</c:v>
                </c:pt>
                <c:pt idx="55">
                  <c:v>18</c:v>
                </c:pt>
                <c:pt idx="56">
                  <c:v>18</c:v>
                </c:pt>
                <c:pt idx="57">
                  <c:v>18</c:v>
                </c:pt>
                <c:pt idx="58">
                  <c:v>18</c:v>
                </c:pt>
                <c:pt idx="59">
                  <c:v>18</c:v>
                </c:pt>
                <c:pt idx="60">
                  <c:v>18</c:v>
                </c:pt>
                <c:pt idx="61">
                  <c:v>18</c:v>
                </c:pt>
                <c:pt idx="62">
                  <c:v>18</c:v>
                </c:pt>
                <c:pt idx="63">
                  <c:v>18</c:v>
                </c:pt>
                <c:pt idx="64">
                  <c:v>18</c:v>
                </c:pt>
                <c:pt idx="65">
                  <c:v>18</c:v>
                </c:pt>
                <c:pt idx="66">
                  <c:v>18</c:v>
                </c:pt>
                <c:pt idx="67">
                  <c:v>18</c:v>
                </c:pt>
                <c:pt idx="68">
                  <c:v>18</c:v>
                </c:pt>
                <c:pt idx="69">
                  <c:v>19</c:v>
                </c:pt>
                <c:pt idx="70">
                  <c:v>19</c:v>
                </c:pt>
                <c:pt idx="71">
                  <c:v>19</c:v>
                </c:pt>
                <c:pt idx="72">
                  <c:v>19</c:v>
                </c:pt>
                <c:pt idx="73">
                  <c:v>19</c:v>
                </c:pt>
                <c:pt idx="74">
                  <c:v>19</c:v>
                </c:pt>
                <c:pt idx="75">
                  <c:v>19</c:v>
                </c:pt>
                <c:pt idx="76">
                  <c:v>19</c:v>
                </c:pt>
                <c:pt idx="77">
                  <c:v>19</c:v>
                </c:pt>
                <c:pt idx="78">
                  <c:v>19</c:v>
                </c:pt>
                <c:pt idx="79">
                  <c:v>19</c:v>
                </c:pt>
                <c:pt idx="80">
                  <c:v>19</c:v>
                </c:pt>
                <c:pt idx="81">
                  <c:v>19</c:v>
                </c:pt>
                <c:pt idx="82">
                  <c:v>19</c:v>
                </c:pt>
                <c:pt idx="83">
                  <c:v>19</c:v>
                </c:pt>
                <c:pt idx="84">
                  <c:v>19</c:v>
                </c:pt>
                <c:pt idx="85">
                  <c:v>19</c:v>
                </c:pt>
                <c:pt idx="86">
                  <c:v>19</c:v>
                </c:pt>
                <c:pt idx="87">
                  <c:v>19</c:v>
                </c:pt>
                <c:pt idx="88">
                  <c:v>19</c:v>
                </c:pt>
                <c:pt idx="89">
                  <c:v>19</c:v>
                </c:pt>
                <c:pt idx="90">
                  <c:v>19</c:v>
                </c:pt>
                <c:pt idx="91">
                  <c:v>19</c:v>
                </c:pt>
                <c:pt idx="92">
                  <c:v>19</c:v>
                </c:pt>
                <c:pt idx="93">
                  <c:v>19</c:v>
                </c:pt>
                <c:pt idx="94">
                  <c:v>19</c:v>
                </c:pt>
                <c:pt idx="95">
                  <c:v>19</c:v>
                </c:pt>
                <c:pt idx="96">
                  <c:v>19</c:v>
                </c:pt>
                <c:pt idx="97">
                  <c:v>19</c:v>
                </c:pt>
                <c:pt idx="98">
                  <c:v>19</c:v>
                </c:pt>
                <c:pt idx="99">
                  <c:v>19</c:v>
                </c:pt>
                <c:pt idx="100">
                  <c:v>19</c:v>
                </c:pt>
                <c:pt idx="101">
                  <c:v>19</c:v>
                </c:pt>
                <c:pt idx="102">
                  <c:v>19</c:v>
                </c:pt>
                <c:pt idx="103">
                  <c:v>19</c:v>
                </c:pt>
                <c:pt idx="104">
                  <c:v>19</c:v>
                </c:pt>
                <c:pt idx="105">
                  <c:v>19</c:v>
                </c:pt>
                <c:pt idx="106">
                  <c:v>19</c:v>
                </c:pt>
                <c:pt idx="107">
                  <c:v>19</c:v>
                </c:pt>
                <c:pt idx="108">
                  <c:v>19</c:v>
                </c:pt>
                <c:pt idx="109">
                  <c:v>19</c:v>
                </c:pt>
                <c:pt idx="110">
                  <c:v>19</c:v>
                </c:pt>
                <c:pt idx="111">
                  <c:v>19</c:v>
                </c:pt>
                <c:pt idx="112">
                  <c:v>19</c:v>
                </c:pt>
                <c:pt idx="113">
                  <c:v>19</c:v>
                </c:pt>
                <c:pt idx="114">
                  <c:v>19</c:v>
                </c:pt>
                <c:pt idx="115">
                  <c:v>19</c:v>
                </c:pt>
                <c:pt idx="116">
                  <c:v>19</c:v>
                </c:pt>
                <c:pt idx="117">
                  <c:v>19</c:v>
                </c:pt>
                <c:pt idx="118">
                  <c:v>19</c:v>
                </c:pt>
                <c:pt idx="119">
                  <c:v>19</c:v>
                </c:pt>
                <c:pt idx="120">
                  <c:v>19</c:v>
                </c:pt>
                <c:pt idx="121">
                  <c:v>19</c:v>
                </c:pt>
                <c:pt idx="122">
                  <c:v>19</c:v>
                </c:pt>
                <c:pt idx="123">
                  <c:v>19</c:v>
                </c:pt>
                <c:pt idx="124">
                  <c:v>19</c:v>
                </c:pt>
                <c:pt idx="125">
                  <c:v>19</c:v>
                </c:pt>
                <c:pt idx="126">
                  <c:v>19</c:v>
                </c:pt>
                <c:pt idx="127">
                  <c:v>19</c:v>
                </c:pt>
                <c:pt idx="128">
                  <c:v>19</c:v>
                </c:pt>
                <c:pt idx="129">
                  <c:v>19</c:v>
                </c:pt>
                <c:pt idx="130">
                  <c:v>19</c:v>
                </c:pt>
                <c:pt idx="131">
                  <c:v>19</c:v>
                </c:pt>
                <c:pt idx="132">
                  <c:v>19</c:v>
                </c:pt>
                <c:pt idx="133">
                  <c:v>19</c:v>
                </c:pt>
                <c:pt idx="134">
                  <c:v>19</c:v>
                </c:pt>
                <c:pt idx="135">
                  <c:v>19</c:v>
                </c:pt>
                <c:pt idx="136">
                  <c:v>20</c:v>
                </c:pt>
                <c:pt idx="137">
                  <c:v>20</c:v>
                </c:pt>
                <c:pt idx="138">
                  <c:v>20</c:v>
                </c:pt>
                <c:pt idx="139">
                  <c:v>20</c:v>
                </c:pt>
                <c:pt idx="140">
                  <c:v>20</c:v>
                </c:pt>
                <c:pt idx="141">
                  <c:v>20</c:v>
                </c:pt>
                <c:pt idx="142">
                  <c:v>20</c:v>
                </c:pt>
                <c:pt idx="143">
                  <c:v>20</c:v>
                </c:pt>
                <c:pt idx="144">
                  <c:v>20</c:v>
                </c:pt>
                <c:pt idx="145">
                  <c:v>20</c:v>
                </c:pt>
                <c:pt idx="146">
                  <c:v>20</c:v>
                </c:pt>
                <c:pt idx="147">
                  <c:v>20</c:v>
                </c:pt>
                <c:pt idx="148">
                  <c:v>20</c:v>
                </c:pt>
                <c:pt idx="149">
                  <c:v>20</c:v>
                </c:pt>
                <c:pt idx="150">
                  <c:v>20</c:v>
                </c:pt>
                <c:pt idx="151">
                  <c:v>20</c:v>
                </c:pt>
                <c:pt idx="152">
                  <c:v>20</c:v>
                </c:pt>
                <c:pt idx="153">
                  <c:v>20</c:v>
                </c:pt>
                <c:pt idx="154">
                  <c:v>20</c:v>
                </c:pt>
                <c:pt idx="155">
                  <c:v>20</c:v>
                </c:pt>
                <c:pt idx="156">
                  <c:v>20</c:v>
                </c:pt>
                <c:pt idx="157">
                  <c:v>20</c:v>
                </c:pt>
                <c:pt idx="158">
                  <c:v>20</c:v>
                </c:pt>
                <c:pt idx="159">
                  <c:v>20</c:v>
                </c:pt>
                <c:pt idx="160">
                  <c:v>20</c:v>
                </c:pt>
                <c:pt idx="161">
                  <c:v>20</c:v>
                </c:pt>
                <c:pt idx="162">
                  <c:v>20</c:v>
                </c:pt>
                <c:pt idx="163">
                  <c:v>20</c:v>
                </c:pt>
                <c:pt idx="164">
                  <c:v>20</c:v>
                </c:pt>
                <c:pt idx="165">
                  <c:v>21</c:v>
                </c:pt>
                <c:pt idx="166">
                  <c:v>21</c:v>
                </c:pt>
                <c:pt idx="167">
                  <c:v>21</c:v>
                </c:pt>
                <c:pt idx="168">
                  <c:v>21</c:v>
                </c:pt>
                <c:pt idx="169">
                  <c:v>21</c:v>
                </c:pt>
                <c:pt idx="170">
                  <c:v>21</c:v>
                </c:pt>
                <c:pt idx="171">
                  <c:v>21</c:v>
                </c:pt>
                <c:pt idx="172">
                  <c:v>21</c:v>
                </c:pt>
                <c:pt idx="173">
                  <c:v>21</c:v>
                </c:pt>
                <c:pt idx="174">
                  <c:v>21</c:v>
                </c:pt>
                <c:pt idx="175">
                  <c:v>21</c:v>
                </c:pt>
                <c:pt idx="176">
                  <c:v>21</c:v>
                </c:pt>
                <c:pt idx="177">
                  <c:v>21</c:v>
                </c:pt>
                <c:pt idx="178">
                  <c:v>21</c:v>
                </c:pt>
                <c:pt idx="179">
                  <c:v>21</c:v>
                </c:pt>
                <c:pt idx="180">
                  <c:v>21</c:v>
                </c:pt>
                <c:pt idx="181">
                  <c:v>21</c:v>
                </c:pt>
                <c:pt idx="182">
                  <c:v>21</c:v>
                </c:pt>
                <c:pt idx="183">
                  <c:v>21</c:v>
                </c:pt>
                <c:pt idx="184">
                  <c:v>21</c:v>
                </c:pt>
                <c:pt idx="185">
                  <c:v>21</c:v>
                </c:pt>
                <c:pt idx="186">
                  <c:v>21</c:v>
                </c:pt>
                <c:pt idx="187">
                  <c:v>21</c:v>
                </c:pt>
                <c:pt idx="188">
                  <c:v>21</c:v>
                </c:pt>
                <c:pt idx="189">
                  <c:v>21</c:v>
                </c:pt>
                <c:pt idx="190">
                  <c:v>21</c:v>
                </c:pt>
                <c:pt idx="191">
                  <c:v>21</c:v>
                </c:pt>
                <c:pt idx="192">
                  <c:v>21</c:v>
                </c:pt>
                <c:pt idx="193">
                  <c:v>22</c:v>
                </c:pt>
                <c:pt idx="194">
                  <c:v>22</c:v>
                </c:pt>
                <c:pt idx="195">
                  <c:v>22</c:v>
                </c:pt>
                <c:pt idx="196">
                  <c:v>22</c:v>
                </c:pt>
                <c:pt idx="197">
                  <c:v>22</c:v>
                </c:pt>
                <c:pt idx="198">
                  <c:v>22</c:v>
                </c:pt>
                <c:pt idx="199">
                  <c:v>22</c:v>
                </c:pt>
                <c:pt idx="200">
                  <c:v>22</c:v>
                </c:pt>
                <c:pt idx="201">
                  <c:v>22</c:v>
                </c:pt>
                <c:pt idx="202">
                  <c:v>22</c:v>
                </c:pt>
                <c:pt idx="203">
                  <c:v>22</c:v>
                </c:pt>
                <c:pt idx="204">
                  <c:v>22</c:v>
                </c:pt>
                <c:pt idx="205">
                  <c:v>22</c:v>
                </c:pt>
                <c:pt idx="206">
                  <c:v>22</c:v>
                </c:pt>
                <c:pt idx="207">
                  <c:v>22</c:v>
                </c:pt>
                <c:pt idx="208">
                  <c:v>22</c:v>
                </c:pt>
                <c:pt idx="209">
                  <c:v>22</c:v>
                </c:pt>
                <c:pt idx="210">
                  <c:v>22</c:v>
                </c:pt>
                <c:pt idx="211">
                  <c:v>22</c:v>
                </c:pt>
                <c:pt idx="212">
                  <c:v>22</c:v>
                </c:pt>
                <c:pt idx="213">
                  <c:v>22</c:v>
                </c:pt>
                <c:pt idx="214">
                  <c:v>22</c:v>
                </c:pt>
                <c:pt idx="215">
                  <c:v>22</c:v>
                </c:pt>
                <c:pt idx="216">
                  <c:v>22</c:v>
                </c:pt>
                <c:pt idx="217">
                  <c:v>22</c:v>
                </c:pt>
                <c:pt idx="218">
                  <c:v>22</c:v>
                </c:pt>
                <c:pt idx="219">
                  <c:v>22</c:v>
                </c:pt>
                <c:pt idx="220">
                  <c:v>22</c:v>
                </c:pt>
                <c:pt idx="221">
                  <c:v>23</c:v>
                </c:pt>
                <c:pt idx="222">
                  <c:v>23</c:v>
                </c:pt>
                <c:pt idx="223">
                  <c:v>23</c:v>
                </c:pt>
                <c:pt idx="224">
                  <c:v>23</c:v>
                </c:pt>
                <c:pt idx="225">
                  <c:v>23</c:v>
                </c:pt>
                <c:pt idx="226">
                  <c:v>23</c:v>
                </c:pt>
                <c:pt idx="227">
                  <c:v>23</c:v>
                </c:pt>
                <c:pt idx="228">
                  <c:v>23</c:v>
                </c:pt>
                <c:pt idx="229">
                  <c:v>23</c:v>
                </c:pt>
                <c:pt idx="230">
                  <c:v>23</c:v>
                </c:pt>
                <c:pt idx="231">
                  <c:v>23</c:v>
                </c:pt>
                <c:pt idx="232">
                  <c:v>23</c:v>
                </c:pt>
                <c:pt idx="233">
                  <c:v>23</c:v>
                </c:pt>
                <c:pt idx="234">
                  <c:v>23</c:v>
                </c:pt>
                <c:pt idx="235">
                  <c:v>23</c:v>
                </c:pt>
                <c:pt idx="236">
                  <c:v>23</c:v>
                </c:pt>
                <c:pt idx="237">
                  <c:v>23</c:v>
                </c:pt>
                <c:pt idx="238">
                  <c:v>23</c:v>
                </c:pt>
                <c:pt idx="239">
                  <c:v>23</c:v>
                </c:pt>
                <c:pt idx="240">
                  <c:v>23</c:v>
                </c:pt>
                <c:pt idx="241">
                  <c:v>23</c:v>
                </c:pt>
                <c:pt idx="242">
                  <c:v>23</c:v>
                </c:pt>
                <c:pt idx="243">
                  <c:v>23</c:v>
                </c:pt>
                <c:pt idx="244">
                  <c:v>23</c:v>
                </c:pt>
                <c:pt idx="245">
                  <c:v>23</c:v>
                </c:pt>
                <c:pt idx="246">
                  <c:v>23</c:v>
                </c:pt>
                <c:pt idx="247">
                  <c:v>23</c:v>
                </c:pt>
                <c:pt idx="248">
                  <c:v>23</c:v>
                </c:pt>
                <c:pt idx="249">
                  <c:v>24</c:v>
                </c:pt>
                <c:pt idx="250">
                  <c:v>24</c:v>
                </c:pt>
                <c:pt idx="251">
                  <c:v>24</c:v>
                </c:pt>
                <c:pt idx="252">
                  <c:v>24</c:v>
                </c:pt>
                <c:pt idx="253">
                  <c:v>24</c:v>
                </c:pt>
                <c:pt idx="254">
                  <c:v>24</c:v>
                </c:pt>
                <c:pt idx="255">
                  <c:v>24</c:v>
                </c:pt>
                <c:pt idx="256">
                  <c:v>24</c:v>
                </c:pt>
                <c:pt idx="257">
                  <c:v>24</c:v>
                </c:pt>
                <c:pt idx="258">
                  <c:v>24</c:v>
                </c:pt>
                <c:pt idx="259">
                  <c:v>24</c:v>
                </c:pt>
                <c:pt idx="260">
                  <c:v>24</c:v>
                </c:pt>
                <c:pt idx="261">
                  <c:v>24</c:v>
                </c:pt>
                <c:pt idx="262">
                  <c:v>24</c:v>
                </c:pt>
                <c:pt idx="263">
                  <c:v>24</c:v>
                </c:pt>
                <c:pt idx="264">
                  <c:v>24</c:v>
                </c:pt>
                <c:pt idx="265">
                  <c:v>24</c:v>
                </c:pt>
                <c:pt idx="266">
                  <c:v>24</c:v>
                </c:pt>
                <c:pt idx="267">
                  <c:v>24</c:v>
                </c:pt>
                <c:pt idx="268">
                  <c:v>24</c:v>
                </c:pt>
                <c:pt idx="269">
                  <c:v>24</c:v>
                </c:pt>
                <c:pt idx="270">
                  <c:v>24</c:v>
                </c:pt>
                <c:pt idx="271">
                  <c:v>24</c:v>
                </c:pt>
                <c:pt idx="272">
                  <c:v>24</c:v>
                </c:pt>
                <c:pt idx="273">
                  <c:v>24</c:v>
                </c:pt>
                <c:pt idx="274">
                  <c:v>24</c:v>
                </c:pt>
                <c:pt idx="275">
                  <c:v>24</c:v>
                </c:pt>
                <c:pt idx="276">
                  <c:v>24</c:v>
                </c:pt>
                <c:pt idx="277">
                  <c:v>25</c:v>
                </c:pt>
                <c:pt idx="278">
                  <c:v>25</c:v>
                </c:pt>
                <c:pt idx="279">
                  <c:v>25</c:v>
                </c:pt>
                <c:pt idx="280">
                  <c:v>25</c:v>
                </c:pt>
                <c:pt idx="281">
                  <c:v>25</c:v>
                </c:pt>
                <c:pt idx="282">
                  <c:v>25</c:v>
                </c:pt>
                <c:pt idx="283">
                  <c:v>25</c:v>
                </c:pt>
                <c:pt idx="284">
                  <c:v>25</c:v>
                </c:pt>
                <c:pt idx="285">
                  <c:v>25</c:v>
                </c:pt>
                <c:pt idx="286">
                  <c:v>25</c:v>
                </c:pt>
                <c:pt idx="287">
                  <c:v>25</c:v>
                </c:pt>
                <c:pt idx="288">
                  <c:v>25</c:v>
                </c:pt>
                <c:pt idx="289">
                  <c:v>25</c:v>
                </c:pt>
                <c:pt idx="290">
                  <c:v>25</c:v>
                </c:pt>
                <c:pt idx="291">
                  <c:v>25</c:v>
                </c:pt>
                <c:pt idx="292">
                  <c:v>25</c:v>
                </c:pt>
                <c:pt idx="293">
                  <c:v>25</c:v>
                </c:pt>
                <c:pt idx="294">
                  <c:v>25</c:v>
                </c:pt>
                <c:pt idx="295">
                  <c:v>25</c:v>
                </c:pt>
                <c:pt idx="296">
                  <c:v>25</c:v>
                </c:pt>
                <c:pt idx="297">
                  <c:v>25</c:v>
                </c:pt>
                <c:pt idx="298">
                  <c:v>25</c:v>
                </c:pt>
                <c:pt idx="299">
                  <c:v>25</c:v>
                </c:pt>
                <c:pt idx="300">
                  <c:v>25</c:v>
                </c:pt>
                <c:pt idx="301">
                  <c:v>25</c:v>
                </c:pt>
                <c:pt idx="302">
                  <c:v>25</c:v>
                </c:pt>
                <c:pt idx="303">
                  <c:v>25</c:v>
                </c:pt>
                <c:pt idx="304">
                  <c:v>25</c:v>
                </c:pt>
                <c:pt idx="305">
                  <c:v>26</c:v>
                </c:pt>
                <c:pt idx="306">
                  <c:v>26</c:v>
                </c:pt>
                <c:pt idx="307">
                  <c:v>26</c:v>
                </c:pt>
                <c:pt idx="308">
                  <c:v>26</c:v>
                </c:pt>
                <c:pt idx="309">
                  <c:v>26</c:v>
                </c:pt>
                <c:pt idx="310">
                  <c:v>26</c:v>
                </c:pt>
                <c:pt idx="311">
                  <c:v>26</c:v>
                </c:pt>
                <c:pt idx="312">
                  <c:v>26</c:v>
                </c:pt>
                <c:pt idx="313">
                  <c:v>26</c:v>
                </c:pt>
                <c:pt idx="314">
                  <c:v>26</c:v>
                </c:pt>
                <c:pt idx="315">
                  <c:v>26</c:v>
                </c:pt>
                <c:pt idx="316">
                  <c:v>26</c:v>
                </c:pt>
                <c:pt idx="317">
                  <c:v>26</c:v>
                </c:pt>
                <c:pt idx="318">
                  <c:v>26</c:v>
                </c:pt>
                <c:pt idx="319">
                  <c:v>26</c:v>
                </c:pt>
                <c:pt idx="320">
                  <c:v>26</c:v>
                </c:pt>
                <c:pt idx="321">
                  <c:v>26</c:v>
                </c:pt>
                <c:pt idx="322">
                  <c:v>26</c:v>
                </c:pt>
                <c:pt idx="323">
                  <c:v>26</c:v>
                </c:pt>
                <c:pt idx="324">
                  <c:v>26</c:v>
                </c:pt>
                <c:pt idx="325">
                  <c:v>26</c:v>
                </c:pt>
                <c:pt idx="326">
                  <c:v>26</c:v>
                </c:pt>
                <c:pt idx="327">
                  <c:v>26</c:v>
                </c:pt>
                <c:pt idx="328">
                  <c:v>26</c:v>
                </c:pt>
                <c:pt idx="329">
                  <c:v>26</c:v>
                </c:pt>
                <c:pt idx="330">
                  <c:v>26</c:v>
                </c:pt>
                <c:pt idx="331">
                  <c:v>26</c:v>
                </c:pt>
                <c:pt idx="332">
                  <c:v>26</c:v>
                </c:pt>
                <c:pt idx="333">
                  <c:v>27</c:v>
                </c:pt>
                <c:pt idx="334">
                  <c:v>27</c:v>
                </c:pt>
                <c:pt idx="335">
                  <c:v>27</c:v>
                </c:pt>
                <c:pt idx="336">
                  <c:v>27</c:v>
                </c:pt>
                <c:pt idx="337">
                  <c:v>27</c:v>
                </c:pt>
                <c:pt idx="338">
                  <c:v>27</c:v>
                </c:pt>
                <c:pt idx="339">
                  <c:v>27</c:v>
                </c:pt>
                <c:pt idx="340">
                  <c:v>27</c:v>
                </c:pt>
                <c:pt idx="341">
                  <c:v>27</c:v>
                </c:pt>
                <c:pt idx="342">
                  <c:v>27</c:v>
                </c:pt>
                <c:pt idx="343">
                  <c:v>27</c:v>
                </c:pt>
                <c:pt idx="344">
                  <c:v>27</c:v>
                </c:pt>
                <c:pt idx="345">
                  <c:v>27</c:v>
                </c:pt>
                <c:pt idx="346">
                  <c:v>27</c:v>
                </c:pt>
                <c:pt idx="347">
                  <c:v>27</c:v>
                </c:pt>
                <c:pt idx="348">
                  <c:v>27</c:v>
                </c:pt>
                <c:pt idx="349">
                  <c:v>27</c:v>
                </c:pt>
                <c:pt idx="350">
                  <c:v>27</c:v>
                </c:pt>
                <c:pt idx="351">
                  <c:v>27</c:v>
                </c:pt>
                <c:pt idx="352">
                  <c:v>27</c:v>
                </c:pt>
                <c:pt idx="353">
                  <c:v>27</c:v>
                </c:pt>
                <c:pt idx="354">
                  <c:v>27</c:v>
                </c:pt>
                <c:pt idx="355">
                  <c:v>27</c:v>
                </c:pt>
                <c:pt idx="356">
                  <c:v>27</c:v>
                </c:pt>
                <c:pt idx="357">
                  <c:v>27</c:v>
                </c:pt>
                <c:pt idx="358">
                  <c:v>27</c:v>
                </c:pt>
                <c:pt idx="359">
                  <c:v>27</c:v>
                </c:pt>
                <c:pt idx="360">
                  <c:v>27</c:v>
                </c:pt>
                <c:pt idx="361">
                  <c:v>28</c:v>
                </c:pt>
                <c:pt idx="362">
                  <c:v>28</c:v>
                </c:pt>
                <c:pt idx="363">
                  <c:v>28</c:v>
                </c:pt>
                <c:pt idx="364">
                  <c:v>28</c:v>
                </c:pt>
                <c:pt idx="365">
                  <c:v>28</c:v>
                </c:pt>
                <c:pt idx="366">
                  <c:v>28</c:v>
                </c:pt>
                <c:pt idx="367">
                  <c:v>28</c:v>
                </c:pt>
                <c:pt idx="368">
                  <c:v>28</c:v>
                </c:pt>
                <c:pt idx="369">
                  <c:v>28</c:v>
                </c:pt>
                <c:pt idx="370">
                  <c:v>28</c:v>
                </c:pt>
                <c:pt idx="371">
                  <c:v>28</c:v>
                </c:pt>
                <c:pt idx="372">
                  <c:v>28</c:v>
                </c:pt>
                <c:pt idx="373">
                  <c:v>28</c:v>
                </c:pt>
                <c:pt idx="374">
                  <c:v>28</c:v>
                </c:pt>
                <c:pt idx="375">
                  <c:v>28</c:v>
                </c:pt>
                <c:pt idx="376">
                  <c:v>28</c:v>
                </c:pt>
                <c:pt idx="377">
                  <c:v>28</c:v>
                </c:pt>
                <c:pt idx="378">
                  <c:v>28</c:v>
                </c:pt>
                <c:pt idx="379">
                  <c:v>28</c:v>
                </c:pt>
                <c:pt idx="380">
                  <c:v>28</c:v>
                </c:pt>
                <c:pt idx="381">
                  <c:v>28</c:v>
                </c:pt>
                <c:pt idx="382">
                  <c:v>28</c:v>
                </c:pt>
                <c:pt idx="383">
                  <c:v>28</c:v>
                </c:pt>
                <c:pt idx="384">
                  <c:v>28</c:v>
                </c:pt>
                <c:pt idx="385">
                  <c:v>28</c:v>
                </c:pt>
                <c:pt idx="386">
                  <c:v>28</c:v>
                </c:pt>
                <c:pt idx="387">
                  <c:v>28</c:v>
                </c:pt>
                <c:pt idx="388">
                  <c:v>28</c:v>
                </c:pt>
                <c:pt idx="389">
                  <c:v>29</c:v>
                </c:pt>
                <c:pt idx="390">
                  <c:v>29</c:v>
                </c:pt>
                <c:pt idx="391">
                  <c:v>29</c:v>
                </c:pt>
                <c:pt idx="392">
                  <c:v>29</c:v>
                </c:pt>
                <c:pt idx="393">
                  <c:v>29</c:v>
                </c:pt>
                <c:pt idx="394">
                  <c:v>29</c:v>
                </c:pt>
                <c:pt idx="395">
                  <c:v>29</c:v>
                </c:pt>
                <c:pt idx="396">
                  <c:v>29</c:v>
                </c:pt>
                <c:pt idx="397">
                  <c:v>29</c:v>
                </c:pt>
                <c:pt idx="398">
                  <c:v>29</c:v>
                </c:pt>
                <c:pt idx="399">
                  <c:v>29</c:v>
                </c:pt>
                <c:pt idx="400">
                  <c:v>29</c:v>
                </c:pt>
                <c:pt idx="401">
                  <c:v>29</c:v>
                </c:pt>
                <c:pt idx="402">
                  <c:v>29</c:v>
                </c:pt>
                <c:pt idx="403">
                  <c:v>29</c:v>
                </c:pt>
                <c:pt idx="404">
                  <c:v>29</c:v>
                </c:pt>
                <c:pt idx="405">
                  <c:v>29</c:v>
                </c:pt>
                <c:pt idx="406">
                  <c:v>29</c:v>
                </c:pt>
                <c:pt idx="407">
                  <c:v>29</c:v>
                </c:pt>
                <c:pt idx="408">
                  <c:v>29</c:v>
                </c:pt>
                <c:pt idx="409">
                  <c:v>29</c:v>
                </c:pt>
                <c:pt idx="410">
                  <c:v>29</c:v>
                </c:pt>
                <c:pt idx="411">
                  <c:v>29</c:v>
                </c:pt>
                <c:pt idx="412">
                  <c:v>29</c:v>
                </c:pt>
                <c:pt idx="413">
                  <c:v>29</c:v>
                </c:pt>
                <c:pt idx="414">
                  <c:v>29</c:v>
                </c:pt>
                <c:pt idx="415">
                  <c:v>29</c:v>
                </c:pt>
                <c:pt idx="416">
                  <c:v>30</c:v>
                </c:pt>
                <c:pt idx="417">
                  <c:v>30</c:v>
                </c:pt>
                <c:pt idx="418">
                  <c:v>30</c:v>
                </c:pt>
                <c:pt idx="419">
                  <c:v>30</c:v>
                </c:pt>
                <c:pt idx="420">
                  <c:v>30</c:v>
                </c:pt>
                <c:pt idx="421">
                  <c:v>30</c:v>
                </c:pt>
                <c:pt idx="422">
                  <c:v>30</c:v>
                </c:pt>
                <c:pt idx="423">
                  <c:v>30</c:v>
                </c:pt>
                <c:pt idx="424">
                  <c:v>30</c:v>
                </c:pt>
                <c:pt idx="425">
                  <c:v>30</c:v>
                </c:pt>
                <c:pt idx="426">
                  <c:v>30</c:v>
                </c:pt>
                <c:pt idx="427">
                  <c:v>30</c:v>
                </c:pt>
                <c:pt idx="428">
                  <c:v>30</c:v>
                </c:pt>
                <c:pt idx="429">
                  <c:v>30</c:v>
                </c:pt>
                <c:pt idx="430">
                  <c:v>30</c:v>
                </c:pt>
                <c:pt idx="431">
                  <c:v>30</c:v>
                </c:pt>
                <c:pt idx="432">
                  <c:v>30</c:v>
                </c:pt>
                <c:pt idx="433">
                  <c:v>30</c:v>
                </c:pt>
                <c:pt idx="434">
                  <c:v>30</c:v>
                </c:pt>
                <c:pt idx="435">
                  <c:v>30</c:v>
                </c:pt>
                <c:pt idx="436">
                  <c:v>30</c:v>
                </c:pt>
                <c:pt idx="437">
                  <c:v>30</c:v>
                </c:pt>
                <c:pt idx="438">
                  <c:v>30</c:v>
                </c:pt>
                <c:pt idx="439">
                  <c:v>30</c:v>
                </c:pt>
                <c:pt idx="440">
                  <c:v>30</c:v>
                </c:pt>
                <c:pt idx="441">
                  <c:v>30</c:v>
                </c:pt>
                <c:pt idx="442">
                  <c:v>30</c:v>
                </c:pt>
                <c:pt idx="443">
                  <c:v>31</c:v>
                </c:pt>
                <c:pt idx="444">
                  <c:v>31</c:v>
                </c:pt>
                <c:pt idx="445">
                  <c:v>31</c:v>
                </c:pt>
                <c:pt idx="446">
                  <c:v>31</c:v>
                </c:pt>
                <c:pt idx="447">
                  <c:v>31</c:v>
                </c:pt>
                <c:pt idx="448">
                  <c:v>31</c:v>
                </c:pt>
                <c:pt idx="449">
                  <c:v>31</c:v>
                </c:pt>
                <c:pt idx="450">
                  <c:v>31</c:v>
                </c:pt>
                <c:pt idx="451">
                  <c:v>31</c:v>
                </c:pt>
                <c:pt idx="452">
                  <c:v>31</c:v>
                </c:pt>
                <c:pt idx="453">
                  <c:v>31</c:v>
                </c:pt>
                <c:pt idx="454">
                  <c:v>31</c:v>
                </c:pt>
                <c:pt idx="455">
                  <c:v>31</c:v>
                </c:pt>
                <c:pt idx="456">
                  <c:v>31</c:v>
                </c:pt>
                <c:pt idx="457">
                  <c:v>31</c:v>
                </c:pt>
                <c:pt idx="458">
                  <c:v>31</c:v>
                </c:pt>
                <c:pt idx="459">
                  <c:v>31</c:v>
                </c:pt>
                <c:pt idx="460">
                  <c:v>31</c:v>
                </c:pt>
                <c:pt idx="461">
                  <c:v>31</c:v>
                </c:pt>
                <c:pt idx="462">
                  <c:v>31</c:v>
                </c:pt>
                <c:pt idx="463">
                  <c:v>31</c:v>
                </c:pt>
                <c:pt idx="464">
                  <c:v>31</c:v>
                </c:pt>
                <c:pt idx="465">
                  <c:v>31</c:v>
                </c:pt>
                <c:pt idx="466">
                  <c:v>31</c:v>
                </c:pt>
                <c:pt idx="467">
                  <c:v>31</c:v>
                </c:pt>
                <c:pt idx="468">
                  <c:v>31</c:v>
                </c:pt>
                <c:pt idx="469">
                  <c:v>31</c:v>
                </c:pt>
                <c:pt idx="470">
                  <c:v>32</c:v>
                </c:pt>
                <c:pt idx="471">
                  <c:v>32</c:v>
                </c:pt>
                <c:pt idx="472">
                  <c:v>32</c:v>
                </c:pt>
                <c:pt idx="473">
                  <c:v>32</c:v>
                </c:pt>
                <c:pt idx="474">
                  <c:v>32</c:v>
                </c:pt>
                <c:pt idx="475">
                  <c:v>32</c:v>
                </c:pt>
                <c:pt idx="476">
                  <c:v>32</c:v>
                </c:pt>
                <c:pt idx="477">
                  <c:v>32</c:v>
                </c:pt>
                <c:pt idx="478">
                  <c:v>32</c:v>
                </c:pt>
                <c:pt idx="479">
                  <c:v>32</c:v>
                </c:pt>
                <c:pt idx="480">
                  <c:v>32</c:v>
                </c:pt>
                <c:pt idx="481">
                  <c:v>32</c:v>
                </c:pt>
                <c:pt idx="482">
                  <c:v>32</c:v>
                </c:pt>
                <c:pt idx="483">
                  <c:v>32</c:v>
                </c:pt>
                <c:pt idx="484">
                  <c:v>32</c:v>
                </c:pt>
                <c:pt idx="485">
                  <c:v>32</c:v>
                </c:pt>
                <c:pt idx="486">
                  <c:v>32</c:v>
                </c:pt>
                <c:pt idx="487">
                  <c:v>32</c:v>
                </c:pt>
                <c:pt idx="488">
                  <c:v>32</c:v>
                </c:pt>
                <c:pt idx="489">
                  <c:v>32</c:v>
                </c:pt>
                <c:pt idx="490">
                  <c:v>32</c:v>
                </c:pt>
                <c:pt idx="491">
                  <c:v>32</c:v>
                </c:pt>
                <c:pt idx="492">
                  <c:v>32</c:v>
                </c:pt>
                <c:pt idx="493">
                  <c:v>32</c:v>
                </c:pt>
                <c:pt idx="494">
                  <c:v>32</c:v>
                </c:pt>
                <c:pt idx="495">
                  <c:v>32</c:v>
                </c:pt>
                <c:pt idx="496">
                  <c:v>33</c:v>
                </c:pt>
                <c:pt idx="497">
                  <c:v>33</c:v>
                </c:pt>
                <c:pt idx="498">
                  <c:v>33</c:v>
                </c:pt>
                <c:pt idx="499">
                  <c:v>33</c:v>
                </c:pt>
                <c:pt idx="500">
                  <c:v>33</c:v>
                </c:pt>
                <c:pt idx="501">
                  <c:v>33</c:v>
                </c:pt>
                <c:pt idx="502">
                  <c:v>33</c:v>
                </c:pt>
                <c:pt idx="503">
                  <c:v>33</c:v>
                </c:pt>
                <c:pt idx="504">
                  <c:v>33</c:v>
                </c:pt>
                <c:pt idx="505">
                  <c:v>33</c:v>
                </c:pt>
                <c:pt idx="506">
                  <c:v>33</c:v>
                </c:pt>
                <c:pt idx="507">
                  <c:v>33</c:v>
                </c:pt>
                <c:pt idx="508">
                  <c:v>33</c:v>
                </c:pt>
                <c:pt idx="509">
                  <c:v>33</c:v>
                </c:pt>
                <c:pt idx="510">
                  <c:v>33</c:v>
                </c:pt>
                <c:pt idx="511">
                  <c:v>33</c:v>
                </c:pt>
                <c:pt idx="512">
                  <c:v>33</c:v>
                </c:pt>
                <c:pt idx="513">
                  <c:v>33</c:v>
                </c:pt>
                <c:pt idx="514">
                  <c:v>33</c:v>
                </c:pt>
                <c:pt idx="515">
                  <c:v>33</c:v>
                </c:pt>
                <c:pt idx="516">
                  <c:v>33</c:v>
                </c:pt>
                <c:pt idx="517">
                  <c:v>33</c:v>
                </c:pt>
                <c:pt idx="518">
                  <c:v>33</c:v>
                </c:pt>
                <c:pt idx="519">
                  <c:v>33</c:v>
                </c:pt>
                <c:pt idx="520">
                  <c:v>33</c:v>
                </c:pt>
                <c:pt idx="521">
                  <c:v>33</c:v>
                </c:pt>
                <c:pt idx="522">
                  <c:v>34</c:v>
                </c:pt>
                <c:pt idx="523">
                  <c:v>34</c:v>
                </c:pt>
                <c:pt idx="524">
                  <c:v>34</c:v>
                </c:pt>
                <c:pt idx="525">
                  <c:v>34</c:v>
                </c:pt>
                <c:pt idx="526">
                  <c:v>34</c:v>
                </c:pt>
                <c:pt idx="527">
                  <c:v>34</c:v>
                </c:pt>
                <c:pt idx="528">
                  <c:v>34</c:v>
                </c:pt>
                <c:pt idx="529">
                  <c:v>34</c:v>
                </c:pt>
                <c:pt idx="530">
                  <c:v>34</c:v>
                </c:pt>
                <c:pt idx="531">
                  <c:v>34</c:v>
                </c:pt>
                <c:pt idx="532">
                  <c:v>34</c:v>
                </c:pt>
                <c:pt idx="533">
                  <c:v>34</c:v>
                </c:pt>
                <c:pt idx="534">
                  <c:v>34</c:v>
                </c:pt>
                <c:pt idx="535">
                  <c:v>34</c:v>
                </c:pt>
                <c:pt idx="536">
                  <c:v>34</c:v>
                </c:pt>
                <c:pt idx="537">
                  <c:v>34</c:v>
                </c:pt>
                <c:pt idx="538">
                  <c:v>34</c:v>
                </c:pt>
                <c:pt idx="539">
                  <c:v>34</c:v>
                </c:pt>
                <c:pt idx="540">
                  <c:v>34</c:v>
                </c:pt>
                <c:pt idx="541">
                  <c:v>34</c:v>
                </c:pt>
                <c:pt idx="542">
                  <c:v>34</c:v>
                </c:pt>
                <c:pt idx="543">
                  <c:v>34</c:v>
                </c:pt>
                <c:pt idx="544">
                  <c:v>34</c:v>
                </c:pt>
                <c:pt idx="545">
                  <c:v>34</c:v>
                </c:pt>
                <c:pt idx="546">
                  <c:v>34</c:v>
                </c:pt>
                <c:pt idx="547">
                  <c:v>34</c:v>
                </c:pt>
                <c:pt idx="548">
                  <c:v>35</c:v>
                </c:pt>
                <c:pt idx="549">
                  <c:v>35</c:v>
                </c:pt>
                <c:pt idx="550">
                  <c:v>35</c:v>
                </c:pt>
                <c:pt idx="551">
                  <c:v>35</c:v>
                </c:pt>
                <c:pt idx="552">
                  <c:v>35</c:v>
                </c:pt>
                <c:pt idx="553">
                  <c:v>35</c:v>
                </c:pt>
                <c:pt idx="554">
                  <c:v>35</c:v>
                </c:pt>
                <c:pt idx="555">
                  <c:v>35</c:v>
                </c:pt>
                <c:pt idx="556">
                  <c:v>35</c:v>
                </c:pt>
                <c:pt idx="557">
                  <c:v>35</c:v>
                </c:pt>
                <c:pt idx="558">
                  <c:v>35</c:v>
                </c:pt>
                <c:pt idx="559">
                  <c:v>35</c:v>
                </c:pt>
                <c:pt idx="560">
                  <c:v>35</c:v>
                </c:pt>
                <c:pt idx="561">
                  <c:v>35</c:v>
                </c:pt>
                <c:pt idx="562">
                  <c:v>35</c:v>
                </c:pt>
                <c:pt idx="563">
                  <c:v>35</c:v>
                </c:pt>
                <c:pt idx="564">
                  <c:v>35</c:v>
                </c:pt>
                <c:pt idx="565">
                  <c:v>35</c:v>
                </c:pt>
                <c:pt idx="566">
                  <c:v>35</c:v>
                </c:pt>
                <c:pt idx="567">
                  <c:v>35</c:v>
                </c:pt>
                <c:pt idx="568">
                  <c:v>35</c:v>
                </c:pt>
                <c:pt idx="569">
                  <c:v>35</c:v>
                </c:pt>
                <c:pt idx="570">
                  <c:v>35</c:v>
                </c:pt>
                <c:pt idx="571">
                  <c:v>35</c:v>
                </c:pt>
                <c:pt idx="572">
                  <c:v>35</c:v>
                </c:pt>
                <c:pt idx="573">
                  <c:v>36</c:v>
                </c:pt>
                <c:pt idx="574">
                  <c:v>36</c:v>
                </c:pt>
                <c:pt idx="575">
                  <c:v>36</c:v>
                </c:pt>
                <c:pt idx="576">
                  <c:v>36</c:v>
                </c:pt>
                <c:pt idx="577">
                  <c:v>36</c:v>
                </c:pt>
                <c:pt idx="578">
                  <c:v>36</c:v>
                </c:pt>
                <c:pt idx="579">
                  <c:v>36</c:v>
                </c:pt>
                <c:pt idx="580">
                  <c:v>36</c:v>
                </c:pt>
                <c:pt idx="581">
                  <c:v>36</c:v>
                </c:pt>
                <c:pt idx="582">
                  <c:v>36</c:v>
                </c:pt>
                <c:pt idx="583">
                  <c:v>36</c:v>
                </c:pt>
                <c:pt idx="584">
                  <c:v>36</c:v>
                </c:pt>
                <c:pt idx="585">
                  <c:v>36</c:v>
                </c:pt>
                <c:pt idx="586">
                  <c:v>36</c:v>
                </c:pt>
                <c:pt idx="587">
                  <c:v>36</c:v>
                </c:pt>
                <c:pt idx="588">
                  <c:v>36</c:v>
                </c:pt>
                <c:pt idx="589">
                  <c:v>36</c:v>
                </c:pt>
                <c:pt idx="590">
                  <c:v>36</c:v>
                </c:pt>
                <c:pt idx="591">
                  <c:v>36</c:v>
                </c:pt>
                <c:pt idx="592">
                  <c:v>36</c:v>
                </c:pt>
                <c:pt idx="593">
                  <c:v>36</c:v>
                </c:pt>
                <c:pt idx="594">
                  <c:v>36</c:v>
                </c:pt>
                <c:pt idx="595">
                  <c:v>36</c:v>
                </c:pt>
                <c:pt idx="596">
                  <c:v>36</c:v>
                </c:pt>
                <c:pt idx="597">
                  <c:v>36</c:v>
                </c:pt>
                <c:pt idx="598">
                  <c:v>37</c:v>
                </c:pt>
                <c:pt idx="599">
                  <c:v>37</c:v>
                </c:pt>
                <c:pt idx="600">
                  <c:v>37</c:v>
                </c:pt>
                <c:pt idx="601">
                  <c:v>37</c:v>
                </c:pt>
                <c:pt idx="602">
                  <c:v>37</c:v>
                </c:pt>
                <c:pt idx="603">
                  <c:v>37</c:v>
                </c:pt>
                <c:pt idx="604">
                  <c:v>37</c:v>
                </c:pt>
                <c:pt idx="605">
                  <c:v>37</c:v>
                </c:pt>
                <c:pt idx="606">
                  <c:v>37</c:v>
                </c:pt>
                <c:pt idx="607">
                  <c:v>37</c:v>
                </c:pt>
                <c:pt idx="608">
                  <c:v>37</c:v>
                </c:pt>
                <c:pt idx="609">
                  <c:v>37</c:v>
                </c:pt>
                <c:pt idx="610">
                  <c:v>37</c:v>
                </c:pt>
                <c:pt idx="611">
                  <c:v>37</c:v>
                </c:pt>
                <c:pt idx="612">
                  <c:v>37</c:v>
                </c:pt>
                <c:pt idx="613">
                  <c:v>37</c:v>
                </c:pt>
                <c:pt idx="614">
                  <c:v>37</c:v>
                </c:pt>
                <c:pt idx="615">
                  <c:v>37</c:v>
                </c:pt>
                <c:pt idx="616">
                  <c:v>37</c:v>
                </c:pt>
                <c:pt idx="617">
                  <c:v>37</c:v>
                </c:pt>
                <c:pt idx="618">
                  <c:v>37</c:v>
                </c:pt>
                <c:pt idx="619">
                  <c:v>37</c:v>
                </c:pt>
                <c:pt idx="620">
                  <c:v>37</c:v>
                </c:pt>
                <c:pt idx="621">
                  <c:v>37</c:v>
                </c:pt>
                <c:pt idx="622">
                  <c:v>37</c:v>
                </c:pt>
                <c:pt idx="623">
                  <c:v>38</c:v>
                </c:pt>
                <c:pt idx="624">
                  <c:v>38</c:v>
                </c:pt>
                <c:pt idx="625">
                  <c:v>38</c:v>
                </c:pt>
                <c:pt idx="626">
                  <c:v>38</c:v>
                </c:pt>
                <c:pt idx="627">
                  <c:v>38</c:v>
                </c:pt>
                <c:pt idx="628">
                  <c:v>38</c:v>
                </c:pt>
                <c:pt idx="629">
                  <c:v>38</c:v>
                </c:pt>
                <c:pt idx="630">
                  <c:v>38</c:v>
                </c:pt>
                <c:pt idx="631">
                  <c:v>38</c:v>
                </c:pt>
                <c:pt idx="632">
                  <c:v>38</c:v>
                </c:pt>
                <c:pt idx="633">
                  <c:v>38</c:v>
                </c:pt>
                <c:pt idx="634">
                  <c:v>38</c:v>
                </c:pt>
                <c:pt idx="635">
                  <c:v>38</c:v>
                </c:pt>
                <c:pt idx="636">
                  <c:v>38</c:v>
                </c:pt>
                <c:pt idx="637">
                  <c:v>38</c:v>
                </c:pt>
                <c:pt idx="638">
                  <c:v>38</c:v>
                </c:pt>
                <c:pt idx="639">
                  <c:v>38</c:v>
                </c:pt>
                <c:pt idx="640">
                  <c:v>38</c:v>
                </c:pt>
                <c:pt idx="641">
                  <c:v>38</c:v>
                </c:pt>
                <c:pt idx="642">
                  <c:v>38</c:v>
                </c:pt>
                <c:pt idx="643">
                  <c:v>38</c:v>
                </c:pt>
                <c:pt idx="644">
                  <c:v>38</c:v>
                </c:pt>
                <c:pt idx="645">
                  <c:v>38</c:v>
                </c:pt>
                <c:pt idx="646">
                  <c:v>38</c:v>
                </c:pt>
                <c:pt idx="647">
                  <c:v>38</c:v>
                </c:pt>
                <c:pt idx="648">
                  <c:v>39</c:v>
                </c:pt>
                <c:pt idx="649">
                  <c:v>39</c:v>
                </c:pt>
                <c:pt idx="650">
                  <c:v>39</c:v>
                </c:pt>
                <c:pt idx="651">
                  <c:v>39</c:v>
                </c:pt>
                <c:pt idx="652">
                  <c:v>39</c:v>
                </c:pt>
                <c:pt idx="653">
                  <c:v>39</c:v>
                </c:pt>
                <c:pt idx="654">
                  <c:v>39</c:v>
                </c:pt>
                <c:pt idx="655">
                  <c:v>39</c:v>
                </c:pt>
                <c:pt idx="656">
                  <c:v>39</c:v>
                </c:pt>
                <c:pt idx="657">
                  <c:v>39</c:v>
                </c:pt>
                <c:pt idx="658">
                  <c:v>39</c:v>
                </c:pt>
                <c:pt idx="659">
                  <c:v>39</c:v>
                </c:pt>
                <c:pt idx="660">
                  <c:v>39</c:v>
                </c:pt>
                <c:pt idx="661">
                  <c:v>39</c:v>
                </c:pt>
                <c:pt idx="662">
                  <c:v>39</c:v>
                </c:pt>
                <c:pt idx="663">
                  <c:v>39</c:v>
                </c:pt>
                <c:pt idx="664">
                  <c:v>39</c:v>
                </c:pt>
                <c:pt idx="665">
                  <c:v>39</c:v>
                </c:pt>
                <c:pt idx="666">
                  <c:v>39</c:v>
                </c:pt>
                <c:pt idx="667">
                  <c:v>39</c:v>
                </c:pt>
                <c:pt idx="668">
                  <c:v>39</c:v>
                </c:pt>
                <c:pt idx="669">
                  <c:v>39</c:v>
                </c:pt>
                <c:pt idx="670">
                  <c:v>39</c:v>
                </c:pt>
                <c:pt idx="671">
                  <c:v>39</c:v>
                </c:pt>
                <c:pt idx="672">
                  <c:v>39</c:v>
                </c:pt>
                <c:pt idx="673">
                  <c:v>40</c:v>
                </c:pt>
                <c:pt idx="674">
                  <c:v>40</c:v>
                </c:pt>
                <c:pt idx="675">
                  <c:v>40</c:v>
                </c:pt>
                <c:pt idx="676">
                  <c:v>40</c:v>
                </c:pt>
                <c:pt idx="677">
                  <c:v>40</c:v>
                </c:pt>
                <c:pt idx="678">
                  <c:v>40</c:v>
                </c:pt>
                <c:pt idx="679">
                  <c:v>40</c:v>
                </c:pt>
                <c:pt idx="680">
                  <c:v>40</c:v>
                </c:pt>
                <c:pt idx="681">
                  <c:v>40</c:v>
                </c:pt>
                <c:pt idx="682">
                  <c:v>40</c:v>
                </c:pt>
                <c:pt idx="683">
                  <c:v>40</c:v>
                </c:pt>
                <c:pt idx="684">
                  <c:v>40</c:v>
                </c:pt>
                <c:pt idx="685">
                  <c:v>40</c:v>
                </c:pt>
                <c:pt idx="686">
                  <c:v>40</c:v>
                </c:pt>
                <c:pt idx="687">
                  <c:v>40</c:v>
                </c:pt>
                <c:pt idx="688">
                  <c:v>40</c:v>
                </c:pt>
                <c:pt idx="689">
                  <c:v>40</c:v>
                </c:pt>
                <c:pt idx="690">
                  <c:v>40</c:v>
                </c:pt>
                <c:pt idx="691">
                  <c:v>40</c:v>
                </c:pt>
                <c:pt idx="692">
                  <c:v>40</c:v>
                </c:pt>
                <c:pt idx="693">
                  <c:v>40</c:v>
                </c:pt>
                <c:pt idx="694">
                  <c:v>40</c:v>
                </c:pt>
                <c:pt idx="695">
                  <c:v>40</c:v>
                </c:pt>
                <c:pt idx="696">
                  <c:v>40</c:v>
                </c:pt>
                <c:pt idx="697">
                  <c:v>40</c:v>
                </c:pt>
                <c:pt idx="698">
                  <c:v>40</c:v>
                </c:pt>
                <c:pt idx="699">
                  <c:v>40</c:v>
                </c:pt>
                <c:pt idx="700">
                  <c:v>41</c:v>
                </c:pt>
                <c:pt idx="701">
                  <c:v>41</c:v>
                </c:pt>
                <c:pt idx="702">
                  <c:v>41</c:v>
                </c:pt>
                <c:pt idx="703">
                  <c:v>41</c:v>
                </c:pt>
                <c:pt idx="704">
                  <c:v>41</c:v>
                </c:pt>
                <c:pt idx="705">
                  <c:v>41</c:v>
                </c:pt>
                <c:pt idx="706">
                  <c:v>41</c:v>
                </c:pt>
                <c:pt idx="707">
                  <c:v>41</c:v>
                </c:pt>
                <c:pt idx="708">
                  <c:v>41</c:v>
                </c:pt>
                <c:pt idx="709">
                  <c:v>41</c:v>
                </c:pt>
                <c:pt idx="710">
                  <c:v>41</c:v>
                </c:pt>
                <c:pt idx="711">
                  <c:v>41</c:v>
                </c:pt>
                <c:pt idx="712">
                  <c:v>41</c:v>
                </c:pt>
                <c:pt idx="713">
                  <c:v>41</c:v>
                </c:pt>
                <c:pt idx="714">
                  <c:v>41</c:v>
                </c:pt>
                <c:pt idx="715">
                  <c:v>41</c:v>
                </c:pt>
                <c:pt idx="716">
                  <c:v>41</c:v>
                </c:pt>
                <c:pt idx="717">
                  <c:v>41</c:v>
                </c:pt>
                <c:pt idx="718">
                  <c:v>41</c:v>
                </c:pt>
                <c:pt idx="719">
                  <c:v>41</c:v>
                </c:pt>
                <c:pt idx="720">
                  <c:v>41</c:v>
                </c:pt>
                <c:pt idx="721">
                  <c:v>41</c:v>
                </c:pt>
                <c:pt idx="722">
                  <c:v>41</c:v>
                </c:pt>
                <c:pt idx="723">
                  <c:v>41</c:v>
                </c:pt>
                <c:pt idx="724">
                  <c:v>41</c:v>
                </c:pt>
                <c:pt idx="725">
                  <c:v>41</c:v>
                </c:pt>
                <c:pt idx="726">
                  <c:v>41</c:v>
                </c:pt>
                <c:pt idx="727">
                  <c:v>42</c:v>
                </c:pt>
                <c:pt idx="728">
                  <c:v>42</c:v>
                </c:pt>
                <c:pt idx="729">
                  <c:v>42</c:v>
                </c:pt>
                <c:pt idx="730">
                  <c:v>42</c:v>
                </c:pt>
                <c:pt idx="731">
                  <c:v>42</c:v>
                </c:pt>
                <c:pt idx="732">
                  <c:v>42</c:v>
                </c:pt>
                <c:pt idx="733">
                  <c:v>42</c:v>
                </c:pt>
                <c:pt idx="734">
                  <c:v>42</c:v>
                </c:pt>
                <c:pt idx="735">
                  <c:v>42</c:v>
                </c:pt>
                <c:pt idx="736">
                  <c:v>42</c:v>
                </c:pt>
                <c:pt idx="737">
                  <c:v>42</c:v>
                </c:pt>
                <c:pt idx="738">
                  <c:v>42</c:v>
                </c:pt>
                <c:pt idx="739">
                  <c:v>42</c:v>
                </c:pt>
                <c:pt idx="740">
                  <c:v>42</c:v>
                </c:pt>
                <c:pt idx="741">
                  <c:v>42</c:v>
                </c:pt>
                <c:pt idx="742">
                  <c:v>42</c:v>
                </c:pt>
                <c:pt idx="743">
                  <c:v>42</c:v>
                </c:pt>
                <c:pt idx="744">
                  <c:v>42</c:v>
                </c:pt>
                <c:pt idx="745">
                  <c:v>42</c:v>
                </c:pt>
                <c:pt idx="746">
                  <c:v>42</c:v>
                </c:pt>
                <c:pt idx="747">
                  <c:v>42</c:v>
                </c:pt>
                <c:pt idx="748">
                  <c:v>42</c:v>
                </c:pt>
                <c:pt idx="749">
                  <c:v>42</c:v>
                </c:pt>
                <c:pt idx="750">
                  <c:v>42</c:v>
                </c:pt>
                <c:pt idx="751">
                  <c:v>42</c:v>
                </c:pt>
                <c:pt idx="752">
                  <c:v>42</c:v>
                </c:pt>
                <c:pt idx="753">
                  <c:v>42</c:v>
                </c:pt>
                <c:pt idx="754">
                  <c:v>43</c:v>
                </c:pt>
                <c:pt idx="755">
                  <c:v>43</c:v>
                </c:pt>
                <c:pt idx="756">
                  <c:v>43</c:v>
                </c:pt>
                <c:pt idx="757">
                  <c:v>43</c:v>
                </c:pt>
                <c:pt idx="758">
                  <c:v>43</c:v>
                </c:pt>
                <c:pt idx="759">
                  <c:v>43</c:v>
                </c:pt>
                <c:pt idx="760">
                  <c:v>43</c:v>
                </c:pt>
                <c:pt idx="761">
                  <c:v>43</c:v>
                </c:pt>
                <c:pt idx="762">
                  <c:v>43</c:v>
                </c:pt>
                <c:pt idx="763">
                  <c:v>43</c:v>
                </c:pt>
                <c:pt idx="764">
                  <c:v>43</c:v>
                </c:pt>
                <c:pt idx="765">
                  <c:v>43</c:v>
                </c:pt>
                <c:pt idx="766">
                  <c:v>43</c:v>
                </c:pt>
                <c:pt idx="767">
                  <c:v>43</c:v>
                </c:pt>
                <c:pt idx="768">
                  <c:v>43</c:v>
                </c:pt>
                <c:pt idx="769">
                  <c:v>43</c:v>
                </c:pt>
                <c:pt idx="770">
                  <c:v>43</c:v>
                </c:pt>
                <c:pt idx="771">
                  <c:v>43</c:v>
                </c:pt>
                <c:pt idx="772">
                  <c:v>43</c:v>
                </c:pt>
                <c:pt idx="773">
                  <c:v>43</c:v>
                </c:pt>
                <c:pt idx="774">
                  <c:v>43</c:v>
                </c:pt>
                <c:pt idx="775">
                  <c:v>43</c:v>
                </c:pt>
                <c:pt idx="776">
                  <c:v>43</c:v>
                </c:pt>
                <c:pt idx="777">
                  <c:v>43</c:v>
                </c:pt>
                <c:pt idx="778">
                  <c:v>43</c:v>
                </c:pt>
                <c:pt idx="779">
                  <c:v>43</c:v>
                </c:pt>
                <c:pt idx="780">
                  <c:v>43</c:v>
                </c:pt>
                <c:pt idx="781">
                  <c:v>44</c:v>
                </c:pt>
                <c:pt idx="782">
                  <c:v>44</c:v>
                </c:pt>
                <c:pt idx="783">
                  <c:v>44</c:v>
                </c:pt>
                <c:pt idx="784">
                  <c:v>44</c:v>
                </c:pt>
                <c:pt idx="785">
                  <c:v>44</c:v>
                </c:pt>
                <c:pt idx="786">
                  <c:v>44</c:v>
                </c:pt>
                <c:pt idx="787">
                  <c:v>44</c:v>
                </c:pt>
                <c:pt idx="788">
                  <c:v>44</c:v>
                </c:pt>
                <c:pt idx="789">
                  <c:v>44</c:v>
                </c:pt>
                <c:pt idx="790">
                  <c:v>44</c:v>
                </c:pt>
                <c:pt idx="791">
                  <c:v>44</c:v>
                </c:pt>
                <c:pt idx="792">
                  <c:v>44</c:v>
                </c:pt>
                <c:pt idx="793">
                  <c:v>44</c:v>
                </c:pt>
                <c:pt idx="794">
                  <c:v>44</c:v>
                </c:pt>
                <c:pt idx="795">
                  <c:v>44</c:v>
                </c:pt>
                <c:pt idx="796">
                  <c:v>44</c:v>
                </c:pt>
                <c:pt idx="797">
                  <c:v>44</c:v>
                </c:pt>
                <c:pt idx="798">
                  <c:v>44</c:v>
                </c:pt>
                <c:pt idx="799">
                  <c:v>44</c:v>
                </c:pt>
                <c:pt idx="800">
                  <c:v>44</c:v>
                </c:pt>
                <c:pt idx="801">
                  <c:v>44</c:v>
                </c:pt>
                <c:pt idx="802">
                  <c:v>44</c:v>
                </c:pt>
                <c:pt idx="803">
                  <c:v>44</c:v>
                </c:pt>
                <c:pt idx="804">
                  <c:v>44</c:v>
                </c:pt>
                <c:pt idx="805">
                  <c:v>44</c:v>
                </c:pt>
                <c:pt idx="806">
                  <c:v>44</c:v>
                </c:pt>
                <c:pt idx="807">
                  <c:v>44</c:v>
                </c:pt>
                <c:pt idx="808">
                  <c:v>45</c:v>
                </c:pt>
                <c:pt idx="809">
                  <c:v>45</c:v>
                </c:pt>
                <c:pt idx="810">
                  <c:v>45</c:v>
                </c:pt>
                <c:pt idx="811">
                  <c:v>45</c:v>
                </c:pt>
                <c:pt idx="812">
                  <c:v>45</c:v>
                </c:pt>
                <c:pt idx="813">
                  <c:v>45</c:v>
                </c:pt>
                <c:pt idx="814">
                  <c:v>45</c:v>
                </c:pt>
                <c:pt idx="815">
                  <c:v>45</c:v>
                </c:pt>
                <c:pt idx="816">
                  <c:v>45</c:v>
                </c:pt>
                <c:pt idx="817">
                  <c:v>45</c:v>
                </c:pt>
                <c:pt idx="818">
                  <c:v>45</c:v>
                </c:pt>
                <c:pt idx="819">
                  <c:v>45</c:v>
                </c:pt>
                <c:pt idx="820">
                  <c:v>45</c:v>
                </c:pt>
                <c:pt idx="821">
                  <c:v>45</c:v>
                </c:pt>
                <c:pt idx="822">
                  <c:v>45</c:v>
                </c:pt>
                <c:pt idx="823">
                  <c:v>45</c:v>
                </c:pt>
                <c:pt idx="824">
                  <c:v>45</c:v>
                </c:pt>
                <c:pt idx="825">
                  <c:v>45</c:v>
                </c:pt>
                <c:pt idx="826">
                  <c:v>45</c:v>
                </c:pt>
                <c:pt idx="827">
                  <c:v>45</c:v>
                </c:pt>
                <c:pt idx="828">
                  <c:v>45</c:v>
                </c:pt>
                <c:pt idx="829">
                  <c:v>45</c:v>
                </c:pt>
                <c:pt idx="830">
                  <c:v>45</c:v>
                </c:pt>
                <c:pt idx="831">
                  <c:v>45</c:v>
                </c:pt>
                <c:pt idx="832">
                  <c:v>45</c:v>
                </c:pt>
                <c:pt idx="833">
                  <c:v>45</c:v>
                </c:pt>
                <c:pt idx="834">
                  <c:v>45</c:v>
                </c:pt>
                <c:pt idx="835">
                  <c:v>45</c:v>
                </c:pt>
                <c:pt idx="836">
                  <c:v>45</c:v>
                </c:pt>
                <c:pt idx="837">
                  <c:v>46</c:v>
                </c:pt>
                <c:pt idx="838">
                  <c:v>46</c:v>
                </c:pt>
                <c:pt idx="839">
                  <c:v>46</c:v>
                </c:pt>
                <c:pt idx="840">
                  <c:v>46</c:v>
                </c:pt>
                <c:pt idx="841">
                  <c:v>46</c:v>
                </c:pt>
                <c:pt idx="842">
                  <c:v>46</c:v>
                </c:pt>
                <c:pt idx="843">
                  <c:v>46</c:v>
                </c:pt>
                <c:pt idx="844">
                  <c:v>46</c:v>
                </c:pt>
                <c:pt idx="845">
                  <c:v>46</c:v>
                </c:pt>
                <c:pt idx="846">
                  <c:v>46</c:v>
                </c:pt>
                <c:pt idx="847">
                  <c:v>46</c:v>
                </c:pt>
                <c:pt idx="848">
                  <c:v>46</c:v>
                </c:pt>
                <c:pt idx="849">
                  <c:v>46</c:v>
                </c:pt>
                <c:pt idx="850">
                  <c:v>46</c:v>
                </c:pt>
                <c:pt idx="851">
                  <c:v>46</c:v>
                </c:pt>
                <c:pt idx="852">
                  <c:v>46</c:v>
                </c:pt>
                <c:pt idx="853">
                  <c:v>46</c:v>
                </c:pt>
                <c:pt idx="854">
                  <c:v>46</c:v>
                </c:pt>
                <c:pt idx="855">
                  <c:v>46</c:v>
                </c:pt>
                <c:pt idx="856">
                  <c:v>46</c:v>
                </c:pt>
                <c:pt idx="857">
                  <c:v>46</c:v>
                </c:pt>
                <c:pt idx="858">
                  <c:v>46</c:v>
                </c:pt>
                <c:pt idx="859">
                  <c:v>46</c:v>
                </c:pt>
                <c:pt idx="860">
                  <c:v>46</c:v>
                </c:pt>
                <c:pt idx="861">
                  <c:v>46</c:v>
                </c:pt>
                <c:pt idx="862">
                  <c:v>46</c:v>
                </c:pt>
                <c:pt idx="863">
                  <c:v>46</c:v>
                </c:pt>
                <c:pt idx="864">
                  <c:v>46</c:v>
                </c:pt>
                <c:pt idx="865">
                  <c:v>46</c:v>
                </c:pt>
                <c:pt idx="866">
                  <c:v>47</c:v>
                </c:pt>
                <c:pt idx="867">
                  <c:v>47</c:v>
                </c:pt>
                <c:pt idx="868">
                  <c:v>47</c:v>
                </c:pt>
                <c:pt idx="869">
                  <c:v>47</c:v>
                </c:pt>
                <c:pt idx="870">
                  <c:v>47</c:v>
                </c:pt>
                <c:pt idx="871">
                  <c:v>47</c:v>
                </c:pt>
                <c:pt idx="872">
                  <c:v>47</c:v>
                </c:pt>
                <c:pt idx="873">
                  <c:v>47</c:v>
                </c:pt>
                <c:pt idx="874">
                  <c:v>47</c:v>
                </c:pt>
                <c:pt idx="875">
                  <c:v>47</c:v>
                </c:pt>
                <c:pt idx="876">
                  <c:v>47</c:v>
                </c:pt>
                <c:pt idx="877">
                  <c:v>47</c:v>
                </c:pt>
                <c:pt idx="878">
                  <c:v>47</c:v>
                </c:pt>
                <c:pt idx="879">
                  <c:v>47</c:v>
                </c:pt>
                <c:pt idx="880">
                  <c:v>47</c:v>
                </c:pt>
                <c:pt idx="881">
                  <c:v>47</c:v>
                </c:pt>
                <c:pt idx="882">
                  <c:v>47</c:v>
                </c:pt>
                <c:pt idx="883">
                  <c:v>47</c:v>
                </c:pt>
                <c:pt idx="884">
                  <c:v>47</c:v>
                </c:pt>
                <c:pt idx="885">
                  <c:v>47</c:v>
                </c:pt>
                <c:pt idx="886">
                  <c:v>47</c:v>
                </c:pt>
                <c:pt idx="887">
                  <c:v>47</c:v>
                </c:pt>
                <c:pt idx="888">
                  <c:v>47</c:v>
                </c:pt>
                <c:pt idx="889">
                  <c:v>47</c:v>
                </c:pt>
                <c:pt idx="890">
                  <c:v>47</c:v>
                </c:pt>
                <c:pt idx="891">
                  <c:v>47</c:v>
                </c:pt>
                <c:pt idx="892">
                  <c:v>47</c:v>
                </c:pt>
                <c:pt idx="893">
                  <c:v>47</c:v>
                </c:pt>
                <c:pt idx="894">
                  <c:v>47</c:v>
                </c:pt>
                <c:pt idx="895">
                  <c:v>48</c:v>
                </c:pt>
                <c:pt idx="896">
                  <c:v>48</c:v>
                </c:pt>
                <c:pt idx="897">
                  <c:v>48</c:v>
                </c:pt>
                <c:pt idx="898">
                  <c:v>48</c:v>
                </c:pt>
                <c:pt idx="899">
                  <c:v>48</c:v>
                </c:pt>
                <c:pt idx="900">
                  <c:v>48</c:v>
                </c:pt>
                <c:pt idx="901">
                  <c:v>48</c:v>
                </c:pt>
                <c:pt idx="902">
                  <c:v>48</c:v>
                </c:pt>
                <c:pt idx="903">
                  <c:v>48</c:v>
                </c:pt>
                <c:pt idx="904">
                  <c:v>48</c:v>
                </c:pt>
                <c:pt idx="905">
                  <c:v>48</c:v>
                </c:pt>
                <c:pt idx="906">
                  <c:v>48</c:v>
                </c:pt>
                <c:pt idx="907">
                  <c:v>48</c:v>
                </c:pt>
                <c:pt idx="908">
                  <c:v>48</c:v>
                </c:pt>
                <c:pt idx="909">
                  <c:v>48</c:v>
                </c:pt>
                <c:pt idx="910">
                  <c:v>48</c:v>
                </c:pt>
                <c:pt idx="911">
                  <c:v>48</c:v>
                </c:pt>
                <c:pt idx="912">
                  <c:v>48</c:v>
                </c:pt>
                <c:pt idx="913">
                  <c:v>48</c:v>
                </c:pt>
                <c:pt idx="914">
                  <c:v>48</c:v>
                </c:pt>
                <c:pt idx="915">
                  <c:v>48</c:v>
                </c:pt>
                <c:pt idx="916">
                  <c:v>48</c:v>
                </c:pt>
                <c:pt idx="917">
                  <c:v>48</c:v>
                </c:pt>
                <c:pt idx="918">
                  <c:v>48</c:v>
                </c:pt>
                <c:pt idx="919">
                  <c:v>48</c:v>
                </c:pt>
                <c:pt idx="920">
                  <c:v>48</c:v>
                </c:pt>
                <c:pt idx="921">
                  <c:v>48</c:v>
                </c:pt>
                <c:pt idx="922">
                  <c:v>48</c:v>
                </c:pt>
                <c:pt idx="923">
                  <c:v>48</c:v>
                </c:pt>
                <c:pt idx="924">
                  <c:v>49</c:v>
                </c:pt>
                <c:pt idx="925">
                  <c:v>49</c:v>
                </c:pt>
                <c:pt idx="926">
                  <c:v>49</c:v>
                </c:pt>
                <c:pt idx="927">
                  <c:v>49</c:v>
                </c:pt>
                <c:pt idx="928">
                  <c:v>49</c:v>
                </c:pt>
                <c:pt idx="929">
                  <c:v>49</c:v>
                </c:pt>
                <c:pt idx="930">
                  <c:v>49</c:v>
                </c:pt>
                <c:pt idx="931">
                  <c:v>49</c:v>
                </c:pt>
                <c:pt idx="932">
                  <c:v>49</c:v>
                </c:pt>
                <c:pt idx="933">
                  <c:v>49</c:v>
                </c:pt>
                <c:pt idx="934">
                  <c:v>49</c:v>
                </c:pt>
                <c:pt idx="935">
                  <c:v>49</c:v>
                </c:pt>
                <c:pt idx="936">
                  <c:v>49</c:v>
                </c:pt>
                <c:pt idx="937">
                  <c:v>49</c:v>
                </c:pt>
                <c:pt idx="938">
                  <c:v>49</c:v>
                </c:pt>
                <c:pt idx="939">
                  <c:v>49</c:v>
                </c:pt>
                <c:pt idx="940">
                  <c:v>49</c:v>
                </c:pt>
                <c:pt idx="941">
                  <c:v>49</c:v>
                </c:pt>
                <c:pt idx="942">
                  <c:v>49</c:v>
                </c:pt>
                <c:pt idx="943">
                  <c:v>49</c:v>
                </c:pt>
                <c:pt idx="944">
                  <c:v>49</c:v>
                </c:pt>
                <c:pt idx="945">
                  <c:v>49</c:v>
                </c:pt>
                <c:pt idx="946">
                  <c:v>49</c:v>
                </c:pt>
                <c:pt idx="947">
                  <c:v>49</c:v>
                </c:pt>
                <c:pt idx="948">
                  <c:v>49</c:v>
                </c:pt>
                <c:pt idx="949">
                  <c:v>49</c:v>
                </c:pt>
                <c:pt idx="950">
                  <c:v>49</c:v>
                </c:pt>
                <c:pt idx="951">
                  <c:v>49</c:v>
                </c:pt>
                <c:pt idx="952">
                  <c:v>50</c:v>
                </c:pt>
                <c:pt idx="953">
                  <c:v>50</c:v>
                </c:pt>
                <c:pt idx="954">
                  <c:v>50</c:v>
                </c:pt>
                <c:pt idx="955">
                  <c:v>50</c:v>
                </c:pt>
                <c:pt idx="956">
                  <c:v>50</c:v>
                </c:pt>
                <c:pt idx="957">
                  <c:v>50</c:v>
                </c:pt>
                <c:pt idx="958">
                  <c:v>50</c:v>
                </c:pt>
                <c:pt idx="959">
                  <c:v>50</c:v>
                </c:pt>
                <c:pt idx="960">
                  <c:v>50</c:v>
                </c:pt>
                <c:pt idx="961">
                  <c:v>50</c:v>
                </c:pt>
                <c:pt idx="962">
                  <c:v>50</c:v>
                </c:pt>
                <c:pt idx="963">
                  <c:v>50</c:v>
                </c:pt>
                <c:pt idx="964">
                  <c:v>50</c:v>
                </c:pt>
                <c:pt idx="965">
                  <c:v>50</c:v>
                </c:pt>
                <c:pt idx="966">
                  <c:v>50</c:v>
                </c:pt>
                <c:pt idx="967">
                  <c:v>50</c:v>
                </c:pt>
                <c:pt idx="968">
                  <c:v>50</c:v>
                </c:pt>
                <c:pt idx="969">
                  <c:v>50</c:v>
                </c:pt>
                <c:pt idx="970">
                  <c:v>50</c:v>
                </c:pt>
                <c:pt idx="971">
                  <c:v>50</c:v>
                </c:pt>
                <c:pt idx="972">
                  <c:v>50</c:v>
                </c:pt>
                <c:pt idx="973">
                  <c:v>50</c:v>
                </c:pt>
                <c:pt idx="974">
                  <c:v>50</c:v>
                </c:pt>
                <c:pt idx="975">
                  <c:v>50</c:v>
                </c:pt>
                <c:pt idx="976">
                  <c:v>50</c:v>
                </c:pt>
                <c:pt idx="977">
                  <c:v>50</c:v>
                </c:pt>
                <c:pt idx="978">
                  <c:v>50</c:v>
                </c:pt>
                <c:pt idx="979">
                  <c:v>50</c:v>
                </c:pt>
                <c:pt idx="980">
                  <c:v>50</c:v>
                </c:pt>
                <c:pt idx="981">
                  <c:v>51</c:v>
                </c:pt>
                <c:pt idx="982">
                  <c:v>51</c:v>
                </c:pt>
                <c:pt idx="983">
                  <c:v>51</c:v>
                </c:pt>
                <c:pt idx="984">
                  <c:v>51</c:v>
                </c:pt>
                <c:pt idx="985">
                  <c:v>51</c:v>
                </c:pt>
                <c:pt idx="986">
                  <c:v>51</c:v>
                </c:pt>
                <c:pt idx="987">
                  <c:v>51</c:v>
                </c:pt>
                <c:pt idx="988">
                  <c:v>51</c:v>
                </c:pt>
                <c:pt idx="989">
                  <c:v>51</c:v>
                </c:pt>
                <c:pt idx="990">
                  <c:v>51</c:v>
                </c:pt>
                <c:pt idx="991">
                  <c:v>51</c:v>
                </c:pt>
                <c:pt idx="992">
                  <c:v>51</c:v>
                </c:pt>
                <c:pt idx="993">
                  <c:v>51</c:v>
                </c:pt>
                <c:pt idx="994">
                  <c:v>51</c:v>
                </c:pt>
                <c:pt idx="995">
                  <c:v>51</c:v>
                </c:pt>
                <c:pt idx="996">
                  <c:v>51</c:v>
                </c:pt>
                <c:pt idx="997">
                  <c:v>51</c:v>
                </c:pt>
                <c:pt idx="998">
                  <c:v>51</c:v>
                </c:pt>
                <c:pt idx="999">
                  <c:v>51</c:v>
                </c:pt>
                <c:pt idx="1000">
                  <c:v>51</c:v>
                </c:pt>
                <c:pt idx="1001">
                  <c:v>51</c:v>
                </c:pt>
                <c:pt idx="1002">
                  <c:v>51</c:v>
                </c:pt>
                <c:pt idx="1003">
                  <c:v>51</c:v>
                </c:pt>
                <c:pt idx="1004">
                  <c:v>51</c:v>
                </c:pt>
                <c:pt idx="1005">
                  <c:v>51</c:v>
                </c:pt>
                <c:pt idx="1006">
                  <c:v>51</c:v>
                </c:pt>
                <c:pt idx="1007">
                  <c:v>51</c:v>
                </c:pt>
                <c:pt idx="1008">
                  <c:v>51</c:v>
                </c:pt>
                <c:pt idx="1009">
                  <c:v>51</c:v>
                </c:pt>
                <c:pt idx="1010">
                  <c:v>52</c:v>
                </c:pt>
                <c:pt idx="1011">
                  <c:v>52</c:v>
                </c:pt>
                <c:pt idx="1012">
                  <c:v>52</c:v>
                </c:pt>
                <c:pt idx="1013">
                  <c:v>52</c:v>
                </c:pt>
                <c:pt idx="1014">
                  <c:v>52</c:v>
                </c:pt>
                <c:pt idx="1015">
                  <c:v>52</c:v>
                </c:pt>
                <c:pt idx="1016">
                  <c:v>52</c:v>
                </c:pt>
                <c:pt idx="1017">
                  <c:v>52</c:v>
                </c:pt>
                <c:pt idx="1018">
                  <c:v>52</c:v>
                </c:pt>
                <c:pt idx="1019">
                  <c:v>52</c:v>
                </c:pt>
                <c:pt idx="1020">
                  <c:v>52</c:v>
                </c:pt>
                <c:pt idx="1021">
                  <c:v>52</c:v>
                </c:pt>
                <c:pt idx="1022">
                  <c:v>52</c:v>
                </c:pt>
                <c:pt idx="1023">
                  <c:v>52</c:v>
                </c:pt>
                <c:pt idx="1024">
                  <c:v>52</c:v>
                </c:pt>
                <c:pt idx="1025">
                  <c:v>52</c:v>
                </c:pt>
                <c:pt idx="1026">
                  <c:v>52</c:v>
                </c:pt>
                <c:pt idx="1027">
                  <c:v>52</c:v>
                </c:pt>
                <c:pt idx="1028">
                  <c:v>52</c:v>
                </c:pt>
                <c:pt idx="1029">
                  <c:v>52</c:v>
                </c:pt>
                <c:pt idx="1030">
                  <c:v>52</c:v>
                </c:pt>
                <c:pt idx="1031">
                  <c:v>52</c:v>
                </c:pt>
                <c:pt idx="1032">
                  <c:v>52</c:v>
                </c:pt>
                <c:pt idx="1033">
                  <c:v>52</c:v>
                </c:pt>
                <c:pt idx="1034">
                  <c:v>52</c:v>
                </c:pt>
                <c:pt idx="1035">
                  <c:v>52</c:v>
                </c:pt>
                <c:pt idx="1036">
                  <c:v>52</c:v>
                </c:pt>
                <c:pt idx="1037">
                  <c:v>52</c:v>
                </c:pt>
                <c:pt idx="1038">
                  <c:v>52</c:v>
                </c:pt>
                <c:pt idx="1039">
                  <c:v>53</c:v>
                </c:pt>
                <c:pt idx="1040">
                  <c:v>53</c:v>
                </c:pt>
                <c:pt idx="1041">
                  <c:v>53</c:v>
                </c:pt>
                <c:pt idx="1042">
                  <c:v>53</c:v>
                </c:pt>
                <c:pt idx="1043">
                  <c:v>53</c:v>
                </c:pt>
                <c:pt idx="1044">
                  <c:v>53</c:v>
                </c:pt>
                <c:pt idx="1045">
                  <c:v>53</c:v>
                </c:pt>
                <c:pt idx="1046">
                  <c:v>53</c:v>
                </c:pt>
                <c:pt idx="1047">
                  <c:v>53</c:v>
                </c:pt>
                <c:pt idx="1048">
                  <c:v>53</c:v>
                </c:pt>
                <c:pt idx="1049">
                  <c:v>53</c:v>
                </c:pt>
                <c:pt idx="1050">
                  <c:v>53</c:v>
                </c:pt>
                <c:pt idx="1051">
                  <c:v>53</c:v>
                </c:pt>
                <c:pt idx="1052">
                  <c:v>53</c:v>
                </c:pt>
                <c:pt idx="1053">
                  <c:v>53</c:v>
                </c:pt>
                <c:pt idx="1054">
                  <c:v>53</c:v>
                </c:pt>
                <c:pt idx="1055">
                  <c:v>53</c:v>
                </c:pt>
                <c:pt idx="1056">
                  <c:v>53</c:v>
                </c:pt>
                <c:pt idx="1057">
                  <c:v>53</c:v>
                </c:pt>
                <c:pt idx="1058">
                  <c:v>53</c:v>
                </c:pt>
                <c:pt idx="1059">
                  <c:v>53</c:v>
                </c:pt>
                <c:pt idx="1060">
                  <c:v>53</c:v>
                </c:pt>
                <c:pt idx="1061">
                  <c:v>53</c:v>
                </c:pt>
                <c:pt idx="1062">
                  <c:v>53</c:v>
                </c:pt>
                <c:pt idx="1063">
                  <c:v>53</c:v>
                </c:pt>
                <c:pt idx="1064">
                  <c:v>53</c:v>
                </c:pt>
                <c:pt idx="1065">
                  <c:v>53</c:v>
                </c:pt>
                <c:pt idx="1066">
                  <c:v>53</c:v>
                </c:pt>
                <c:pt idx="1067">
                  <c:v>54</c:v>
                </c:pt>
                <c:pt idx="1068">
                  <c:v>54</c:v>
                </c:pt>
                <c:pt idx="1069">
                  <c:v>54</c:v>
                </c:pt>
                <c:pt idx="1070">
                  <c:v>54</c:v>
                </c:pt>
                <c:pt idx="1071">
                  <c:v>54</c:v>
                </c:pt>
                <c:pt idx="1072">
                  <c:v>54</c:v>
                </c:pt>
                <c:pt idx="1073">
                  <c:v>54</c:v>
                </c:pt>
                <c:pt idx="1074">
                  <c:v>54</c:v>
                </c:pt>
                <c:pt idx="1075">
                  <c:v>54</c:v>
                </c:pt>
                <c:pt idx="1076">
                  <c:v>54</c:v>
                </c:pt>
                <c:pt idx="1077">
                  <c:v>54</c:v>
                </c:pt>
                <c:pt idx="1078">
                  <c:v>54</c:v>
                </c:pt>
                <c:pt idx="1079">
                  <c:v>54</c:v>
                </c:pt>
                <c:pt idx="1080">
                  <c:v>54</c:v>
                </c:pt>
                <c:pt idx="1081">
                  <c:v>54</c:v>
                </c:pt>
                <c:pt idx="1082">
                  <c:v>54</c:v>
                </c:pt>
                <c:pt idx="1083">
                  <c:v>54</c:v>
                </c:pt>
                <c:pt idx="1084">
                  <c:v>54</c:v>
                </c:pt>
                <c:pt idx="1085">
                  <c:v>54</c:v>
                </c:pt>
                <c:pt idx="1086">
                  <c:v>54</c:v>
                </c:pt>
                <c:pt idx="1087">
                  <c:v>54</c:v>
                </c:pt>
                <c:pt idx="1088">
                  <c:v>54</c:v>
                </c:pt>
                <c:pt idx="1089">
                  <c:v>54</c:v>
                </c:pt>
                <c:pt idx="1090">
                  <c:v>54</c:v>
                </c:pt>
                <c:pt idx="1091">
                  <c:v>54</c:v>
                </c:pt>
                <c:pt idx="1092">
                  <c:v>54</c:v>
                </c:pt>
                <c:pt idx="1093">
                  <c:v>54</c:v>
                </c:pt>
                <c:pt idx="1094">
                  <c:v>54</c:v>
                </c:pt>
                <c:pt idx="1095">
                  <c:v>55</c:v>
                </c:pt>
                <c:pt idx="1096">
                  <c:v>55</c:v>
                </c:pt>
                <c:pt idx="1097">
                  <c:v>55</c:v>
                </c:pt>
                <c:pt idx="1098">
                  <c:v>55</c:v>
                </c:pt>
                <c:pt idx="1099">
                  <c:v>55</c:v>
                </c:pt>
                <c:pt idx="1100">
                  <c:v>55</c:v>
                </c:pt>
                <c:pt idx="1101">
                  <c:v>55</c:v>
                </c:pt>
                <c:pt idx="1102">
                  <c:v>55</c:v>
                </c:pt>
                <c:pt idx="1103">
                  <c:v>55</c:v>
                </c:pt>
                <c:pt idx="1104">
                  <c:v>55</c:v>
                </c:pt>
                <c:pt idx="1105">
                  <c:v>55</c:v>
                </c:pt>
                <c:pt idx="1106">
                  <c:v>55</c:v>
                </c:pt>
                <c:pt idx="1107">
                  <c:v>55</c:v>
                </c:pt>
                <c:pt idx="1108">
                  <c:v>55</c:v>
                </c:pt>
                <c:pt idx="1109">
                  <c:v>55</c:v>
                </c:pt>
                <c:pt idx="1110">
                  <c:v>55</c:v>
                </c:pt>
                <c:pt idx="1111">
                  <c:v>55</c:v>
                </c:pt>
                <c:pt idx="1112">
                  <c:v>55</c:v>
                </c:pt>
                <c:pt idx="1113">
                  <c:v>55</c:v>
                </c:pt>
                <c:pt idx="1114">
                  <c:v>55</c:v>
                </c:pt>
                <c:pt idx="1115">
                  <c:v>55</c:v>
                </c:pt>
                <c:pt idx="1116">
                  <c:v>55</c:v>
                </c:pt>
                <c:pt idx="1117">
                  <c:v>55</c:v>
                </c:pt>
                <c:pt idx="1118">
                  <c:v>55</c:v>
                </c:pt>
                <c:pt idx="1119">
                  <c:v>55</c:v>
                </c:pt>
                <c:pt idx="1120">
                  <c:v>55</c:v>
                </c:pt>
                <c:pt idx="1121">
                  <c:v>56</c:v>
                </c:pt>
                <c:pt idx="1122">
                  <c:v>56</c:v>
                </c:pt>
                <c:pt idx="1123">
                  <c:v>56</c:v>
                </c:pt>
                <c:pt idx="1124">
                  <c:v>56</c:v>
                </c:pt>
                <c:pt idx="1125">
                  <c:v>56</c:v>
                </c:pt>
                <c:pt idx="1126">
                  <c:v>56</c:v>
                </c:pt>
                <c:pt idx="1127">
                  <c:v>56</c:v>
                </c:pt>
                <c:pt idx="1128">
                  <c:v>56</c:v>
                </c:pt>
                <c:pt idx="1129">
                  <c:v>56</c:v>
                </c:pt>
                <c:pt idx="1130">
                  <c:v>56</c:v>
                </c:pt>
                <c:pt idx="1131">
                  <c:v>56</c:v>
                </c:pt>
                <c:pt idx="1132">
                  <c:v>56</c:v>
                </c:pt>
                <c:pt idx="1133">
                  <c:v>56</c:v>
                </c:pt>
                <c:pt idx="1134">
                  <c:v>56</c:v>
                </c:pt>
                <c:pt idx="1135">
                  <c:v>56</c:v>
                </c:pt>
                <c:pt idx="1136">
                  <c:v>56</c:v>
                </c:pt>
                <c:pt idx="1137">
                  <c:v>56</c:v>
                </c:pt>
                <c:pt idx="1138">
                  <c:v>56</c:v>
                </c:pt>
                <c:pt idx="1139">
                  <c:v>56</c:v>
                </c:pt>
                <c:pt idx="1140">
                  <c:v>56</c:v>
                </c:pt>
                <c:pt idx="1141">
                  <c:v>56</c:v>
                </c:pt>
                <c:pt idx="1142">
                  <c:v>56</c:v>
                </c:pt>
                <c:pt idx="1143">
                  <c:v>56</c:v>
                </c:pt>
                <c:pt idx="1144">
                  <c:v>56</c:v>
                </c:pt>
                <c:pt idx="1145">
                  <c:v>56</c:v>
                </c:pt>
                <c:pt idx="1146">
                  <c:v>56</c:v>
                </c:pt>
                <c:pt idx="1147">
                  <c:v>57</c:v>
                </c:pt>
                <c:pt idx="1148">
                  <c:v>57</c:v>
                </c:pt>
                <c:pt idx="1149">
                  <c:v>57</c:v>
                </c:pt>
                <c:pt idx="1150">
                  <c:v>57</c:v>
                </c:pt>
                <c:pt idx="1151">
                  <c:v>57</c:v>
                </c:pt>
                <c:pt idx="1152">
                  <c:v>57</c:v>
                </c:pt>
                <c:pt idx="1153">
                  <c:v>57</c:v>
                </c:pt>
                <c:pt idx="1154">
                  <c:v>57</c:v>
                </c:pt>
                <c:pt idx="1155">
                  <c:v>57</c:v>
                </c:pt>
                <c:pt idx="1156">
                  <c:v>57</c:v>
                </c:pt>
                <c:pt idx="1157">
                  <c:v>57</c:v>
                </c:pt>
                <c:pt idx="1158">
                  <c:v>57</c:v>
                </c:pt>
                <c:pt idx="1159">
                  <c:v>57</c:v>
                </c:pt>
                <c:pt idx="1160">
                  <c:v>57</c:v>
                </c:pt>
                <c:pt idx="1161">
                  <c:v>57</c:v>
                </c:pt>
                <c:pt idx="1162">
                  <c:v>57</c:v>
                </c:pt>
                <c:pt idx="1163">
                  <c:v>57</c:v>
                </c:pt>
                <c:pt idx="1164">
                  <c:v>57</c:v>
                </c:pt>
                <c:pt idx="1165">
                  <c:v>57</c:v>
                </c:pt>
                <c:pt idx="1166">
                  <c:v>57</c:v>
                </c:pt>
                <c:pt idx="1167">
                  <c:v>57</c:v>
                </c:pt>
                <c:pt idx="1168">
                  <c:v>57</c:v>
                </c:pt>
                <c:pt idx="1169">
                  <c:v>57</c:v>
                </c:pt>
                <c:pt idx="1170">
                  <c:v>57</c:v>
                </c:pt>
                <c:pt idx="1171">
                  <c:v>57</c:v>
                </c:pt>
                <c:pt idx="1172">
                  <c:v>57</c:v>
                </c:pt>
                <c:pt idx="1173">
                  <c:v>58</c:v>
                </c:pt>
                <c:pt idx="1174">
                  <c:v>58</c:v>
                </c:pt>
                <c:pt idx="1175">
                  <c:v>58</c:v>
                </c:pt>
                <c:pt idx="1176">
                  <c:v>58</c:v>
                </c:pt>
                <c:pt idx="1177">
                  <c:v>58</c:v>
                </c:pt>
                <c:pt idx="1178">
                  <c:v>58</c:v>
                </c:pt>
                <c:pt idx="1179">
                  <c:v>58</c:v>
                </c:pt>
                <c:pt idx="1180">
                  <c:v>58</c:v>
                </c:pt>
                <c:pt idx="1181">
                  <c:v>58</c:v>
                </c:pt>
                <c:pt idx="1182">
                  <c:v>58</c:v>
                </c:pt>
                <c:pt idx="1183">
                  <c:v>58</c:v>
                </c:pt>
                <c:pt idx="1184">
                  <c:v>58</c:v>
                </c:pt>
                <c:pt idx="1185">
                  <c:v>58</c:v>
                </c:pt>
                <c:pt idx="1186">
                  <c:v>58</c:v>
                </c:pt>
                <c:pt idx="1187">
                  <c:v>58</c:v>
                </c:pt>
                <c:pt idx="1188">
                  <c:v>58</c:v>
                </c:pt>
                <c:pt idx="1189">
                  <c:v>58</c:v>
                </c:pt>
                <c:pt idx="1190">
                  <c:v>58</c:v>
                </c:pt>
                <c:pt idx="1191">
                  <c:v>58</c:v>
                </c:pt>
                <c:pt idx="1192">
                  <c:v>58</c:v>
                </c:pt>
                <c:pt idx="1193">
                  <c:v>58</c:v>
                </c:pt>
                <c:pt idx="1194">
                  <c:v>58</c:v>
                </c:pt>
                <c:pt idx="1195">
                  <c:v>58</c:v>
                </c:pt>
                <c:pt idx="1196">
                  <c:v>58</c:v>
                </c:pt>
                <c:pt idx="1197">
                  <c:v>58</c:v>
                </c:pt>
                <c:pt idx="1198">
                  <c:v>59</c:v>
                </c:pt>
                <c:pt idx="1199">
                  <c:v>59</c:v>
                </c:pt>
                <c:pt idx="1200">
                  <c:v>59</c:v>
                </c:pt>
                <c:pt idx="1201">
                  <c:v>59</c:v>
                </c:pt>
                <c:pt idx="1202">
                  <c:v>59</c:v>
                </c:pt>
                <c:pt idx="1203">
                  <c:v>59</c:v>
                </c:pt>
                <c:pt idx="1204">
                  <c:v>59</c:v>
                </c:pt>
                <c:pt idx="1205">
                  <c:v>59</c:v>
                </c:pt>
                <c:pt idx="1206">
                  <c:v>59</c:v>
                </c:pt>
                <c:pt idx="1207">
                  <c:v>59</c:v>
                </c:pt>
                <c:pt idx="1208">
                  <c:v>59</c:v>
                </c:pt>
                <c:pt idx="1209">
                  <c:v>59</c:v>
                </c:pt>
                <c:pt idx="1210">
                  <c:v>59</c:v>
                </c:pt>
                <c:pt idx="1211">
                  <c:v>59</c:v>
                </c:pt>
                <c:pt idx="1212">
                  <c:v>59</c:v>
                </c:pt>
                <c:pt idx="1213">
                  <c:v>59</c:v>
                </c:pt>
                <c:pt idx="1214">
                  <c:v>59</c:v>
                </c:pt>
                <c:pt idx="1215">
                  <c:v>59</c:v>
                </c:pt>
                <c:pt idx="1216">
                  <c:v>59</c:v>
                </c:pt>
                <c:pt idx="1217">
                  <c:v>59</c:v>
                </c:pt>
                <c:pt idx="1218">
                  <c:v>59</c:v>
                </c:pt>
                <c:pt idx="1219">
                  <c:v>59</c:v>
                </c:pt>
                <c:pt idx="1220">
                  <c:v>59</c:v>
                </c:pt>
                <c:pt idx="1221">
                  <c:v>59</c:v>
                </c:pt>
                <c:pt idx="1222">
                  <c:v>59</c:v>
                </c:pt>
                <c:pt idx="1223">
                  <c:v>60</c:v>
                </c:pt>
                <c:pt idx="1224">
                  <c:v>60</c:v>
                </c:pt>
                <c:pt idx="1225">
                  <c:v>60</c:v>
                </c:pt>
                <c:pt idx="1226">
                  <c:v>60</c:v>
                </c:pt>
                <c:pt idx="1227">
                  <c:v>60</c:v>
                </c:pt>
                <c:pt idx="1228">
                  <c:v>60</c:v>
                </c:pt>
                <c:pt idx="1229">
                  <c:v>60</c:v>
                </c:pt>
                <c:pt idx="1230">
                  <c:v>60</c:v>
                </c:pt>
                <c:pt idx="1231">
                  <c:v>60</c:v>
                </c:pt>
                <c:pt idx="1232">
                  <c:v>60</c:v>
                </c:pt>
                <c:pt idx="1233">
                  <c:v>60</c:v>
                </c:pt>
                <c:pt idx="1234">
                  <c:v>60</c:v>
                </c:pt>
                <c:pt idx="1235">
                  <c:v>60</c:v>
                </c:pt>
                <c:pt idx="1236">
                  <c:v>60</c:v>
                </c:pt>
                <c:pt idx="1237">
                  <c:v>60</c:v>
                </c:pt>
                <c:pt idx="1238">
                  <c:v>60</c:v>
                </c:pt>
                <c:pt idx="1239">
                  <c:v>60</c:v>
                </c:pt>
                <c:pt idx="1240">
                  <c:v>60</c:v>
                </c:pt>
                <c:pt idx="1241">
                  <c:v>60</c:v>
                </c:pt>
                <c:pt idx="1242">
                  <c:v>60</c:v>
                </c:pt>
                <c:pt idx="1243">
                  <c:v>60</c:v>
                </c:pt>
                <c:pt idx="1244">
                  <c:v>60</c:v>
                </c:pt>
                <c:pt idx="1245">
                  <c:v>60</c:v>
                </c:pt>
                <c:pt idx="1246">
                  <c:v>61</c:v>
                </c:pt>
                <c:pt idx="1247">
                  <c:v>61</c:v>
                </c:pt>
                <c:pt idx="1248">
                  <c:v>61</c:v>
                </c:pt>
                <c:pt idx="1249">
                  <c:v>61</c:v>
                </c:pt>
                <c:pt idx="1250">
                  <c:v>61</c:v>
                </c:pt>
                <c:pt idx="1251">
                  <c:v>61</c:v>
                </c:pt>
                <c:pt idx="1252">
                  <c:v>61</c:v>
                </c:pt>
                <c:pt idx="1253">
                  <c:v>61</c:v>
                </c:pt>
                <c:pt idx="1254">
                  <c:v>61</c:v>
                </c:pt>
                <c:pt idx="1255">
                  <c:v>61</c:v>
                </c:pt>
                <c:pt idx="1256">
                  <c:v>61</c:v>
                </c:pt>
                <c:pt idx="1257">
                  <c:v>61</c:v>
                </c:pt>
                <c:pt idx="1258">
                  <c:v>61</c:v>
                </c:pt>
                <c:pt idx="1259">
                  <c:v>61</c:v>
                </c:pt>
                <c:pt idx="1260">
                  <c:v>61</c:v>
                </c:pt>
                <c:pt idx="1261">
                  <c:v>61</c:v>
                </c:pt>
                <c:pt idx="1262">
                  <c:v>61</c:v>
                </c:pt>
                <c:pt idx="1263">
                  <c:v>61</c:v>
                </c:pt>
                <c:pt idx="1264">
                  <c:v>61</c:v>
                </c:pt>
                <c:pt idx="1265">
                  <c:v>61</c:v>
                </c:pt>
                <c:pt idx="1266">
                  <c:v>61</c:v>
                </c:pt>
                <c:pt idx="1267">
                  <c:v>61</c:v>
                </c:pt>
                <c:pt idx="1268">
                  <c:v>61</c:v>
                </c:pt>
                <c:pt idx="1269">
                  <c:v>62</c:v>
                </c:pt>
                <c:pt idx="1270">
                  <c:v>62</c:v>
                </c:pt>
                <c:pt idx="1271">
                  <c:v>62</c:v>
                </c:pt>
                <c:pt idx="1272">
                  <c:v>62</c:v>
                </c:pt>
                <c:pt idx="1273">
                  <c:v>62</c:v>
                </c:pt>
                <c:pt idx="1274">
                  <c:v>62</c:v>
                </c:pt>
                <c:pt idx="1275">
                  <c:v>62</c:v>
                </c:pt>
                <c:pt idx="1276">
                  <c:v>62</c:v>
                </c:pt>
                <c:pt idx="1277">
                  <c:v>62</c:v>
                </c:pt>
                <c:pt idx="1278">
                  <c:v>62</c:v>
                </c:pt>
                <c:pt idx="1279">
                  <c:v>62</c:v>
                </c:pt>
                <c:pt idx="1280">
                  <c:v>62</c:v>
                </c:pt>
                <c:pt idx="1281">
                  <c:v>62</c:v>
                </c:pt>
                <c:pt idx="1282">
                  <c:v>62</c:v>
                </c:pt>
                <c:pt idx="1283">
                  <c:v>62</c:v>
                </c:pt>
                <c:pt idx="1284">
                  <c:v>62</c:v>
                </c:pt>
                <c:pt idx="1285">
                  <c:v>62</c:v>
                </c:pt>
                <c:pt idx="1286">
                  <c:v>62</c:v>
                </c:pt>
                <c:pt idx="1287">
                  <c:v>62</c:v>
                </c:pt>
                <c:pt idx="1288">
                  <c:v>62</c:v>
                </c:pt>
                <c:pt idx="1289">
                  <c:v>62</c:v>
                </c:pt>
                <c:pt idx="1290">
                  <c:v>62</c:v>
                </c:pt>
                <c:pt idx="1291">
                  <c:v>62</c:v>
                </c:pt>
                <c:pt idx="1292">
                  <c:v>63</c:v>
                </c:pt>
                <c:pt idx="1293">
                  <c:v>63</c:v>
                </c:pt>
                <c:pt idx="1294">
                  <c:v>63</c:v>
                </c:pt>
                <c:pt idx="1295">
                  <c:v>63</c:v>
                </c:pt>
                <c:pt idx="1296">
                  <c:v>63</c:v>
                </c:pt>
                <c:pt idx="1297">
                  <c:v>63</c:v>
                </c:pt>
                <c:pt idx="1298">
                  <c:v>63</c:v>
                </c:pt>
                <c:pt idx="1299">
                  <c:v>63</c:v>
                </c:pt>
                <c:pt idx="1300">
                  <c:v>63</c:v>
                </c:pt>
                <c:pt idx="1301">
                  <c:v>63</c:v>
                </c:pt>
                <c:pt idx="1302">
                  <c:v>63</c:v>
                </c:pt>
                <c:pt idx="1303">
                  <c:v>63</c:v>
                </c:pt>
                <c:pt idx="1304">
                  <c:v>63</c:v>
                </c:pt>
                <c:pt idx="1305">
                  <c:v>63</c:v>
                </c:pt>
                <c:pt idx="1306">
                  <c:v>63</c:v>
                </c:pt>
                <c:pt idx="1307">
                  <c:v>63</c:v>
                </c:pt>
                <c:pt idx="1308">
                  <c:v>63</c:v>
                </c:pt>
                <c:pt idx="1309">
                  <c:v>63</c:v>
                </c:pt>
                <c:pt idx="1310">
                  <c:v>63</c:v>
                </c:pt>
                <c:pt idx="1311">
                  <c:v>63</c:v>
                </c:pt>
                <c:pt idx="1312">
                  <c:v>63</c:v>
                </c:pt>
                <c:pt idx="1313">
                  <c:v>63</c:v>
                </c:pt>
                <c:pt idx="1314">
                  <c:v>63</c:v>
                </c:pt>
                <c:pt idx="1315">
                  <c:v>64</c:v>
                </c:pt>
                <c:pt idx="1316">
                  <c:v>64</c:v>
                </c:pt>
                <c:pt idx="1317">
                  <c:v>64</c:v>
                </c:pt>
                <c:pt idx="1318">
                  <c:v>64</c:v>
                </c:pt>
                <c:pt idx="1319">
                  <c:v>64</c:v>
                </c:pt>
                <c:pt idx="1320">
                  <c:v>64</c:v>
                </c:pt>
                <c:pt idx="1321">
                  <c:v>64</c:v>
                </c:pt>
                <c:pt idx="1322">
                  <c:v>64</c:v>
                </c:pt>
                <c:pt idx="1323">
                  <c:v>64</c:v>
                </c:pt>
                <c:pt idx="1324">
                  <c:v>64</c:v>
                </c:pt>
                <c:pt idx="1325">
                  <c:v>64</c:v>
                </c:pt>
                <c:pt idx="1326">
                  <c:v>64</c:v>
                </c:pt>
                <c:pt idx="1327">
                  <c:v>64</c:v>
                </c:pt>
                <c:pt idx="1328">
                  <c:v>64</c:v>
                </c:pt>
                <c:pt idx="1329">
                  <c:v>64</c:v>
                </c:pt>
                <c:pt idx="1330">
                  <c:v>64</c:v>
                </c:pt>
                <c:pt idx="1331">
                  <c:v>64</c:v>
                </c:pt>
                <c:pt idx="1332">
                  <c:v>64</c:v>
                </c:pt>
                <c:pt idx="1333">
                  <c:v>64</c:v>
                </c:pt>
                <c:pt idx="1334">
                  <c:v>64</c:v>
                </c:pt>
                <c:pt idx="1335">
                  <c:v>64</c:v>
                </c:pt>
                <c:pt idx="1336">
                  <c:v>64</c:v>
                </c:pt>
              </c:numCache>
            </c:numRef>
          </c:xVal>
          <c:yVal>
            <c:numRef>
              <c:f>Sheet16!$G$2:$G$1339</c:f>
              <c:numCache>
                <c:formatCode>_-[$$-409]* #,##0.00_ ;_-[$$-409]* \-#,##0.00\ ;_-[$$-409]* "-"??_ ;_-@_ </c:formatCode>
                <c:ptCount val="1338"/>
                <c:pt idx="0">
                  <c:v>1121.8739</c:v>
                </c:pt>
                <c:pt idx="1">
                  <c:v>1131.5065999999999</c:v>
                </c:pt>
                <c:pt idx="2">
                  <c:v>1135.9407000000001</c:v>
                </c:pt>
                <c:pt idx="3">
                  <c:v>1136.3994</c:v>
                </c:pt>
                <c:pt idx="4">
                  <c:v>1137.011</c:v>
                </c:pt>
                <c:pt idx="5">
                  <c:v>1137.4697000000001</c:v>
                </c:pt>
                <c:pt idx="6">
                  <c:v>1141.4450999999999</c:v>
                </c:pt>
                <c:pt idx="7">
                  <c:v>1146.7965999999999</c:v>
                </c:pt>
                <c:pt idx="8">
                  <c:v>1149.3959</c:v>
                </c:pt>
                <c:pt idx="9">
                  <c:v>1163.4627</c:v>
                </c:pt>
                <c:pt idx="10">
                  <c:v>1241.5650000000001</c:v>
                </c:pt>
                <c:pt idx="11">
                  <c:v>1242.26</c:v>
                </c:pt>
                <c:pt idx="12">
                  <c:v>1242.816</c:v>
                </c:pt>
                <c:pt idx="13">
                  <c:v>1252.4069999999999</c:v>
                </c:pt>
                <c:pt idx="14">
                  <c:v>1253.9359999999999</c:v>
                </c:pt>
                <c:pt idx="15">
                  <c:v>1256.299</c:v>
                </c:pt>
                <c:pt idx="16">
                  <c:v>1261.442</c:v>
                </c:pt>
                <c:pt idx="17">
                  <c:v>1261.8589999999999</c:v>
                </c:pt>
                <c:pt idx="18">
                  <c:v>1263.249</c:v>
                </c:pt>
                <c:pt idx="19">
                  <c:v>1391.5287000000001</c:v>
                </c:pt>
                <c:pt idx="20">
                  <c:v>1515.3449000000001</c:v>
                </c:pt>
                <c:pt idx="21">
                  <c:v>1526.3119999999999</c:v>
                </c:pt>
                <c:pt idx="22">
                  <c:v>1532.4697000000001</c:v>
                </c:pt>
                <c:pt idx="23">
                  <c:v>1534.3045</c:v>
                </c:pt>
                <c:pt idx="24">
                  <c:v>1607.5101</c:v>
                </c:pt>
                <c:pt idx="25">
                  <c:v>1615.7666999999999</c:v>
                </c:pt>
                <c:pt idx="26">
                  <c:v>1621.3402000000001</c:v>
                </c:pt>
                <c:pt idx="27">
                  <c:v>1621.8827000000001</c:v>
                </c:pt>
                <c:pt idx="28">
                  <c:v>1622.1885</c:v>
                </c:pt>
                <c:pt idx="29">
                  <c:v>1625.4337499999999</c:v>
                </c:pt>
                <c:pt idx="30">
                  <c:v>1627.2824499999999</c:v>
                </c:pt>
                <c:pt idx="31">
                  <c:v>1628.4709</c:v>
                </c:pt>
                <c:pt idx="32">
                  <c:v>1629.8335</c:v>
                </c:pt>
                <c:pt idx="33">
                  <c:v>1631.6683</c:v>
                </c:pt>
                <c:pt idx="34">
                  <c:v>1631.8212000000001</c:v>
                </c:pt>
                <c:pt idx="35">
                  <c:v>1632.0362500000001</c:v>
                </c:pt>
                <c:pt idx="36">
                  <c:v>1632.5644500000001</c:v>
                </c:pt>
                <c:pt idx="37">
                  <c:v>1633.0444</c:v>
                </c:pt>
                <c:pt idx="38">
                  <c:v>1633.9618</c:v>
                </c:pt>
                <c:pt idx="39">
                  <c:v>1634.5734</c:v>
                </c:pt>
                <c:pt idx="40">
                  <c:v>1635.7336499999999</c:v>
                </c:pt>
                <c:pt idx="41">
                  <c:v>1639.5631000000001</c:v>
                </c:pt>
                <c:pt idx="42">
                  <c:v>1646.4296999999999</c:v>
                </c:pt>
                <c:pt idx="43">
                  <c:v>1664.9996000000001</c:v>
                </c:pt>
                <c:pt idx="44">
                  <c:v>1674.6323</c:v>
                </c:pt>
                <c:pt idx="45">
                  <c:v>1682.597</c:v>
                </c:pt>
                <c:pt idx="46">
                  <c:v>1694.7963999999999</c:v>
                </c:pt>
                <c:pt idx="47">
                  <c:v>1702.4553000000001</c:v>
                </c:pt>
                <c:pt idx="48">
                  <c:v>1704.5681</c:v>
                </c:pt>
                <c:pt idx="49">
                  <c:v>1704.7001499999999</c:v>
                </c:pt>
                <c:pt idx="50">
                  <c:v>1705.6244999999999</c:v>
                </c:pt>
                <c:pt idx="51">
                  <c:v>1708.0014000000001</c:v>
                </c:pt>
                <c:pt idx="52">
                  <c:v>1708.9257500000001</c:v>
                </c:pt>
                <c:pt idx="53">
                  <c:v>1711.0268000000001</c:v>
                </c:pt>
                <c:pt idx="54">
                  <c:v>1712.2270000000001</c:v>
                </c:pt>
                <c:pt idx="55">
                  <c:v>1719.4363000000001</c:v>
                </c:pt>
                <c:pt idx="56">
                  <c:v>1720.3536999999999</c:v>
                </c:pt>
                <c:pt idx="57">
                  <c:v>1725.5523000000001</c:v>
                </c:pt>
                <c:pt idx="58">
                  <c:v>1727.54</c:v>
                </c:pt>
                <c:pt idx="59">
                  <c:v>1727.7850000000001</c:v>
                </c:pt>
                <c:pt idx="60">
                  <c:v>1728.8969999999999</c:v>
                </c:pt>
                <c:pt idx="61">
                  <c:v>1731.6769999999999</c:v>
                </c:pt>
                <c:pt idx="62">
                  <c:v>1737.376</c:v>
                </c:pt>
                <c:pt idx="63">
                  <c:v>1743.2139999999999</c:v>
                </c:pt>
                <c:pt idx="64">
                  <c:v>1744.4649999999999</c:v>
                </c:pt>
                <c:pt idx="65">
                  <c:v>1748.7739999999999</c:v>
                </c:pt>
                <c:pt idx="66">
                  <c:v>1759.338</c:v>
                </c:pt>
                <c:pt idx="67">
                  <c:v>1769.5316499999999</c:v>
                </c:pt>
                <c:pt idx="68">
                  <c:v>1815.8759</c:v>
                </c:pt>
                <c:pt idx="69">
                  <c:v>1824.2854</c:v>
                </c:pt>
                <c:pt idx="70">
                  <c:v>1826.8430000000001</c:v>
                </c:pt>
                <c:pt idx="71">
                  <c:v>1832.0940000000001</c:v>
                </c:pt>
                <c:pt idx="72">
                  <c:v>1837.2370000000001</c:v>
                </c:pt>
                <c:pt idx="73">
                  <c:v>1837.2819</c:v>
                </c:pt>
                <c:pt idx="74">
                  <c:v>1842.519</c:v>
                </c:pt>
                <c:pt idx="75">
                  <c:v>1875.3440000000001</c:v>
                </c:pt>
                <c:pt idx="76">
                  <c:v>1877.9294</c:v>
                </c:pt>
                <c:pt idx="77">
                  <c:v>1880.07</c:v>
                </c:pt>
                <c:pt idx="78">
                  <c:v>1880.4870000000001</c:v>
                </c:pt>
                <c:pt idx="79">
                  <c:v>1906.35825</c:v>
                </c:pt>
                <c:pt idx="80">
                  <c:v>1909.52745</c:v>
                </c:pt>
                <c:pt idx="81">
                  <c:v>1917.3184000000001</c:v>
                </c:pt>
                <c:pt idx="82">
                  <c:v>1964.78</c:v>
                </c:pt>
                <c:pt idx="83">
                  <c:v>1967.0227</c:v>
                </c:pt>
                <c:pt idx="84">
                  <c:v>1969.614</c:v>
                </c:pt>
                <c:pt idx="85">
                  <c:v>1972.95</c:v>
                </c:pt>
                <c:pt idx="86">
                  <c:v>1977.8150000000001</c:v>
                </c:pt>
                <c:pt idx="87">
                  <c:v>1980.07</c:v>
                </c:pt>
                <c:pt idx="88">
                  <c:v>1981.5818999999999</c:v>
                </c:pt>
                <c:pt idx="89">
                  <c:v>1984.4532999999999</c:v>
                </c:pt>
                <c:pt idx="90">
                  <c:v>1986.9333999999999</c:v>
                </c:pt>
                <c:pt idx="91">
                  <c:v>2007.9449999999999</c:v>
                </c:pt>
                <c:pt idx="92">
                  <c:v>2020.1769999999999</c:v>
                </c:pt>
                <c:pt idx="93">
                  <c:v>2020.5523000000001</c:v>
                </c:pt>
                <c:pt idx="94">
                  <c:v>2026.9740999999999</c:v>
                </c:pt>
                <c:pt idx="95">
                  <c:v>2045.68525</c:v>
                </c:pt>
                <c:pt idx="96">
                  <c:v>2055.3249000000001</c:v>
                </c:pt>
                <c:pt idx="97">
                  <c:v>2102.2647000000002</c:v>
                </c:pt>
                <c:pt idx="98">
                  <c:v>2103.08</c:v>
                </c:pt>
                <c:pt idx="99">
                  <c:v>2104.1134000000002</c:v>
                </c:pt>
                <c:pt idx="100">
                  <c:v>2117.3388500000001</c:v>
                </c:pt>
                <c:pt idx="101">
                  <c:v>2128.4310500000001</c:v>
                </c:pt>
                <c:pt idx="102">
                  <c:v>2130.6759000000002</c:v>
                </c:pt>
                <c:pt idx="103">
                  <c:v>2134.9014999999999</c:v>
                </c:pt>
                <c:pt idx="104">
                  <c:v>2136.8822500000001</c:v>
                </c:pt>
                <c:pt idx="105">
                  <c:v>2137.6536000000001</c:v>
                </c:pt>
                <c:pt idx="106">
                  <c:v>2138.0707000000002</c:v>
                </c:pt>
                <c:pt idx="107">
                  <c:v>2150.4690000000001</c:v>
                </c:pt>
                <c:pt idx="108">
                  <c:v>2154.3609999999999</c:v>
                </c:pt>
                <c:pt idx="109">
                  <c:v>2155.6815000000001</c:v>
                </c:pt>
                <c:pt idx="110">
                  <c:v>2156.7518</c:v>
                </c:pt>
                <c:pt idx="111">
                  <c:v>2166.732</c:v>
                </c:pt>
                <c:pt idx="112">
                  <c:v>2196.4731999999999</c:v>
                </c:pt>
                <c:pt idx="113">
                  <c:v>2198.1898500000002</c:v>
                </c:pt>
                <c:pt idx="114">
                  <c:v>2200.8308499999998</c:v>
                </c:pt>
                <c:pt idx="115">
                  <c:v>2201.0971</c:v>
                </c:pt>
                <c:pt idx="116">
                  <c:v>2203.4718499999999</c:v>
                </c:pt>
                <c:pt idx="117">
                  <c:v>2203.7359499999998</c:v>
                </c:pt>
                <c:pt idx="118">
                  <c:v>2205.9807999999998</c:v>
                </c:pt>
                <c:pt idx="119">
                  <c:v>2207.6974500000001</c:v>
                </c:pt>
                <c:pt idx="120">
                  <c:v>2211.1307499999998</c:v>
                </c:pt>
                <c:pt idx="121">
                  <c:v>2217.4691499999999</c:v>
                </c:pt>
                <c:pt idx="122">
                  <c:v>2217.6012000000001</c:v>
                </c:pt>
                <c:pt idx="123">
                  <c:v>2219.4450999999999</c:v>
                </c:pt>
                <c:pt idx="124">
                  <c:v>2221.5644499999999</c:v>
                </c:pt>
                <c:pt idx="125">
                  <c:v>2250.8352</c:v>
                </c:pt>
                <c:pt idx="126">
                  <c:v>2254.7966999999999</c:v>
                </c:pt>
                <c:pt idx="127">
                  <c:v>2257.47525</c:v>
                </c:pt>
                <c:pt idx="128">
                  <c:v>2261.5688</c:v>
                </c:pt>
                <c:pt idx="129">
                  <c:v>2302.3000000000002</c:v>
                </c:pt>
                <c:pt idx="130">
                  <c:v>2304.0021999999999</c:v>
                </c:pt>
                <c:pt idx="131">
                  <c:v>2322.6217999999999</c:v>
                </c:pt>
                <c:pt idx="132">
                  <c:v>2331.5189999999998</c:v>
                </c:pt>
                <c:pt idx="133">
                  <c:v>2352.9684499999998</c:v>
                </c:pt>
                <c:pt idx="134">
                  <c:v>2362.2290499999999</c:v>
                </c:pt>
                <c:pt idx="135">
                  <c:v>2395.17155</c:v>
                </c:pt>
                <c:pt idx="136">
                  <c:v>2396.0958999999998</c:v>
                </c:pt>
                <c:pt idx="137">
                  <c:v>2404.7338</c:v>
                </c:pt>
                <c:pt idx="138">
                  <c:v>2416.9549999999999</c:v>
                </c:pt>
                <c:pt idx="139">
                  <c:v>2438.0551999999998</c:v>
                </c:pt>
                <c:pt idx="140">
                  <c:v>2457.2111500000001</c:v>
                </c:pt>
                <c:pt idx="141">
                  <c:v>2457.502</c:v>
                </c:pt>
                <c:pt idx="142">
                  <c:v>2459.7201</c:v>
                </c:pt>
                <c:pt idx="143">
                  <c:v>2464.6188000000002</c:v>
                </c:pt>
                <c:pt idx="144">
                  <c:v>2473.3341</c:v>
                </c:pt>
                <c:pt idx="145">
                  <c:v>2480.9791</c:v>
                </c:pt>
                <c:pt idx="146">
                  <c:v>2483.7359999999999</c:v>
                </c:pt>
                <c:pt idx="147">
                  <c:v>2494.0219999999999</c:v>
                </c:pt>
                <c:pt idx="148">
                  <c:v>2497.0383000000002</c:v>
                </c:pt>
                <c:pt idx="149">
                  <c:v>2498.4144000000001</c:v>
                </c:pt>
                <c:pt idx="150">
                  <c:v>2523.1695</c:v>
                </c:pt>
                <c:pt idx="151">
                  <c:v>2527.8186500000002</c:v>
                </c:pt>
                <c:pt idx="152">
                  <c:v>2534.3937500000002</c:v>
                </c:pt>
                <c:pt idx="153">
                  <c:v>2566.4706999999999</c:v>
                </c:pt>
                <c:pt idx="154">
                  <c:v>2585.2689999999998</c:v>
                </c:pt>
                <c:pt idx="155">
                  <c:v>2585.8506499999999</c:v>
                </c:pt>
                <c:pt idx="156">
                  <c:v>2597.779</c:v>
                </c:pt>
                <c:pt idx="157">
                  <c:v>2632.9920000000002</c:v>
                </c:pt>
                <c:pt idx="158">
                  <c:v>2639.0428999999999</c:v>
                </c:pt>
                <c:pt idx="159">
                  <c:v>2643.2685000000001</c:v>
                </c:pt>
                <c:pt idx="160">
                  <c:v>2680.9493000000002</c:v>
                </c:pt>
                <c:pt idx="161">
                  <c:v>2689.4953999999998</c:v>
                </c:pt>
                <c:pt idx="162">
                  <c:v>2690.1138000000001</c:v>
                </c:pt>
                <c:pt idx="163">
                  <c:v>2699.56835</c:v>
                </c:pt>
                <c:pt idx="164">
                  <c:v>2709.1118999999999</c:v>
                </c:pt>
                <c:pt idx="165">
                  <c:v>2709.24395</c:v>
                </c:pt>
                <c:pt idx="166">
                  <c:v>2710.8285500000002</c:v>
                </c:pt>
                <c:pt idx="167">
                  <c:v>2719.2797500000001</c:v>
                </c:pt>
                <c:pt idx="168">
                  <c:v>2721.3208</c:v>
                </c:pt>
                <c:pt idx="169">
                  <c:v>2727.3951000000002</c:v>
                </c:pt>
                <c:pt idx="170">
                  <c:v>2730.1078499999999</c:v>
                </c:pt>
                <c:pt idx="171">
                  <c:v>2731.9122000000002</c:v>
                </c:pt>
                <c:pt idx="172">
                  <c:v>2741.9479999999999</c:v>
                </c:pt>
                <c:pt idx="173">
                  <c:v>2755.0209500000001</c:v>
                </c:pt>
                <c:pt idx="174">
                  <c:v>2775.1921499999999</c:v>
                </c:pt>
                <c:pt idx="175">
                  <c:v>2789.0574000000001</c:v>
                </c:pt>
                <c:pt idx="176">
                  <c:v>2801.2588000000001</c:v>
                </c:pt>
                <c:pt idx="177">
                  <c:v>2803.69785</c:v>
                </c:pt>
                <c:pt idx="178">
                  <c:v>2842.7607499999999</c:v>
                </c:pt>
                <c:pt idx="179">
                  <c:v>2850.6837500000001</c:v>
                </c:pt>
                <c:pt idx="180">
                  <c:v>2855.4375500000001</c:v>
                </c:pt>
                <c:pt idx="181">
                  <c:v>2866.0909999999999</c:v>
                </c:pt>
                <c:pt idx="182">
                  <c:v>2867.1196</c:v>
                </c:pt>
                <c:pt idx="183">
                  <c:v>2897.3235</c:v>
                </c:pt>
                <c:pt idx="184">
                  <c:v>2899.4893499999998</c:v>
                </c:pt>
                <c:pt idx="185">
                  <c:v>2902.9065000000001</c:v>
                </c:pt>
                <c:pt idx="186">
                  <c:v>2904.0880000000002</c:v>
                </c:pt>
                <c:pt idx="187">
                  <c:v>2913.569</c:v>
                </c:pt>
                <c:pt idx="188">
                  <c:v>2927.0646999999999</c:v>
                </c:pt>
                <c:pt idx="189">
                  <c:v>2974.1260000000002</c:v>
                </c:pt>
                <c:pt idx="190">
                  <c:v>3021.80915</c:v>
                </c:pt>
                <c:pt idx="191">
                  <c:v>3044.2132999999999</c:v>
                </c:pt>
                <c:pt idx="192">
                  <c:v>3046.0619999999999</c:v>
                </c:pt>
                <c:pt idx="193">
                  <c:v>3056.3881000000001</c:v>
                </c:pt>
                <c:pt idx="194">
                  <c:v>3062.5082499999999</c:v>
                </c:pt>
                <c:pt idx="195">
                  <c:v>3070.8087</c:v>
                </c:pt>
                <c:pt idx="196">
                  <c:v>3077.0954999999999</c:v>
                </c:pt>
                <c:pt idx="197">
                  <c:v>3161.4540000000002</c:v>
                </c:pt>
                <c:pt idx="198">
                  <c:v>3167.4558499999998</c:v>
                </c:pt>
                <c:pt idx="199">
                  <c:v>3171.6149</c:v>
                </c:pt>
                <c:pt idx="200">
                  <c:v>3172.018</c:v>
                </c:pt>
                <c:pt idx="201">
                  <c:v>3176.2876999999999</c:v>
                </c:pt>
                <c:pt idx="202">
                  <c:v>3176.8159000000001</c:v>
                </c:pt>
                <c:pt idx="203">
                  <c:v>3180.5101</c:v>
                </c:pt>
                <c:pt idx="204">
                  <c:v>3201.2451500000002</c:v>
                </c:pt>
                <c:pt idx="205">
                  <c:v>3206.4913499999998</c:v>
                </c:pt>
                <c:pt idx="206">
                  <c:v>3208.7869999999998</c:v>
                </c:pt>
                <c:pt idx="207">
                  <c:v>3213.6220499999999</c:v>
                </c:pt>
                <c:pt idx="208">
                  <c:v>3227.1210999999998</c:v>
                </c:pt>
                <c:pt idx="209">
                  <c:v>3238.4357</c:v>
                </c:pt>
                <c:pt idx="210">
                  <c:v>3260.1990000000001</c:v>
                </c:pt>
                <c:pt idx="211">
                  <c:v>3268.84665</c:v>
                </c:pt>
                <c:pt idx="212">
                  <c:v>3277.1610000000001</c:v>
                </c:pt>
                <c:pt idx="213">
                  <c:v>3279.8685500000001</c:v>
                </c:pt>
                <c:pt idx="214">
                  <c:v>3292.5298499999999</c:v>
                </c:pt>
                <c:pt idx="215">
                  <c:v>3309.7926000000002</c:v>
                </c:pt>
                <c:pt idx="216">
                  <c:v>3353.2840000000001</c:v>
                </c:pt>
                <c:pt idx="217">
                  <c:v>3353.4703</c:v>
                </c:pt>
                <c:pt idx="218">
                  <c:v>3366.6696999999999</c:v>
                </c:pt>
                <c:pt idx="219">
                  <c:v>3378.91</c:v>
                </c:pt>
                <c:pt idx="220">
                  <c:v>3385.3991500000002</c:v>
                </c:pt>
                <c:pt idx="221">
                  <c:v>3392.3652000000002</c:v>
                </c:pt>
                <c:pt idx="222">
                  <c:v>3392.9767999999999</c:v>
                </c:pt>
                <c:pt idx="223">
                  <c:v>3393.35635</c:v>
                </c:pt>
                <c:pt idx="224">
                  <c:v>3410.3240000000001</c:v>
                </c:pt>
                <c:pt idx="225">
                  <c:v>3443.0639999999999</c:v>
                </c:pt>
                <c:pt idx="226">
                  <c:v>3471.4096</c:v>
                </c:pt>
                <c:pt idx="227">
                  <c:v>3481.8679999999999</c:v>
                </c:pt>
                <c:pt idx="228">
                  <c:v>3484.3310000000001</c:v>
                </c:pt>
                <c:pt idx="229">
                  <c:v>3490.5491000000002</c:v>
                </c:pt>
                <c:pt idx="230">
                  <c:v>3500.6122999999998</c:v>
                </c:pt>
                <c:pt idx="231">
                  <c:v>3537.703</c:v>
                </c:pt>
                <c:pt idx="232">
                  <c:v>3554.203</c:v>
                </c:pt>
                <c:pt idx="233">
                  <c:v>3556.9223000000002</c:v>
                </c:pt>
                <c:pt idx="234">
                  <c:v>3558.6202499999999</c:v>
                </c:pt>
                <c:pt idx="235">
                  <c:v>3561.8888999999999</c:v>
                </c:pt>
                <c:pt idx="236">
                  <c:v>3577.9989999999998</c:v>
                </c:pt>
                <c:pt idx="237">
                  <c:v>3579.8287</c:v>
                </c:pt>
                <c:pt idx="238">
                  <c:v>3591.48</c:v>
                </c:pt>
                <c:pt idx="239">
                  <c:v>3594.17085</c:v>
                </c:pt>
                <c:pt idx="240">
                  <c:v>3597.596</c:v>
                </c:pt>
                <c:pt idx="241">
                  <c:v>3645.0893999999998</c:v>
                </c:pt>
                <c:pt idx="242">
                  <c:v>3659.346</c:v>
                </c:pt>
                <c:pt idx="243">
                  <c:v>3693.4279999999999</c:v>
                </c:pt>
                <c:pt idx="244">
                  <c:v>3704.3544999999999</c:v>
                </c:pt>
                <c:pt idx="245">
                  <c:v>3732.6251000000002</c:v>
                </c:pt>
                <c:pt idx="246">
                  <c:v>3736.4647</c:v>
                </c:pt>
                <c:pt idx="247">
                  <c:v>3756.6215999999999</c:v>
                </c:pt>
                <c:pt idx="248">
                  <c:v>3757.8447999999999</c:v>
                </c:pt>
                <c:pt idx="249">
                  <c:v>3761.2919999999999</c:v>
                </c:pt>
                <c:pt idx="250">
                  <c:v>3766.8838000000001</c:v>
                </c:pt>
                <c:pt idx="251">
                  <c:v>3847.674</c:v>
                </c:pt>
                <c:pt idx="252">
                  <c:v>3857.7592500000001</c:v>
                </c:pt>
                <c:pt idx="253">
                  <c:v>3861.2096499999998</c:v>
                </c:pt>
                <c:pt idx="254">
                  <c:v>3866.8552</c:v>
                </c:pt>
                <c:pt idx="255">
                  <c:v>3875.7341000000001</c:v>
                </c:pt>
                <c:pt idx="256">
                  <c:v>3877.3042500000001</c:v>
                </c:pt>
                <c:pt idx="257">
                  <c:v>3906.127</c:v>
                </c:pt>
                <c:pt idx="258">
                  <c:v>3925.7582000000002</c:v>
                </c:pt>
                <c:pt idx="259">
                  <c:v>3935.1799000000001</c:v>
                </c:pt>
                <c:pt idx="260">
                  <c:v>3943.5954000000002</c:v>
                </c:pt>
                <c:pt idx="261">
                  <c:v>3947.4131000000002</c:v>
                </c:pt>
                <c:pt idx="262">
                  <c:v>3956.0714499999999</c:v>
                </c:pt>
                <c:pt idx="263">
                  <c:v>3972.9247</c:v>
                </c:pt>
                <c:pt idx="264">
                  <c:v>3981.9767999999999</c:v>
                </c:pt>
                <c:pt idx="265">
                  <c:v>3987.9259999999999</c:v>
                </c:pt>
                <c:pt idx="266">
                  <c:v>3989.8409999999999</c:v>
                </c:pt>
                <c:pt idx="267">
                  <c:v>3994.1777999999999</c:v>
                </c:pt>
                <c:pt idx="268">
                  <c:v>4005.4225000000001</c:v>
                </c:pt>
                <c:pt idx="269">
                  <c:v>4032.2406999999998</c:v>
                </c:pt>
                <c:pt idx="270">
                  <c:v>4040.55825</c:v>
                </c:pt>
                <c:pt idx="271">
                  <c:v>4058.1161000000002</c:v>
                </c:pt>
                <c:pt idx="272">
                  <c:v>4058.71245</c:v>
                </c:pt>
                <c:pt idx="273">
                  <c:v>4074.4537</c:v>
                </c:pt>
                <c:pt idx="274">
                  <c:v>4076.4969999999998</c:v>
                </c:pt>
                <c:pt idx="275">
                  <c:v>4133.6416499999996</c:v>
                </c:pt>
                <c:pt idx="276">
                  <c:v>4134.0824499999999</c:v>
                </c:pt>
                <c:pt idx="277">
                  <c:v>4137.5227000000004</c:v>
                </c:pt>
                <c:pt idx="278">
                  <c:v>4149.7359999999999</c:v>
                </c:pt>
                <c:pt idx="279">
                  <c:v>4151.0286999999998</c:v>
                </c:pt>
                <c:pt idx="280">
                  <c:v>4185.0978999999998</c:v>
                </c:pt>
                <c:pt idx="281">
                  <c:v>4189.1130999999996</c:v>
                </c:pt>
                <c:pt idx="282">
                  <c:v>4234.9269999999997</c:v>
                </c:pt>
                <c:pt idx="283">
                  <c:v>4237.12655</c:v>
                </c:pt>
                <c:pt idx="284">
                  <c:v>4239.8926499999998</c:v>
                </c:pt>
                <c:pt idx="285">
                  <c:v>4243.5900499999998</c:v>
                </c:pt>
                <c:pt idx="286">
                  <c:v>4260.7439999999997</c:v>
                </c:pt>
                <c:pt idx="287">
                  <c:v>4266.1657999999998</c:v>
                </c:pt>
                <c:pt idx="288">
                  <c:v>4296.2712000000001</c:v>
                </c:pt>
                <c:pt idx="289">
                  <c:v>4320.4108500000002</c:v>
                </c:pt>
                <c:pt idx="290">
                  <c:v>4337.7352000000001</c:v>
                </c:pt>
                <c:pt idx="291">
                  <c:v>4340.4408999999996</c:v>
                </c:pt>
                <c:pt idx="292">
                  <c:v>4347.0233500000004</c:v>
                </c:pt>
                <c:pt idx="293">
                  <c:v>4349.4620000000004</c:v>
                </c:pt>
                <c:pt idx="294">
                  <c:v>4350.5144</c:v>
                </c:pt>
                <c:pt idx="295">
                  <c:v>4357.0436499999996</c:v>
                </c:pt>
                <c:pt idx="296">
                  <c:v>4391.652</c:v>
                </c:pt>
                <c:pt idx="297">
                  <c:v>4399.7309999999998</c:v>
                </c:pt>
                <c:pt idx="298">
                  <c:v>4402.2330000000002</c:v>
                </c:pt>
                <c:pt idx="299">
                  <c:v>4415.1588000000002</c:v>
                </c:pt>
                <c:pt idx="300">
                  <c:v>4428.8878500000001</c:v>
                </c:pt>
                <c:pt idx="301">
                  <c:v>4433.3877000000002</c:v>
                </c:pt>
                <c:pt idx="302">
                  <c:v>4433.9159</c:v>
                </c:pt>
                <c:pt idx="303">
                  <c:v>4435.0941999999995</c:v>
                </c:pt>
                <c:pt idx="304">
                  <c:v>4438.2633999999998</c:v>
                </c:pt>
                <c:pt idx="305">
                  <c:v>4441.2131499999996</c:v>
                </c:pt>
                <c:pt idx="306">
                  <c:v>4449.4620000000004</c:v>
                </c:pt>
                <c:pt idx="307">
                  <c:v>4454.40265</c:v>
                </c:pt>
                <c:pt idx="308">
                  <c:v>4462.7218000000003</c:v>
                </c:pt>
                <c:pt idx="309">
                  <c:v>4463.2051000000001</c:v>
                </c:pt>
                <c:pt idx="310">
                  <c:v>4466.6214</c:v>
                </c:pt>
                <c:pt idx="311">
                  <c:v>4500.33925</c:v>
                </c:pt>
                <c:pt idx="312">
                  <c:v>4504.6624000000002</c:v>
                </c:pt>
                <c:pt idx="313">
                  <c:v>4518.8262500000001</c:v>
                </c:pt>
                <c:pt idx="314">
                  <c:v>4527.1829500000003</c:v>
                </c:pt>
                <c:pt idx="315">
                  <c:v>4529.4769999999999</c:v>
                </c:pt>
                <c:pt idx="316">
                  <c:v>4536.259</c:v>
                </c:pt>
                <c:pt idx="317">
                  <c:v>4544.2348000000002</c:v>
                </c:pt>
                <c:pt idx="318">
                  <c:v>4561.1885000000002</c:v>
                </c:pt>
                <c:pt idx="319">
                  <c:v>4562.8420999999998</c:v>
                </c:pt>
                <c:pt idx="320">
                  <c:v>4564.1914500000003</c:v>
                </c:pt>
                <c:pt idx="321">
                  <c:v>4571.4130500000001</c:v>
                </c:pt>
                <c:pt idx="322">
                  <c:v>4618.0798999999997</c:v>
                </c:pt>
                <c:pt idx="323">
                  <c:v>4646.759</c:v>
                </c:pt>
                <c:pt idx="324">
                  <c:v>4661.2863500000003</c:v>
                </c:pt>
                <c:pt idx="325">
                  <c:v>4667.6076499999999</c:v>
                </c:pt>
                <c:pt idx="326">
                  <c:v>4670.6400000000003</c:v>
                </c:pt>
                <c:pt idx="327">
                  <c:v>4673.3922000000002</c:v>
                </c:pt>
                <c:pt idx="328">
                  <c:v>4686.3887000000004</c:v>
                </c:pt>
                <c:pt idx="329">
                  <c:v>4687.7969999999996</c:v>
                </c:pt>
                <c:pt idx="330">
                  <c:v>4718.2035500000002</c:v>
                </c:pt>
                <c:pt idx="331">
                  <c:v>4719.52405</c:v>
                </c:pt>
                <c:pt idx="332">
                  <c:v>4719.7365499999996</c:v>
                </c:pt>
                <c:pt idx="333">
                  <c:v>4738.2682000000004</c:v>
                </c:pt>
                <c:pt idx="334">
                  <c:v>4746.3440000000001</c:v>
                </c:pt>
                <c:pt idx="335">
                  <c:v>4747.0528999999997</c:v>
                </c:pt>
                <c:pt idx="336">
                  <c:v>4751.07</c:v>
                </c:pt>
                <c:pt idx="337">
                  <c:v>4753.6368000000002</c:v>
                </c:pt>
                <c:pt idx="338">
                  <c:v>4762.3289999999997</c:v>
                </c:pt>
                <c:pt idx="339">
                  <c:v>4766.0219999999999</c:v>
                </c:pt>
                <c:pt idx="340">
                  <c:v>4779.6022999999996</c:v>
                </c:pt>
                <c:pt idx="341">
                  <c:v>4795.6567999999997</c:v>
                </c:pt>
                <c:pt idx="342">
                  <c:v>4827.9049500000001</c:v>
                </c:pt>
                <c:pt idx="343">
                  <c:v>4830.63</c:v>
                </c:pt>
                <c:pt idx="344">
                  <c:v>4837.5823</c:v>
                </c:pt>
                <c:pt idx="345">
                  <c:v>4846.9201499999999</c:v>
                </c:pt>
                <c:pt idx="346">
                  <c:v>4877.9810500000003</c:v>
                </c:pt>
                <c:pt idx="347">
                  <c:v>4883.866</c:v>
                </c:pt>
                <c:pt idx="348">
                  <c:v>4889.0367999999999</c:v>
                </c:pt>
                <c:pt idx="349">
                  <c:v>4889.9994999999999</c:v>
                </c:pt>
                <c:pt idx="350">
                  <c:v>4894.7533000000003</c:v>
                </c:pt>
                <c:pt idx="351">
                  <c:v>4906.4096499999996</c:v>
                </c:pt>
                <c:pt idx="352">
                  <c:v>4915.0598499999996</c:v>
                </c:pt>
                <c:pt idx="353">
                  <c:v>4922.9159</c:v>
                </c:pt>
                <c:pt idx="354">
                  <c:v>4931.6469999999999</c:v>
                </c:pt>
                <c:pt idx="355">
                  <c:v>4934.7049999999999</c:v>
                </c:pt>
                <c:pt idx="356">
                  <c:v>4949.7587000000003</c:v>
                </c:pt>
                <c:pt idx="357">
                  <c:v>4992.3764000000001</c:v>
                </c:pt>
                <c:pt idx="358">
                  <c:v>5002.7826999999997</c:v>
                </c:pt>
                <c:pt idx="359">
                  <c:v>5003.8530000000001</c:v>
                </c:pt>
                <c:pt idx="360">
                  <c:v>5012.4709999999995</c:v>
                </c:pt>
                <c:pt idx="361">
                  <c:v>5028.1466</c:v>
                </c:pt>
                <c:pt idx="362">
                  <c:v>5031.26955</c:v>
                </c:pt>
                <c:pt idx="363">
                  <c:v>5080.0959999999995</c:v>
                </c:pt>
                <c:pt idx="364">
                  <c:v>5116.5003999999999</c:v>
                </c:pt>
                <c:pt idx="365">
                  <c:v>5124.1886999999997</c:v>
                </c:pt>
                <c:pt idx="366">
                  <c:v>5125.2156999999997</c:v>
                </c:pt>
                <c:pt idx="367">
                  <c:v>5138.2566999999999</c:v>
                </c:pt>
                <c:pt idx="368">
                  <c:v>5148.5526</c:v>
                </c:pt>
                <c:pt idx="369">
                  <c:v>5152.134</c:v>
                </c:pt>
                <c:pt idx="370">
                  <c:v>5209.5788499999999</c:v>
                </c:pt>
                <c:pt idx="371">
                  <c:v>5227.9887500000004</c:v>
                </c:pt>
                <c:pt idx="372">
                  <c:v>5240.7650000000003</c:v>
                </c:pt>
                <c:pt idx="373">
                  <c:v>5245.2268999999997</c:v>
                </c:pt>
                <c:pt idx="374">
                  <c:v>5246.0469999999996</c:v>
                </c:pt>
                <c:pt idx="375">
                  <c:v>5253.5240000000003</c:v>
                </c:pt>
                <c:pt idx="376">
                  <c:v>5257.5079500000002</c:v>
                </c:pt>
                <c:pt idx="377">
                  <c:v>5261.4694499999996</c:v>
                </c:pt>
                <c:pt idx="378">
                  <c:v>5266.3656000000001</c:v>
                </c:pt>
                <c:pt idx="379">
                  <c:v>5267.8181500000001</c:v>
                </c:pt>
                <c:pt idx="380">
                  <c:v>5272.1758</c:v>
                </c:pt>
                <c:pt idx="381">
                  <c:v>5312.1698500000002</c:v>
                </c:pt>
                <c:pt idx="382">
                  <c:v>5325.6509999999998</c:v>
                </c:pt>
                <c:pt idx="383">
                  <c:v>5327.4002499999997</c:v>
                </c:pt>
                <c:pt idx="384">
                  <c:v>5354.0746499999996</c:v>
                </c:pt>
                <c:pt idx="385">
                  <c:v>5373.3642499999996</c:v>
                </c:pt>
                <c:pt idx="386">
                  <c:v>5375.0379999999996</c:v>
                </c:pt>
                <c:pt idx="387">
                  <c:v>5377.4578000000001</c:v>
                </c:pt>
                <c:pt idx="388">
                  <c:v>5383.5360000000001</c:v>
                </c:pt>
                <c:pt idx="389">
                  <c:v>5385.3379000000004</c:v>
                </c:pt>
                <c:pt idx="390">
                  <c:v>5397.6166999999996</c:v>
                </c:pt>
                <c:pt idx="391">
                  <c:v>5400.9804999999997</c:v>
                </c:pt>
                <c:pt idx="392">
                  <c:v>5415.6611999999996</c:v>
                </c:pt>
                <c:pt idx="393">
                  <c:v>5425.0233500000004</c:v>
                </c:pt>
                <c:pt idx="394">
                  <c:v>5428.7277000000004</c:v>
                </c:pt>
                <c:pt idx="395">
                  <c:v>5438.7491</c:v>
                </c:pt>
                <c:pt idx="396">
                  <c:v>5458.0464499999998</c:v>
                </c:pt>
                <c:pt idx="397">
                  <c:v>5469.0065999999997</c:v>
                </c:pt>
                <c:pt idx="398">
                  <c:v>5472.4489999999996</c:v>
                </c:pt>
                <c:pt idx="399">
                  <c:v>5478.0367999999999</c:v>
                </c:pt>
                <c:pt idx="400">
                  <c:v>5484.4673000000003</c:v>
                </c:pt>
                <c:pt idx="401">
                  <c:v>5488.2619999999997</c:v>
                </c:pt>
                <c:pt idx="402">
                  <c:v>5584.3056999999999</c:v>
                </c:pt>
                <c:pt idx="403">
                  <c:v>5594.8455000000004</c:v>
                </c:pt>
                <c:pt idx="404">
                  <c:v>5615.3689999999997</c:v>
                </c:pt>
                <c:pt idx="405">
                  <c:v>5630.4578499999998</c:v>
                </c:pt>
                <c:pt idx="406">
                  <c:v>5649.7150000000001</c:v>
                </c:pt>
                <c:pt idx="407">
                  <c:v>5662.2250000000004</c:v>
                </c:pt>
                <c:pt idx="408">
                  <c:v>5693.4305000000004</c:v>
                </c:pt>
                <c:pt idx="409">
                  <c:v>5699.8374999999996</c:v>
                </c:pt>
                <c:pt idx="410">
                  <c:v>5708.8670000000002</c:v>
                </c:pt>
                <c:pt idx="411">
                  <c:v>5709.1643999999997</c:v>
                </c:pt>
                <c:pt idx="412">
                  <c:v>5729.0052999999998</c:v>
                </c:pt>
                <c:pt idx="413">
                  <c:v>5757.41345</c:v>
                </c:pt>
                <c:pt idx="414">
                  <c:v>5836.5204000000003</c:v>
                </c:pt>
                <c:pt idx="415">
                  <c:v>5846.9175999999998</c:v>
                </c:pt>
                <c:pt idx="416">
                  <c:v>5855.9025000000001</c:v>
                </c:pt>
                <c:pt idx="417">
                  <c:v>5910.9440000000004</c:v>
                </c:pt>
                <c:pt idx="418">
                  <c:v>5920.1040999999996</c:v>
                </c:pt>
                <c:pt idx="419">
                  <c:v>5926.8459999999995</c:v>
                </c:pt>
                <c:pt idx="420">
                  <c:v>5934.3797999999997</c:v>
                </c:pt>
                <c:pt idx="421">
                  <c:v>5966.8873999999996</c:v>
                </c:pt>
                <c:pt idx="422">
                  <c:v>5969.723</c:v>
                </c:pt>
                <c:pt idx="423">
                  <c:v>5972.3779999999997</c:v>
                </c:pt>
                <c:pt idx="424">
                  <c:v>5974.3846999999996</c:v>
                </c:pt>
                <c:pt idx="425">
                  <c:v>5976.8311000000003</c:v>
                </c:pt>
                <c:pt idx="426">
                  <c:v>5979.7309999999998</c:v>
                </c:pt>
                <c:pt idx="427">
                  <c:v>5989.5236500000001</c:v>
                </c:pt>
                <c:pt idx="428">
                  <c:v>6059.1729999999998</c:v>
                </c:pt>
                <c:pt idx="429">
                  <c:v>6067.1267500000004</c:v>
                </c:pt>
                <c:pt idx="430">
                  <c:v>6079.6715000000004</c:v>
                </c:pt>
                <c:pt idx="431">
                  <c:v>6082.4049999999997</c:v>
                </c:pt>
                <c:pt idx="432">
                  <c:v>6112.3529500000004</c:v>
                </c:pt>
                <c:pt idx="433">
                  <c:v>6113.2310500000003</c:v>
                </c:pt>
                <c:pt idx="434">
                  <c:v>6117.4944999999998</c:v>
                </c:pt>
                <c:pt idx="435">
                  <c:v>6123.5688</c:v>
                </c:pt>
                <c:pt idx="436">
                  <c:v>6128.79745</c:v>
                </c:pt>
                <c:pt idx="437">
                  <c:v>6184.2993999999999</c:v>
                </c:pt>
                <c:pt idx="438">
                  <c:v>6185.3208000000004</c:v>
                </c:pt>
                <c:pt idx="439">
                  <c:v>6186.1270000000004</c:v>
                </c:pt>
                <c:pt idx="440">
                  <c:v>6196.4480000000003</c:v>
                </c:pt>
                <c:pt idx="441">
                  <c:v>6198.7518</c:v>
                </c:pt>
                <c:pt idx="442">
                  <c:v>6203.90175</c:v>
                </c:pt>
                <c:pt idx="443">
                  <c:v>6238.2979999999998</c:v>
                </c:pt>
                <c:pt idx="444">
                  <c:v>6250.4350000000004</c:v>
                </c:pt>
                <c:pt idx="445">
                  <c:v>6272.4772000000003</c:v>
                </c:pt>
                <c:pt idx="446">
                  <c:v>6282.2349999999997</c:v>
                </c:pt>
                <c:pt idx="447">
                  <c:v>6289.7548999999999</c:v>
                </c:pt>
                <c:pt idx="448">
                  <c:v>6311.9520000000002</c:v>
                </c:pt>
                <c:pt idx="449">
                  <c:v>6313.759</c:v>
                </c:pt>
                <c:pt idx="450">
                  <c:v>6334.3435499999996</c:v>
                </c:pt>
                <c:pt idx="451">
                  <c:v>6338.0756000000001</c:v>
                </c:pt>
                <c:pt idx="452">
                  <c:v>6356.2707</c:v>
                </c:pt>
                <c:pt idx="453">
                  <c:v>6358.7764500000003</c:v>
                </c:pt>
                <c:pt idx="454">
                  <c:v>6360.9935999999998</c:v>
                </c:pt>
                <c:pt idx="455">
                  <c:v>6373.55735</c:v>
                </c:pt>
                <c:pt idx="456">
                  <c:v>6389.3778499999999</c:v>
                </c:pt>
                <c:pt idx="457">
                  <c:v>6393.6034499999996</c:v>
                </c:pt>
                <c:pt idx="458">
                  <c:v>6402.2913500000004</c:v>
                </c:pt>
                <c:pt idx="459">
                  <c:v>6406.4107000000004</c:v>
                </c:pt>
                <c:pt idx="460">
                  <c:v>6414.1779999999999</c:v>
                </c:pt>
                <c:pt idx="461">
                  <c:v>6435.6237000000001</c:v>
                </c:pt>
                <c:pt idx="462">
                  <c:v>6455.86265</c:v>
                </c:pt>
                <c:pt idx="463">
                  <c:v>6457.8433999999997</c:v>
                </c:pt>
                <c:pt idx="464">
                  <c:v>6474.0129999999999</c:v>
                </c:pt>
                <c:pt idx="465">
                  <c:v>6496.8860000000004</c:v>
                </c:pt>
                <c:pt idx="466">
                  <c:v>6500.2358999999997</c:v>
                </c:pt>
                <c:pt idx="467">
                  <c:v>6548.1950500000003</c:v>
                </c:pt>
                <c:pt idx="468">
                  <c:v>6551.7501000000002</c:v>
                </c:pt>
                <c:pt idx="469">
                  <c:v>6555.07035</c:v>
                </c:pt>
                <c:pt idx="470">
                  <c:v>6571.0243499999997</c:v>
                </c:pt>
                <c:pt idx="471">
                  <c:v>6571.5439999999999</c:v>
                </c:pt>
                <c:pt idx="472">
                  <c:v>6593.5083000000004</c:v>
                </c:pt>
                <c:pt idx="473">
                  <c:v>6600.2059499999996</c:v>
                </c:pt>
                <c:pt idx="474">
                  <c:v>6600.3609999999999</c:v>
                </c:pt>
                <c:pt idx="475">
                  <c:v>6610.1097</c:v>
                </c:pt>
                <c:pt idx="476">
                  <c:v>6640.5448500000002</c:v>
                </c:pt>
                <c:pt idx="477">
                  <c:v>6652.5288</c:v>
                </c:pt>
                <c:pt idx="478">
                  <c:v>6653.7885999999999</c:v>
                </c:pt>
                <c:pt idx="479">
                  <c:v>6664.68595</c:v>
                </c:pt>
                <c:pt idx="480">
                  <c:v>6666.2430000000004</c:v>
                </c:pt>
                <c:pt idx="481">
                  <c:v>6686.4313000000002</c:v>
                </c:pt>
                <c:pt idx="482">
                  <c:v>6710.1918999999998</c:v>
                </c:pt>
                <c:pt idx="483">
                  <c:v>6746.7425000000003</c:v>
                </c:pt>
                <c:pt idx="484">
                  <c:v>6748.5911999999998</c:v>
                </c:pt>
                <c:pt idx="485">
                  <c:v>6753.0379999999996</c:v>
                </c:pt>
                <c:pt idx="486">
                  <c:v>6770.1925000000001</c:v>
                </c:pt>
                <c:pt idx="487">
                  <c:v>6775.9610000000002</c:v>
                </c:pt>
                <c:pt idx="488">
                  <c:v>6781.3541999999998</c:v>
                </c:pt>
                <c:pt idx="489">
                  <c:v>6796.8632500000003</c:v>
                </c:pt>
                <c:pt idx="490">
                  <c:v>6799.4579999999996</c:v>
                </c:pt>
                <c:pt idx="491">
                  <c:v>6837.3687</c:v>
                </c:pt>
                <c:pt idx="492">
                  <c:v>6849.0259999999998</c:v>
                </c:pt>
                <c:pt idx="493">
                  <c:v>6858.4795999999997</c:v>
                </c:pt>
                <c:pt idx="494">
                  <c:v>6875.9610000000002</c:v>
                </c:pt>
                <c:pt idx="495">
                  <c:v>6877.9800999999998</c:v>
                </c:pt>
                <c:pt idx="496">
                  <c:v>6933.2422500000002</c:v>
                </c:pt>
                <c:pt idx="497">
                  <c:v>6940.90985</c:v>
                </c:pt>
                <c:pt idx="498">
                  <c:v>6948.7007999999996</c:v>
                </c:pt>
                <c:pt idx="499">
                  <c:v>6985.50695</c:v>
                </c:pt>
                <c:pt idx="500">
                  <c:v>6986.6970000000001</c:v>
                </c:pt>
                <c:pt idx="501">
                  <c:v>7045.4989999999998</c:v>
                </c:pt>
                <c:pt idx="502">
                  <c:v>7046.7222000000002</c:v>
                </c:pt>
                <c:pt idx="503">
                  <c:v>7050.0213000000003</c:v>
                </c:pt>
                <c:pt idx="504">
                  <c:v>7050.6419999999998</c:v>
                </c:pt>
                <c:pt idx="505">
                  <c:v>7077.1894000000002</c:v>
                </c:pt>
                <c:pt idx="506">
                  <c:v>7133.9025000000001</c:v>
                </c:pt>
                <c:pt idx="507">
                  <c:v>7144.86265</c:v>
                </c:pt>
                <c:pt idx="508">
                  <c:v>7147.1049999999996</c:v>
                </c:pt>
                <c:pt idx="509">
                  <c:v>7147.4727999999996</c:v>
                </c:pt>
                <c:pt idx="510">
                  <c:v>7151.0919999999996</c:v>
                </c:pt>
                <c:pt idx="511">
                  <c:v>7152.6714000000002</c:v>
                </c:pt>
                <c:pt idx="512">
                  <c:v>7153.5538999999999</c:v>
                </c:pt>
                <c:pt idx="513">
                  <c:v>7160.0940000000001</c:v>
                </c:pt>
                <c:pt idx="514">
                  <c:v>7160.3302999999996</c:v>
                </c:pt>
                <c:pt idx="515">
                  <c:v>7162.0122000000001</c:v>
                </c:pt>
                <c:pt idx="516">
                  <c:v>7173.35995</c:v>
                </c:pt>
                <c:pt idx="517">
                  <c:v>7196.8670000000002</c:v>
                </c:pt>
                <c:pt idx="518">
                  <c:v>7201.7008500000002</c:v>
                </c:pt>
                <c:pt idx="519">
                  <c:v>7209.4917999999998</c:v>
                </c:pt>
                <c:pt idx="520">
                  <c:v>7222.7862500000001</c:v>
                </c:pt>
                <c:pt idx="521">
                  <c:v>7228.2156500000001</c:v>
                </c:pt>
                <c:pt idx="522">
                  <c:v>7243.8136000000004</c:v>
                </c:pt>
                <c:pt idx="523">
                  <c:v>7256.7231000000002</c:v>
                </c:pt>
                <c:pt idx="524">
                  <c:v>7261.741</c:v>
                </c:pt>
                <c:pt idx="525">
                  <c:v>7265.7025000000003</c:v>
                </c:pt>
                <c:pt idx="526">
                  <c:v>7281.5056000000004</c:v>
                </c:pt>
                <c:pt idx="527">
                  <c:v>7323.7348190000002</c:v>
                </c:pt>
                <c:pt idx="528">
                  <c:v>7325.0482000000002</c:v>
                </c:pt>
                <c:pt idx="529">
                  <c:v>7337.7479999999996</c:v>
                </c:pt>
                <c:pt idx="530">
                  <c:v>7345.0839999999998</c:v>
                </c:pt>
                <c:pt idx="531">
                  <c:v>7345.7266</c:v>
                </c:pt>
                <c:pt idx="532">
                  <c:v>7348.1419999999998</c:v>
                </c:pt>
                <c:pt idx="533">
                  <c:v>7358.1756500000001</c:v>
                </c:pt>
                <c:pt idx="534">
                  <c:v>7371.7719999999999</c:v>
                </c:pt>
                <c:pt idx="535">
                  <c:v>7418.5219999999999</c:v>
                </c:pt>
                <c:pt idx="536">
                  <c:v>7419.4778999999999</c:v>
                </c:pt>
                <c:pt idx="537">
                  <c:v>7421.1945500000002</c:v>
                </c:pt>
                <c:pt idx="538">
                  <c:v>7441.0529999999999</c:v>
                </c:pt>
                <c:pt idx="539">
                  <c:v>7441.5010000000002</c:v>
                </c:pt>
                <c:pt idx="540">
                  <c:v>7443.6430499999997</c:v>
                </c:pt>
                <c:pt idx="541">
                  <c:v>7445.9179999999997</c:v>
                </c:pt>
                <c:pt idx="542">
                  <c:v>7448.4039499999999</c:v>
                </c:pt>
                <c:pt idx="543">
                  <c:v>7512.2669999999998</c:v>
                </c:pt>
                <c:pt idx="544">
                  <c:v>7518.0253499999999</c:v>
                </c:pt>
                <c:pt idx="545">
                  <c:v>7526.7064499999997</c:v>
                </c:pt>
                <c:pt idx="546">
                  <c:v>7537.1638999999996</c:v>
                </c:pt>
                <c:pt idx="547">
                  <c:v>7623.518</c:v>
                </c:pt>
                <c:pt idx="548">
                  <c:v>7624.63</c:v>
                </c:pt>
                <c:pt idx="549">
                  <c:v>7626.9930000000004</c:v>
                </c:pt>
                <c:pt idx="550">
                  <c:v>7633.7205999999996</c:v>
                </c:pt>
                <c:pt idx="551">
                  <c:v>7639.4174499999999</c:v>
                </c:pt>
                <c:pt idx="552">
                  <c:v>7640.3091999999997</c:v>
                </c:pt>
                <c:pt idx="553">
                  <c:v>7650.7737500000003</c:v>
                </c:pt>
                <c:pt idx="554">
                  <c:v>7682.67</c:v>
                </c:pt>
                <c:pt idx="555">
                  <c:v>7726.8540000000003</c:v>
                </c:pt>
                <c:pt idx="556">
                  <c:v>7727.2532000000001</c:v>
                </c:pt>
                <c:pt idx="557">
                  <c:v>7729.6457499999997</c:v>
                </c:pt>
                <c:pt idx="558">
                  <c:v>7731.4270999999999</c:v>
                </c:pt>
                <c:pt idx="559">
                  <c:v>7731.8578500000003</c:v>
                </c:pt>
                <c:pt idx="560">
                  <c:v>7740.3370000000004</c:v>
                </c:pt>
                <c:pt idx="561">
                  <c:v>7742.1098000000002</c:v>
                </c:pt>
                <c:pt idx="562">
                  <c:v>7749.1563999999998</c:v>
                </c:pt>
                <c:pt idx="563">
                  <c:v>7789.6350000000002</c:v>
                </c:pt>
                <c:pt idx="564">
                  <c:v>7804.1605</c:v>
                </c:pt>
                <c:pt idx="565">
                  <c:v>7935.29115</c:v>
                </c:pt>
                <c:pt idx="566">
                  <c:v>7954.5169999999998</c:v>
                </c:pt>
                <c:pt idx="567">
                  <c:v>7985.8149999999996</c:v>
                </c:pt>
                <c:pt idx="568">
                  <c:v>7986.4752500000004</c:v>
                </c:pt>
                <c:pt idx="569">
                  <c:v>8017.0611500000005</c:v>
                </c:pt>
                <c:pt idx="570">
                  <c:v>8023.1354499999998</c:v>
                </c:pt>
                <c:pt idx="571">
                  <c:v>8026.6665999999996</c:v>
                </c:pt>
                <c:pt idx="572">
                  <c:v>8027.9679999999998</c:v>
                </c:pt>
                <c:pt idx="573">
                  <c:v>8059.6791000000003</c:v>
                </c:pt>
                <c:pt idx="574">
                  <c:v>8062.7640000000001</c:v>
                </c:pt>
                <c:pt idx="575">
                  <c:v>8068.1850000000004</c:v>
                </c:pt>
                <c:pt idx="576">
                  <c:v>8083.9197999999997</c:v>
                </c:pt>
                <c:pt idx="577">
                  <c:v>8116.2688500000004</c:v>
                </c:pt>
                <c:pt idx="578">
                  <c:v>8116.68</c:v>
                </c:pt>
                <c:pt idx="579">
                  <c:v>8124.4084000000003</c:v>
                </c:pt>
                <c:pt idx="580">
                  <c:v>8125.7844999999998</c:v>
                </c:pt>
                <c:pt idx="581">
                  <c:v>8162.7162500000004</c:v>
                </c:pt>
                <c:pt idx="582">
                  <c:v>8211.1002000000008</c:v>
                </c:pt>
                <c:pt idx="583">
                  <c:v>8219.2039000000004</c:v>
                </c:pt>
                <c:pt idx="584">
                  <c:v>8232.6388000000006</c:v>
                </c:pt>
                <c:pt idx="585">
                  <c:v>8233.0974999999999</c:v>
                </c:pt>
                <c:pt idx="586">
                  <c:v>8240.5895999999993</c:v>
                </c:pt>
                <c:pt idx="587">
                  <c:v>8252.2842999999993</c:v>
                </c:pt>
                <c:pt idx="588">
                  <c:v>8269.0439999999999</c:v>
                </c:pt>
                <c:pt idx="589">
                  <c:v>8277.5229999999992</c:v>
                </c:pt>
                <c:pt idx="590">
                  <c:v>8280.6226999999999</c:v>
                </c:pt>
                <c:pt idx="591">
                  <c:v>8283.6807000000008</c:v>
                </c:pt>
                <c:pt idx="592">
                  <c:v>8302.5356499999998</c:v>
                </c:pt>
                <c:pt idx="593">
                  <c:v>8310.8391499999998</c:v>
                </c:pt>
                <c:pt idx="594">
                  <c:v>8334.4575499999992</c:v>
                </c:pt>
                <c:pt idx="595">
                  <c:v>8334.5895999999993</c:v>
                </c:pt>
                <c:pt idx="596">
                  <c:v>8342.9087500000005</c:v>
                </c:pt>
                <c:pt idx="597">
                  <c:v>8347.1643000000004</c:v>
                </c:pt>
                <c:pt idx="598">
                  <c:v>8410.0468500000006</c:v>
                </c:pt>
                <c:pt idx="599">
                  <c:v>8413.4630500000003</c:v>
                </c:pt>
                <c:pt idx="600">
                  <c:v>8428.0692999999992</c:v>
                </c:pt>
                <c:pt idx="601">
                  <c:v>8442.6669999999995</c:v>
                </c:pt>
                <c:pt idx="602">
                  <c:v>8444.4740000000002</c:v>
                </c:pt>
                <c:pt idx="603">
                  <c:v>8457.8179999999993</c:v>
                </c:pt>
                <c:pt idx="604">
                  <c:v>8515.7587000000003</c:v>
                </c:pt>
                <c:pt idx="605">
                  <c:v>8516.8289999999997</c:v>
                </c:pt>
                <c:pt idx="606">
                  <c:v>8520.0259999999998</c:v>
                </c:pt>
                <c:pt idx="607">
                  <c:v>8522.0030000000006</c:v>
                </c:pt>
                <c:pt idx="608">
                  <c:v>8527.5319999999992</c:v>
                </c:pt>
                <c:pt idx="609">
                  <c:v>8534.6718000000001</c:v>
                </c:pt>
                <c:pt idx="610">
                  <c:v>8538.28845</c:v>
                </c:pt>
                <c:pt idx="611">
                  <c:v>8539.6710000000003</c:v>
                </c:pt>
                <c:pt idx="612">
                  <c:v>8547.6913000000004</c:v>
                </c:pt>
                <c:pt idx="613">
                  <c:v>8551.3469999999998</c:v>
                </c:pt>
                <c:pt idx="614">
                  <c:v>8556.9069999999992</c:v>
                </c:pt>
                <c:pt idx="615">
                  <c:v>8569.8618000000006</c:v>
                </c:pt>
                <c:pt idx="616">
                  <c:v>8582.3022999999994</c:v>
                </c:pt>
                <c:pt idx="617">
                  <c:v>8596.8277999999991</c:v>
                </c:pt>
                <c:pt idx="618">
                  <c:v>8601.3292999999994</c:v>
                </c:pt>
                <c:pt idx="619">
                  <c:v>8603.8233999999993</c:v>
                </c:pt>
                <c:pt idx="620">
                  <c:v>8604.4836500000001</c:v>
                </c:pt>
                <c:pt idx="621">
                  <c:v>8605.3615000000009</c:v>
                </c:pt>
                <c:pt idx="622">
                  <c:v>8606.2173999999995</c:v>
                </c:pt>
                <c:pt idx="623">
                  <c:v>8615.2999999999993</c:v>
                </c:pt>
                <c:pt idx="624">
                  <c:v>8627.5411000000004</c:v>
                </c:pt>
                <c:pt idx="625">
                  <c:v>8671.1912499999999</c:v>
                </c:pt>
                <c:pt idx="626">
                  <c:v>8688.8588500000005</c:v>
                </c:pt>
                <c:pt idx="627">
                  <c:v>8703.4560000000001</c:v>
                </c:pt>
                <c:pt idx="628">
                  <c:v>8733.2292500000003</c:v>
                </c:pt>
                <c:pt idx="629">
                  <c:v>8765.2489999999998</c:v>
                </c:pt>
                <c:pt idx="630">
                  <c:v>8782.4689999999991</c:v>
                </c:pt>
                <c:pt idx="631">
                  <c:v>8798.5930000000008</c:v>
                </c:pt>
                <c:pt idx="632">
                  <c:v>8823.2790000000005</c:v>
                </c:pt>
                <c:pt idx="633">
                  <c:v>8823.9857499999998</c:v>
                </c:pt>
                <c:pt idx="634">
                  <c:v>8825.0859999999993</c:v>
                </c:pt>
                <c:pt idx="635">
                  <c:v>8827.2098999999998</c:v>
                </c:pt>
                <c:pt idx="636">
                  <c:v>8835.2649500000007</c:v>
                </c:pt>
                <c:pt idx="637">
                  <c:v>8871.1517000000003</c:v>
                </c:pt>
                <c:pt idx="638">
                  <c:v>8891.1394999999993</c:v>
                </c:pt>
                <c:pt idx="639">
                  <c:v>8930.9345499999999</c:v>
                </c:pt>
                <c:pt idx="640">
                  <c:v>8932.0840000000007</c:v>
                </c:pt>
                <c:pt idx="641">
                  <c:v>8944.1151000000009</c:v>
                </c:pt>
                <c:pt idx="642">
                  <c:v>8964.0605500000001</c:v>
                </c:pt>
                <c:pt idx="643">
                  <c:v>8965.7957499999993</c:v>
                </c:pt>
                <c:pt idx="644">
                  <c:v>8968.33</c:v>
                </c:pt>
                <c:pt idx="645">
                  <c:v>8978.1851000000006</c:v>
                </c:pt>
                <c:pt idx="646">
                  <c:v>8988.1587500000005</c:v>
                </c:pt>
                <c:pt idx="647">
                  <c:v>9048.0272999999997</c:v>
                </c:pt>
                <c:pt idx="648">
                  <c:v>9058.7302999999993</c:v>
                </c:pt>
                <c:pt idx="649">
                  <c:v>9095.0682500000003</c:v>
                </c:pt>
                <c:pt idx="650">
                  <c:v>9101.7980000000007</c:v>
                </c:pt>
                <c:pt idx="651">
                  <c:v>9140.9509999999991</c:v>
                </c:pt>
                <c:pt idx="652">
                  <c:v>9144.5650000000005</c:v>
                </c:pt>
                <c:pt idx="653">
                  <c:v>9174.1356500000002</c:v>
                </c:pt>
                <c:pt idx="654">
                  <c:v>9182.17</c:v>
                </c:pt>
                <c:pt idx="655">
                  <c:v>9193.8384999999998</c:v>
                </c:pt>
                <c:pt idx="656">
                  <c:v>9222.4025999999994</c:v>
                </c:pt>
                <c:pt idx="657">
                  <c:v>9225.2564000000002</c:v>
                </c:pt>
                <c:pt idx="658">
                  <c:v>9249.4951999999994</c:v>
                </c:pt>
                <c:pt idx="659">
                  <c:v>9264.7970000000005</c:v>
                </c:pt>
                <c:pt idx="660">
                  <c:v>9282.4806000000008</c:v>
                </c:pt>
                <c:pt idx="661">
                  <c:v>9283.5619999999999</c:v>
                </c:pt>
                <c:pt idx="662">
                  <c:v>9288.0267000000003</c:v>
                </c:pt>
                <c:pt idx="663">
                  <c:v>9290.1394999999993</c:v>
                </c:pt>
                <c:pt idx="664">
                  <c:v>9301.8935500000007</c:v>
                </c:pt>
                <c:pt idx="665">
                  <c:v>9304.7019</c:v>
                </c:pt>
                <c:pt idx="666">
                  <c:v>9361.3268000000007</c:v>
                </c:pt>
                <c:pt idx="667">
                  <c:v>9377.9046999999991</c:v>
                </c:pt>
                <c:pt idx="668">
                  <c:v>9386.1612999999998</c:v>
                </c:pt>
                <c:pt idx="669">
                  <c:v>9391.3459999999995</c:v>
                </c:pt>
                <c:pt idx="670">
                  <c:v>9411.0049999999992</c:v>
                </c:pt>
                <c:pt idx="671">
                  <c:v>9414.92</c:v>
                </c:pt>
                <c:pt idx="672">
                  <c:v>9432.9253000000008</c:v>
                </c:pt>
                <c:pt idx="673">
                  <c:v>9447.2503500000003</c:v>
                </c:pt>
                <c:pt idx="674">
                  <c:v>9447.3824000000004</c:v>
                </c:pt>
                <c:pt idx="675">
                  <c:v>9487.6442000000006</c:v>
                </c:pt>
                <c:pt idx="676">
                  <c:v>9500.5730500000009</c:v>
                </c:pt>
                <c:pt idx="677">
                  <c:v>9504.3102999999992</c:v>
                </c:pt>
                <c:pt idx="678">
                  <c:v>9541.6955500000004</c:v>
                </c:pt>
                <c:pt idx="679">
                  <c:v>9549.5650999999998</c:v>
                </c:pt>
                <c:pt idx="680">
                  <c:v>9563.0290000000005</c:v>
                </c:pt>
                <c:pt idx="681">
                  <c:v>9566.9909000000007</c:v>
                </c:pt>
                <c:pt idx="682">
                  <c:v>9583.8932999999997</c:v>
                </c:pt>
                <c:pt idx="683">
                  <c:v>9617.6624499999998</c:v>
                </c:pt>
                <c:pt idx="684">
                  <c:v>9620.3307000000004</c:v>
                </c:pt>
                <c:pt idx="685">
                  <c:v>9625.92</c:v>
                </c:pt>
                <c:pt idx="686">
                  <c:v>9630.3970000000008</c:v>
                </c:pt>
                <c:pt idx="687">
                  <c:v>9634.5380000000005</c:v>
                </c:pt>
                <c:pt idx="688">
                  <c:v>9644.2525000000005</c:v>
                </c:pt>
                <c:pt idx="689">
                  <c:v>9704.6680500000002</c:v>
                </c:pt>
                <c:pt idx="690">
                  <c:v>9715.8410000000003</c:v>
                </c:pt>
                <c:pt idx="691">
                  <c:v>9722.7695000000003</c:v>
                </c:pt>
                <c:pt idx="692">
                  <c:v>9724.5300000000007</c:v>
                </c:pt>
                <c:pt idx="693">
                  <c:v>9748.9105999999992</c:v>
                </c:pt>
                <c:pt idx="694">
                  <c:v>9778.3472000000002</c:v>
                </c:pt>
                <c:pt idx="695">
                  <c:v>9788.8659000000007</c:v>
                </c:pt>
                <c:pt idx="696">
                  <c:v>9800.8881999999994</c:v>
                </c:pt>
                <c:pt idx="697">
                  <c:v>9850.4320000000007</c:v>
                </c:pt>
                <c:pt idx="698">
                  <c:v>9855.1314000000002</c:v>
                </c:pt>
                <c:pt idx="699">
                  <c:v>9861.0249999999996</c:v>
                </c:pt>
                <c:pt idx="700">
                  <c:v>9863.4717999999993</c:v>
                </c:pt>
                <c:pt idx="701">
                  <c:v>9866.3048500000004</c:v>
                </c:pt>
                <c:pt idx="702">
                  <c:v>9869.8101999999999</c:v>
                </c:pt>
                <c:pt idx="703">
                  <c:v>9872.7009999999991</c:v>
                </c:pt>
                <c:pt idx="704">
                  <c:v>9875.6803999999993</c:v>
                </c:pt>
                <c:pt idx="705">
                  <c:v>9877.6077000000005</c:v>
                </c:pt>
                <c:pt idx="706">
                  <c:v>9880.0679999999993</c:v>
                </c:pt>
                <c:pt idx="707">
                  <c:v>9910.3598500000007</c:v>
                </c:pt>
                <c:pt idx="708">
                  <c:v>9957.7216000000008</c:v>
                </c:pt>
                <c:pt idx="709">
                  <c:v>9964.06</c:v>
                </c:pt>
                <c:pt idx="710">
                  <c:v>9991.0376500000002</c:v>
                </c:pt>
                <c:pt idx="711">
                  <c:v>10043.249</c:v>
                </c:pt>
                <c:pt idx="712">
                  <c:v>10065.413</c:v>
                </c:pt>
                <c:pt idx="713">
                  <c:v>10072.055050000001</c:v>
                </c:pt>
                <c:pt idx="714">
                  <c:v>10085.846</c:v>
                </c:pt>
                <c:pt idx="715">
                  <c:v>10096.969999999999</c:v>
                </c:pt>
                <c:pt idx="716">
                  <c:v>10106.134249999999</c:v>
                </c:pt>
                <c:pt idx="717">
                  <c:v>10107.220600000001</c:v>
                </c:pt>
                <c:pt idx="718">
                  <c:v>10115.00885</c:v>
                </c:pt>
                <c:pt idx="719">
                  <c:v>10118.424000000001</c:v>
                </c:pt>
                <c:pt idx="720">
                  <c:v>10141.136200000001</c:v>
                </c:pt>
                <c:pt idx="721">
                  <c:v>10156.7832</c:v>
                </c:pt>
                <c:pt idx="722">
                  <c:v>10197.772199999999</c:v>
                </c:pt>
                <c:pt idx="723">
                  <c:v>10214.636</c:v>
                </c:pt>
                <c:pt idx="724">
                  <c:v>10226.2842</c:v>
                </c:pt>
                <c:pt idx="725">
                  <c:v>10231.499900000001</c:v>
                </c:pt>
                <c:pt idx="726">
                  <c:v>10264.4421</c:v>
                </c:pt>
                <c:pt idx="727">
                  <c:v>10269.459999999999</c:v>
                </c:pt>
                <c:pt idx="728">
                  <c:v>10325.206</c:v>
                </c:pt>
                <c:pt idx="729">
                  <c:v>10338.9316</c:v>
                </c:pt>
                <c:pt idx="730">
                  <c:v>10355.641</c:v>
                </c:pt>
                <c:pt idx="731">
                  <c:v>10370.912549999999</c:v>
                </c:pt>
                <c:pt idx="732">
                  <c:v>10381.4787</c:v>
                </c:pt>
                <c:pt idx="733">
                  <c:v>10407.085849999999</c:v>
                </c:pt>
                <c:pt idx="734">
                  <c:v>10422.916649999999</c:v>
                </c:pt>
                <c:pt idx="735">
                  <c:v>10435.06525</c:v>
                </c:pt>
                <c:pt idx="736">
                  <c:v>10436.096</c:v>
                </c:pt>
                <c:pt idx="737">
                  <c:v>10450.552</c:v>
                </c:pt>
                <c:pt idx="738">
                  <c:v>10461.9794</c:v>
                </c:pt>
                <c:pt idx="739">
                  <c:v>10493.9458</c:v>
                </c:pt>
                <c:pt idx="740">
                  <c:v>10560.4917</c:v>
                </c:pt>
                <c:pt idx="741">
                  <c:v>10564.8845</c:v>
                </c:pt>
                <c:pt idx="742">
                  <c:v>10577.087</c:v>
                </c:pt>
                <c:pt idx="743">
                  <c:v>10579.710999999999</c:v>
                </c:pt>
                <c:pt idx="744">
                  <c:v>10594.225700000001</c:v>
                </c:pt>
                <c:pt idx="745">
                  <c:v>10594.501550000001</c:v>
                </c:pt>
                <c:pt idx="746">
                  <c:v>10600.5483</c:v>
                </c:pt>
                <c:pt idx="747">
                  <c:v>10601.412</c:v>
                </c:pt>
                <c:pt idx="748">
                  <c:v>10601.632250000001</c:v>
                </c:pt>
                <c:pt idx="749">
                  <c:v>10602.385</c:v>
                </c:pt>
                <c:pt idx="750">
                  <c:v>10702.642400000001</c:v>
                </c:pt>
                <c:pt idx="751">
                  <c:v>10704.47</c:v>
                </c:pt>
                <c:pt idx="752">
                  <c:v>10713.644</c:v>
                </c:pt>
                <c:pt idx="753">
                  <c:v>10736.87075</c:v>
                </c:pt>
                <c:pt idx="754">
                  <c:v>10791.96</c:v>
                </c:pt>
                <c:pt idx="755">
                  <c:v>10795.937330000001</c:v>
                </c:pt>
                <c:pt idx="756">
                  <c:v>10796.35025</c:v>
                </c:pt>
                <c:pt idx="757">
                  <c:v>10797.3362</c:v>
                </c:pt>
                <c:pt idx="758">
                  <c:v>10806.839</c:v>
                </c:pt>
                <c:pt idx="759">
                  <c:v>10807.4863</c:v>
                </c:pt>
                <c:pt idx="760">
                  <c:v>10825.253699999999</c:v>
                </c:pt>
                <c:pt idx="761">
                  <c:v>10848.1343</c:v>
                </c:pt>
                <c:pt idx="762">
                  <c:v>10923.933199999999</c:v>
                </c:pt>
                <c:pt idx="763">
                  <c:v>10928.849</c:v>
                </c:pt>
                <c:pt idx="764">
                  <c:v>10942.13205</c:v>
                </c:pt>
                <c:pt idx="765">
                  <c:v>10959.33</c:v>
                </c:pt>
                <c:pt idx="766">
                  <c:v>10959.6947</c:v>
                </c:pt>
                <c:pt idx="767">
                  <c:v>10965.446</c:v>
                </c:pt>
                <c:pt idx="768">
                  <c:v>10976.24575</c:v>
                </c:pt>
                <c:pt idx="769">
                  <c:v>10977.2063</c:v>
                </c:pt>
                <c:pt idx="770">
                  <c:v>10982.5013</c:v>
                </c:pt>
                <c:pt idx="771">
                  <c:v>11013.7119</c:v>
                </c:pt>
                <c:pt idx="772">
                  <c:v>11015.1747</c:v>
                </c:pt>
                <c:pt idx="773">
                  <c:v>11033.661700000001</c:v>
                </c:pt>
                <c:pt idx="774">
                  <c:v>11070.535</c:v>
                </c:pt>
                <c:pt idx="775">
                  <c:v>11073.175999999999</c:v>
                </c:pt>
                <c:pt idx="776">
                  <c:v>11082.5772</c:v>
                </c:pt>
                <c:pt idx="777">
                  <c:v>11085.586799999999</c:v>
                </c:pt>
                <c:pt idx="778">
                  <c:v>11090.7178</c:v>
                </c:pt>
                <c:pt idx="779">
                  <c:v>11093.6229</c:v>
                </c:pt>
                <c:pt idx="780">
                  <c:v>11150.78</c:v>
                </c:pt>
                <c:pt idx="781">
                  <c:v>11163.567999999999</c:v>
                </c:pt>
                <c:pt idx="782">
                  <c:v>11165.417649999999</c:v>
                </c:pt>
                <c:pt idx="783">
                  <c:v>11187.6567</c:v>
                </c:pt>
                <c:pt idx="784">
                  <c:v>11244.376899999999</c:v>
                </c:pt>
                <c:pt idx="785">
                  <c:v>11253.421</c:v>
                </c:pt>
                <c:pt idx="786">
                  <c:v>11264.540999999999</c:v>
                </c:pt>
                <c:pt idx="787">
                  <c:v>11272.331389999999</c:v>
                </c:pt>
                <c:pt idx="788">
                  <c:v>11286.538699999999</c:v>
                </c:pt>
                <c:pt idx="789">
                  <c:v>11289.10925</c:v>
                </c:pt>
                <c:pt idx="790">
                  <c:v>11299.343000000001</c:v>
                </c:pt>
                <c:pt idx="791">
                  <c:v>11305.93455</c:v>
                </c:pt>
                <c:pt idx="792">
                  <c:v>11326.71487</c:v>
                </c:pt>
                <c:pt idx="793">
                  <c:v>11345.519</c:v>
                </c:pt>
                <c:pt idx="794">
                  <c:v>11353.2276</c:v>
                </c:pt>
                <c:pt idx="795">
                  <c:v>11356.660900000001</c:v>
                </c:pt>
                <c:pt idx="796">
                  <c:v>11362.754999999999</c:v>
                </c:pt>
                <c:pt idx="797">
                  <c:v>11363.2832</c:v>
                </c:pt>
                <c:pt idx="798">
                  <c:v>11365.951999999999</c:v>
                </c:pt>
                <c:pt idx="799">
                  <c:v>11381.3254</c:v>
                </c:pt>
                <c:pt idx="800">
                  <c:v>11394.065549999999</c:v>
                </c:pt>
                <c:pt idx="801">
                  <c:v>11396.9002</c:v>
                </c:pt>
                <c:pt idx="802">
                  <c:v>11411.684999999999</c:v>
                </c:pt>
                <c:pt idx="803">
                  <c:v>11436.738149999999</c:v>
                </c:pt>
                <c:pt idx="804">
                  <c:v>11454.021500000001</c:v>
                </c:pt>
                <c:pt idx="805">
                  <c:v>11455.28</c:v>
                </c:pt>
                <c:pt idx="806">
                  <c:v>11482.63485</c:v>
                </c:pt>
                <c:pt idx="807">
                  <c:v>11488.31695</c:v>
                </c:pt>
                <c:pt idx="808">
                  <c:v>11512.405000000001</c:v>
                </c:pt>
                <c:pt idx="809">
                  <c:v>11520.099850000001</c:v>
                </c:pt>
                <c:pt idx="810">
                  <c:v>11534.872649999999</c:v>
                </c:pt>
                <c:pt idx="811">
                  <c:v>11538.421</c:v>
                </c:pt>
                <c:pt idx="812">
                  <c:v>11552.904</c:v>
                </c:pt>
                <c:pt idx="813">
                  <c:v>11554.223599999999</c:v>
                </c:pt>
                <c:pt idx="814">
                  <c:v>11566.30055</c:v>
                </c:pt>
                <c:pt idx="815">
                  <c:v>11576.13</c:v>
                </c:pt>
                <c:pt idx="816">
                  <c:v>11657.7189</c:v>
                </c:pt>
                <c:pt idx="817">
                  <c:v>11658.11505</c:v>
                </c:pt>
                <c:pt idx="818">
                  <c:v>11658.379150000001</c:v>
                </c:pt>
                <c:pt idx="819">
                  <c:v>11674.13</c:v>
                </c:pt>
                <c:pt idx="820">
                  <c:v>11729.6795</c:v>
                </c:pt>
                <c:pt idx="821">
                  <c:v>11735.87905</c:v>
                </c:pt>
                <c:pt idx="822">
                  <c:v>11737.848840000001</c:v>
                </c:pt>
                <c:pt idx="823">
                  <c:v>11741.726000000001</c:v>
                </c:pt>
                <c:pt idx="824">
                  <c:v>11743.299000000001</c:v>
                </c:pt>
                <c:pt idx="825">
                  <c:v>11743.9341</c:v>
                </c:pt>
                <c:pt idx="826">
                  <c:v>11763.000899999999</c:v>
                </c:pt>
                <c:pt idx="827">
                  <c:v>11830.6072</c:v>
                </c:pt>
                <c:pt idx="828">
                  <c:v>11833.782300000001</c:v>
                </c:pt>
                <c:pt idx="829">
                  <c:v>11837.16</c:v>
                </c:pt>
                <c:pt idx="830">
                  <c:v>11840.77505</c:v>
                </c:pt>
                <c:pt idx="831">
                  <c:v>11842.441999999999</c:v>
                </c:pt>
                <c:pt idx="832">
                  <c:v>11842.623750000001</c:v>
                </c:pt>
                <c:pt idx="833">
                  <c:v>11848.141</c:v>
                </c:pt>
                <c:pt idx="834">
                  <c:v>11856.4115</c:v>
                </c:pt>
                <c:pt idx="835">
                  <c:v>11879.10405</c:v>
                </c:pt>
                <c:pt idx="836">
                  <c:v>11881.358</c:v>
                </c:pt>
                <c:pt idx="837">
                  <c:v>11881.9696</c:v>
                </c:pt>
                <c:pt idx="838">
                  <c:v>11884.048580000001</c:v>
                </c:pt>
                <c:pt idx="839">
                  <c:v>11931.125249999999</c:v>
                </c:pt>
                <c:pt idx="840">
                  <c:v>11938.255950000001</c:v>
                </c:pt>
                <c:pt idx="841">
                  <c:v>11944.594349999999</c:v>
                </c:pt>
                <c:pt idx="842">
                  <c:v>11945.1327</c:v>
                </c:pt>
                <c:pt idx="843">
                  <c:v>11946.625899999999</c:v>
                </c:pt>
                <c:pt idx="844">
                  <c:v>11987.1682</c:v>
                </c:pt>
                <c:pt idx="845">
                  <c:v>12029.286700000001</c:v>
                </c:pt>
                <c:pt idx="846">
                  <c:v>12032.325999999999</c:v>
                </c:pt>
                <c:pt idx="847">
                  <c:v>12044.342000000001</c:v>
                </c:pt>
                <c:pt idx="848">
                  <c:v>12094.477999999999</c:v>
                </c:pt>
                <c:pt idx="849">
                  <c:v>12096.6512</c:v>
                </c:pt>
                <c:pt idx="850">
                  <c:v>12105.32</c:v>
                </c:pt>
                <c:pt idx="851">
                  <c:v>12124.992399999999</c:v>
                </c:pt>
                <c:pt idx="852">
                  <c:v>12129.614149999999</c:v>
                </c:pt>
                <c:pt idx="853">
                  <c:v>12142.578600000001</c:v>
                </c:pt>
                <c:pt idx="854">
                  <c:v>12146.971</c:v>
                </c:pt>
                <c:pt idx="855">
                  <c:v>12222.898300000001</c:v>
                </c:pt>
                <c:pt idx="856">
                  <c:v>12224.350850000001</c:v>
                </c:pt>
                <c:pt idx="857">
                  <c:v>12231.613600000001</c:v>
                </c:pt>
                <c:pt idx="858">
                  <c:v>12233.828</c:v>
                </c:pt>
                <c:pt idx="859">
                  <c:v>12235.8392</c:v>
                </c:pt>
                <c:pt idx="860">
                  <c:v>12244.531000000001</c:v>
                </c:pt>
                <c:pt idx="861">
                  <c:v>12265.5069</c:v>
                </c:pt>
                <c:pt idx="862">
                  <c:v>12268.632250000001</c:v>
                </c:pt>
                <c:pt idx="863">
                  <c:v>12269.68865</c:v>
                </c:pt>
                <c:pt idx="864">
                  <c:v>12323.936</c:v>
                </c:pt>
                <c:pt idx="865">
                  <c:v>12333.828</c:v>
                </c:pt>
                <c:pt idx="866">
                  <c:v>12347.172</c:v>
                </c:pt>
                <c:pt idx="867">
                  <c:v>12363.547</c:v>
                </c:pt>
                <c:pt idx="868">
                  <c:v>12404.8791</c:v>
                </c:pt>
                <c:pt idx="869">
                  <c:v>12430.95335</c:v>
                </c:pt>
                <c:pt idx="870">
                  <c:v>12475.3513</c:v>
                </c:pt>
                <c:pt idx="871">
                  <c:v>12479.70895</c:v>
                </c:pt>
                <c:pt idx="872">
                  <c:v>12485.8009</c:v>
                </c:pt>
                <c:pt idx="873">
                  <c:v>12495.290849999999</c:v>
                </c:pt>
                <c:pt idx="874">
                  <c:v>12523.604799999999</c:v>
                </c:pt>
                <c:pt idx="875">
                  <c:v>12557.605299999999</c:v>
                </c:pt>
                <c:pt idx="876">
                  <c:v>12574.049000000001</c:v>
                </c:pt>
                <c:pt idx="877">
                  <c:v>12592.5345</c:v>
                </c:pt>
                <c:pt idx="878">
                  <c:v>12609.88702</c:v>
                </c:pt>
                <c:pt idx="879">
                  <c:v>12622.1795</c:v>
                </c:pt>
                <c:pt idx="880">
                  <c:v>12629.1656</c:v>
                </c:pt>
                <c:pt idx="881">
                  <c:v>12629.896699999999</c:v>
                </c:pt>
                <c:pt idx="882">
                  <c:v>12638.195</c:v>
                </c:pt>
                <c:pt idx="883">
                  <c:v>12643.3778</c:v>
                </c:pt>
                <c:pt idx="884">
                  <c:v>12644.589</c:v>
                </c:pt>
                <c:pt idx="885">
                  <c:v>12646.207</c:v>
                </c:pt>
                <c:pt idx="886">
                  <c:v>12648.7034</c:v>
                </c:pt>
                <c:pt idx="887">
                  <c:v>12730.999599999999</c:v>
                </c:pt>
                <c:pt idx="888">
                  <c:v>12741.167450000001</c:v>
                </c:pt>
                <c:pt idx="889">
                  <c:v>12797.20962</c:v>
                </c:pt>
                <c:pt idx="890">
                  <c:v>12815.444949999999</c:v>
                </c:pt>
                <c:pt idx="891">
                  <c:v>12829.455099999999</c:v>
                </c:pt>
                <c:pt idx="892">
                  <c:v>12890.057650000001</c:v>
                </c:pt>
                <c:pt idx="893">
                  <c:v>12913.992399999999</c:v>
                </c:pt>
                <c:pt idx="894">
                  <c:v>12925.886</c:v>
                </c:pt>
                <c:pt idx="895">
                  <c:v>12928.7911</c:v>
                </c:pt>
                <c:pt idx="896">
                  <c:v>12949.1554</c:v>
                </c:pt>
                <c:pt idx="897">
                  <c:v>12950.0712</c:v>
                </c:pt>
                <c:pt idx="898">
                  <c:v>12957.118</c:v>
                </c:pt>
                <c:pt idx="899">
                  <c:v>12979.358</c:v>
                </c:pt>
                <c:pt idx="900">
                  <c:v>12981.3457</c:v>
                </c:pt>
                <c:pt idx="901">
                  <c:v>12982.8747</c:v>
                </c:pt>
                <c:pt idx="902">
                  <c:v>13012.20865</c:v>
                </c:pt>
                <c:pt idx="903">
                  <c:v>13019.161050000001</c:v>
                </c:pt>
                <c:pt idx="904">
                  <c:v>13041.921</c:v>
                </c:pt>
                <c:pt idx="905">
                  <c:v>13047.332350000001</c:v>
                </c:pt>
                <c:pt idx="906">
                  <c:v>13063.883</c:v>
                </c:pt>
                <c:pt idx="907">
                  <c:v>13112.604799999999</c:v>
                </c:pt>
                <c:pt idx="908">
                  <c:v>13126.677449999999</c:v>
                </c:pt>
                <c:pt idx="909">
                  <c:v>13129.603450000001</c:v>
                </c:pt>
                <c:pt idx="910">
                  <c:v>13143.336649999999</c:v>
                </c:pt>
                <c:pt idx="911">
                  <c:v>13143.86485</c:v>
                </c:pt>
                <c:pt idx="912">
                  <c:v>13204.28565</c:v>
                </c:pt>
                <c:pt idx="913">
                  <c:v>13217.094499999999</c:v>
                </c:pt>
                <c:pt idx="914">
                  <c:v>13224.057049999999</c:v>
                </c:pt>
                <c:pt idx="915">
                  <c:v>13224.692999999999</c:v>
                </c:pt>
                <c:pt idx="916">
                  <c:v>13228.846949999999</c:v>
                </c:pt>
                <c:pt idx="917">
                  <c:v>13352.0998</c:v>
                </c:pt>
                <c:pt idx="918">
                  <c:v>13390.558999999999</c:v>
                </c:pt>
                <c:pt idx="919">
                  <c:v>13393.755999999999</c:v>
                </c:pt>
                <c:pt idx="920">
                  <c:v>13405.390299999999</c:v>
                </c:pt>
                <c:pt idx="921">
                  <c:v>13415.0381</c:v>
                </c:pt>
                <c:pt idx="922">
                  <c:v>13429.035400000001</c:v>
                </c:pt>
                <c:pt idx="923">
                  <c:v>13430.264999999999</c:v>
                </c:pt>
                <c:pt idx="924">
                  <c:v>13451.121999999999</c:v>
                </c:pt>
                <c:pt idx="925">
                  <c:v>13457.960800000001</c:v>
                </c:pt>
                <c:pt idx="926">
                  <c:v>13462.52</c:v>
                </c:pt>
                <c:pt idx="927">
                  <c:v>13470.804400000001</c:v>
                </c:pt>
                <c:pt idx="928">
                  <c:v>13470.86</c:v>
                </c:pt>
                <c:pt idx="929">
                  <c:v>13555.0049</c:v>
                </c:pt>
                <c:pt idx="930">
                  <c:v>13607.36875</c:v>
                </c:pt>
                <c:pt idx="931">
                  <c:v>13616.3586</c:v>
                </c:pt>
                <c:pt idx="932">
                  <c:v>13635.6379</c:v>
                </c:pt>
                <c:pt idx="933">
                  <c:v>13725.47184</c:v>
                </c:pt>
                <c:pt idx="934">
                  <c:v>13747.87235</c:v>
                </c:pt>
                <c:pt idx="935">
                  <c:v>13770.097900000001</c:v>
                </c:pt>
                <c:pt idx="936">
                  <c:v>13822.803</c:v>
                </c:pt>
                <c:pt idx="937">
                  <c:v>13831.1152</c:v>
                </c:pt>
                <c:pt idx="938">
                  <c:v>13844.505999999999</c:v>
                </c:pt>
                <c:pt idx="939">
                  <c:v>13844.797200000001</c:v>
                </c:pt>
                <c:pt idx="940">
                  <c:v>13880.949000000001</c:v>
                </c:pt>
                <c:pt idx="941">
                  <c:v>13887.204</c:v>
                </c:pt>
                <c:pt idx="942">
                  <c:v>13887.968500000001</c:v>
                </c:pt>
                <c:pt idx="943">
                  <c:v>13919.822899999999</c:v>
                </c:pt>
                <c:pt idx="944">
                  <c:v>13937.666499999999</c:v>
                </c:pt>
                <c:pt idx="945">
                  <c:v>13974.455550000001</c:v>
                </c:pt>
                <c:pt idx="946">
                  <c:v>13981.850350000001</c:v>
                </c:pt>
                <c:pt idx="947">
                  <c:v>14001.1338</c:v>
                </c:pt>
                <c:pt idx="948">
                  <c:v>14001.286700000001</c:v>
                </c:pt>
                <c:pt idx="949">
                  <c:v>14007.222</c:v>
                </c:pt>
                <c:pt idx="950">
                  <c:v>14043.476699999999</c:v>
                </c:pt>
                <c:pt idx="951">
                  <c:v>14119.62</c:v>
                </c:pt>
                <c:pt idx="952">
                  <c:v>14133.03775</c:v>
                </c:pt>
                <c:pt idx="953">
                  <c:v>14210.53595</c:v>
                </c:pt>
                <c:pt idx="954">
                  <c:v>14235.072</c:v>
                </c:pt>
                <c:pt idx="955">
                  <c:v>14254.608200000001</c:v>
                </c:pt>
                <c:pt idx="956">
                  <c:v>14256.192800000001</c:v>
                </c:pt>
                <c:pt idx="957">
                  <c:v>14283.4594</c:v>
                </c:pt>
                <c:pt idx="958">
                  <c:v>14313.846299999999</c:v>
                </c:pt>
                <c:pt idx="959">
                  <c:v>14319.031000000001</c:v>
                </c:pt>
                <c:pt idx="960">
                  <c:v>14349.8544</c:v>
                </c:pt>
                <c:pt idx="961">
                  <c:v>14358.364369999999</c:v>
                </c:pt>
                <c:pt idx="962">
                  <c:v>14382.709049999999</c:v>
                </c:pt>
                <c:pt idx="963">
                  <c:v>14394.398150000001</c:v>
                </c:pt>
                <c:pt idx="964">
                  <c:v>14394.5579</c:v>
                </c:pt>
                <c:pt idx="965">
                  <c:v>14410.9321</c:v>
                </c:pt>
                <c:pt idx="966">
                  <c:v>14418.2804</c:v>
                </c:pt>
                <c:pt idx="967">
                  <c:v>14426.073850000001</c:v>
                </c:pt>
                <c:pt idx="968">
                  <c:v>14449.8544</c:v>
                </c:pt>
                <c:pt idx="969">
                  <c:v>14451.835150000001</c:v>
                </c:pt>
                <c:pt idx="970">
                  <c:v>14455.644050000001</c:v>
                </c:pt>
                <c:pt idx="971">
                  <c:v>14474.674999999999</c:v>
                </c:pt>
                <c:pt idx="972">
                  <c:v>14478.33015</c:v>
                </c:pt>
                <c:pt idx="973">
                  <c:v>14571.890799999999</c:v>
                </c:pt>
                <c:pt idx="974">
                  <c:v>14590.63205</c:v>
                </c:pt>
                <c:pt idx="975">
                  <c:v>14692.66935</c:v>
                </c:pt>
                <c:pt idx="976">
                  <c:v>14711.7438</c:v>
                </c:pt>
                <c:pt idx="977">
                  <c:v>14901.5167</c:v>
                </c:pt>
                <c:pt idx="978">
                  <c:v>14988.432000000001</c:v>
                </c:pt>
                <c:pt idx="979">
                  <c:v>15006.579449999999</c:v>
                </c:pt>
                <c:pt idx="980">
                  <c:v>15019.760050000001</c:v>
                </c:pt>
                <c:pt idx="981">
                  <c:v>15161.5344</c:v>
                </c:pt>
                <c:pt idx="982">
                  <c:v>15170.069</c:v>
                </c:pt>
                <c:pt idx="983">
                  <c:v>15230.324049999999</c:v>
                </c:pt>
                <c:pt idx="984">
                  <c:v>15359.104499999999</c:v>
                </c:pt>
                <c:pt idx="985">
                  <c:v>15518.180249999999</c:v>
                </c:pt>
                <c:pt idx="986">
                  <c:v>15555.188749999999</c:v>
                </c:pt>
                <c:pt idx="987">
                  <c:v>15612.19335</c:v>
                </c:pt>
                <c:pt idx="988">
                  <c:v>15817.985699999999</c:v>
                </c:pt>
                <c:pt idx="989">
                  <c:v>15820.699000000001</c:v>
                </c:pt>
                <c:pt idx="990">
                  <c:v>15828.82173</c:v>
                </c:pt>
                <c:pt idx="991">
                  <c:v>16069.08475</c:v>
                </c:pt>
                <c:pt idx="992">
                  <c:v>16085.127500000001</c:v>
                </c:pt>
                <c:pt idx="993">
                  <c:v>16115.3045</c:v>
                </c:pt>
                <c:pt idx="994">
                  <c:v>16138.762049999999</c:v>
                </c:pt>
                <c:pt idx="995">
                  <c:v>16232.847</c:v>
                </c:pt>
                <c:pt idx="996">
                  <c:v>16297.846</c:v>
                </c:pt>
                <c:pt idx="997">
                  <c:v>16420.494549999999</c:v>
                </c:pt>
                <c:pt idx="998">
                  <c:v>16450.894700000001</c:v>
                </c:pt>
                <c:pt idx="999">
                  <c:v>16455.707849999999</c:v>
                </c:pt>
                <c:pt idx="1000">
                  <c:v>16577.779500000001</c:v>
                </c:pt>
                <c:pt idx="1001">
                  <c:v>16586.49771</c:v>
                </c:pt>
                <c:pt idx="1002">
                  <c:v>16657.71745</c:v>
                </c:pt>
                <c:pt idx="1003">
                  <c:v>16776.304049999999</c:v>
                </c:pt>
                <c:pt idx="1004">
                  <c:v>16796.411940000002</c:v>
                </c:pt>
                <c:pt idx="1005">
                  <c:v>16884.923999999999</c:v>
                </c:pt>
                <c:pt idx="1006">
                  <c:v>17043.341400000001</c:v>
                </c:pt>
                <c:pt idx="1007">
                  <c:v>17081.080000000002</c:v>
                </c:pt>
                <c:pt idx="1008">
                  <c:v>17085.267599999999</c:v>
                </c:pt>
                <c:pt idx="1009">
                  <c:v>17128.426080000001</c:v>
                </c:pt>
                <c:pt idx="1010">
                  <c:v>17178.682400000002</c:v>
                </c:pt>
                <c:pt idx="1011">
                  <c:v>17179.522000000001</c:v>
                </c:pt>
                <c:pt idx="1012">
                  <c:v>17352.6803</c:v>
                </c:pt>
                <c:pt idx="1013">
                  <c:v>17361.766100000001</c:v>
                </c:pt>
                <c:pt idx="1014">
                  <c:v>17468.983899999999</c:v>
                </c:pt>
                <c:pt idx="1015">
                  <c:v>17496.306</c:v>
                </c:pt>
                <c:pt idx="1016">
                  <c:v>17560.37975</c:v>
                </c:pt>
                <c:pt idx="1017">
                  <c:v>17626.239509999999</c:v>
                </c:pt>
                <c:pt idx="1018">
                  <c:v>17663.144199999999</c:v>
                </c:pt>
                <c:pt idx="1019">
                  <c:v>17748.5062</c:v>
                </c:pt>
                <c:pt idx="1020">
                  <c:v>17878.900679999999</c:v>
                </c:pt>
                <c:pt idx="1021">
                  <c:v>17904.527050000001</c:v>
                </c:pt>
                <c:pt idx="1022">
                  <c:v>17929.303370000001</c:v>
                </c:pt>
                <c:pt idx="1023">
                  <c:v>17942.106</c:v>
                </c:pt>
                <c:pt idx="1024">
                  <c:v>18033.9679</c:v>
                </c:pt>
                <c:pt idx="1025">
                  <c:v>18157.876</c:v>
                </c:pt>
                <c:pt idx="1026">
                  <c:v>18218.161390000001</c:v>
                </c:pt>
                <c:pt idx="1027">
                  <c:v>18223.4512</c:v>
                </c:pt>
                <c:pt idx="1028">
                  <c:v>18246.495500000001</c:v>
                </c:pt>
                <c:pt idx="1029">
                  <c:v>18259.216</c:v>
                </c:pt>
                <c:pt idx="1030">
                  <c:v>18310.741999999998</c:v>
                </c:pt>
                <c:pt idx="1031">
                  <c:v>18328.238099999999</c:v>
                </c:pt>
                <c:pt idx="1032">
                  <c:v>18608.261999999999</c:v>
                </c:pt>
                <c:pt idx="1033">
                  <c:v>18648.421699999999</c:v>
                </c:pt>
                <c:pt idx="1034">
                  <c:v>18765.87545</c:v>
                </c:pt>
                <c:pt idx="1035">
                  <c:v>18767.737700000001</c:v>
                </c:pt>
                <c:pt idx="1036">
                  <c:v>18804.752400000001</c:v>
                </c:pt>
                <c:pt idx="1037">
                  <c:v>18806.145469999999</c:v>
                </c:pt>
                <c:pt idx="1038">
                  <c:v>18838.703659999999</c:v>
                </c:pt>
                <c:pt idx="1039">
                  <c:v>18903.491409999999</c:v>
                </c:pt>
                <c:pt idx="1040">
                  <c:v>18955.220170000001</c:v>
                </c:pt>
                <c:pt idx="1041">
                  <c:v>18963.171920000001</c:v>
                </c:pt>
                <c:pt idx="1042">
                  <c:v>18972.494999999999</c:v>
                </c:pt>
                <c:pt idx="1043">
                  <c:v>19023.259999999998</c:v>
                </c:pt>
                <c:pt idx="1044">
                  <c:v>19040.876</c:v>
                </c:pt>
                <c:pt idx="1045">
                  <c:v>19107.779600000002</c:v>
                </c:pt>
                <c:pt idx="1046">
                  <c:v>19144.576519999999</c:v>
                </c:pt>
                <c:pt idx="1047">
                  <c:v>19199.944</c:v>
                </c:pt>
                <c:pt idx="1048">
                  <c:v>19214.705529999999</c:v>
                </c:pt>
                <c:pt idx="1049">
                  <c:v>19350.368900000001</c:v>
                </c:pt>
                <c:pt idx="1050">
                  <c:v>19361.998800000001</c:v>
                </c:pt>
                <c:pt idx="1051">
                  <c:v>19442.353500000001</c:v>
                </c:pt>
                <c:pt idx="1052">
                  <c:v>19444.265800000001</c:v>
                </c:pt>
                <c:pt idx="1053">
                  <c:v>19496.71917</c:v>
                </c:pt>
                <c:pt idx="1054">
                  <c:v>19515.5416</c:v>
                </c:pt>
                <c:pt idx="1055">
                  <c:v>19521.968199999999</c:v>
                </c:pt>
                <c:pt idx="1056">
                  <c:v>19539.242999999999</c:v>
                </c:pt>
                <c:pt idx="1057">
                  <c:v>19594.809649999999</c:v>
                </c:pt>
                <c:pt idx="1058">
                  <c:v>19673.335729999999</c:v>
                </c:pt>
                <c:pt idx="1059">
                  <c:v>19719.6947</c:v>
                </c:pt>
                <c:pt idx="1060">
                  <c:v>19749.383379999999</c:v>
                </c:pt>
                <c:pt idx="1061">
                  <c:v>19798.054550000001</c:v>
                </c:pt>
                <c:pt idx="1062">
                  <c:v>19933.457999999999</c:v>
                </c:pt>
                <c:pt idx="1063">
                  <c:v>19964.746299999999</c:v>
                </c:pt>
                <c:pt idx="1064">
                  <c:v>20009.63365</c:v>
                </c:pt>
                <c:pt idx="1065">
                  <c:v>20149.322899999999</c:v>
                </c:pt>
                <c:pt idx="1066">
                  <c:v>20167.336029999999</c:v>
                </c:pt>
                <c:pt idx="1067">
                  <c:v>20177.671129999999</c:v>
                </c:pt>
                <c:pt idx="1068">
                  <c:v>20234.854749999999</c:v>
                </c:pt>
                <c:pt idx="1069">
                  <c:v>20277.807509999999</c:v>
                </c:pt>
                <c:pt idx="1070">
                  <c:v>20296.863450000001</c:v>
                </c:pt>
                <c:pt idx="1071">
                  <c:v>20420.604650000001</c:v>
                </c:pt>
                <c:pt idx="1072">
                  <c:v>20462.997660000001</c:v>
                </c:pt>
                <c:pt idx="1073">
                  <c:v>20630.283510000001</c:v>
                </c:pt>
                <c:pt idx="1074">
                  <c:v>20709.020339999999</c:v>
                </c:pt>
                <c:pt idx="1075">
                  <c:v>20745.989099999999</c:v>
                </c:pt>
                <c:pt idx="1076">
                  <c:v>20773.62775</c:v>
                </c:pt>
                <c:pt idx="1077">
                  <c:v>20781.48892</c:v>
                </c:pt>
                <c:pt idx="1078">
                  <c:v>20878.78443</c:v>
                </c:pt>
                <c:pt idx="1079">
                  <c:v>20984.0936</c:v>
                </c:pt>
                <c:pt idx="1080">
                  <c:v>21082.16</c:v>
                </c:pt>
                <c:pt idx="1081">
                  <c:v>21098.554049999999</c:v>
                </c:pt>
                <c:pt idx="1082">
                  <c:v>21195.817999999999</c:v>
                </c:pt>
                <c:pt idx="1083">
                  <c:v>21223.675800000001</c:v>
                </c:pt>
                <c:pt idx="1084">
                  <c:v>21232.182260000001</c:v>
                </c:pt>
                <c:pt idx="1085">
                  <c:v>21259.377949999998</c:v>
                </c:pt>
                <c:pt idx="1086">
                  <c:v>21344.846699999998</c:v>
                </c:pt>
                <c:pt idx="1087">
                  <c:v>21348.705999999998</c:v>
                </c:pt>
                <c:pt idx="1088">
                  <c:v>21472.478800000001</c:v>
                </c:pt>
                <c:pt idx="1089">
                  <c:v>21595.382290000001</c:v>
                </c:pt>
                <c:pt idx="1090">
                  <c:v>21659.930100000001</c:v>
                </c:pt>
                <c:pt idx="1091">
                  <c:v>21677.283449999999</c:v>
                </c:pt>
                <c:pt idx="1092">
                  <c:v>21771.3423</c:v>
                </c:pt>
                <c:pt idx="1093">
                  <c:v>21774.32215</c:v>
                </c:pt>
                <c:pt idx="1094">
                  <c:v>21797.000400000001</c:v>
                </c:pt>
                <c:pt idx="1095">
                  <c:v>21880.82</c:v>
                </c:pt>
                <c:pt idx="1096">
                  <c:v>21978.676899999999</c:v>
                </c:pt>
                <c:pt idx="1097">
                  <c:v>21984.47061</c:v>
                </c:pt>
                <c:pt idx="1098">
                  <c:v>22144.031999999999</c:v>
                </c:pt>
                <c:pt idx="1099">
                  <c:v>22192.437109999999</c:v>
                </c:pt>
                <c:pt idx="1100">
                  <c:v>22218.1149</c:v>
                </c:pt>
                <c:pt idx="1101">
                  <c:v>22331.566800000001</c:v>
                </c:pt>
                <c:pt idx="1102">
                  <c:v>22395.74424</c:v>
                </c:pt>
                <c:pt idx="1103">
                  <c:v>22412.648499999999</c:v>
                </c:pt>
                <c:pt idx="1104">
                  <c:v>22462.043750000001</c:v>
                </c:pt>
                <c:pt idx="1105">
                  <c:v>22478.6</c:v>
                </c:pt>
                <c:pt idx="1106">
                  <c:v>22493.659640000002</c:v>
                </c:pt>
                <c:pt idx="1107">
                  <c:v>23045.566159999998</c:v>
                </c:pt>
                <c:pt idx="1108">
                  <c:v>23065.420699999999</c:v>
                </c:pt>
                <c:pt idx="1109">
                  <c:v>23082.955330000001</c:v>
                </c:pt>
                <c:pt idx="1110">
                  <c:v>23241.47453</c:v>
                </c:pt>
                <c:pt idx="1111">
                  <c:v>23244.790199999999</c:v>
                </c:pt>
                <c:pt idx="1112">
                  <c:v>23288.928400000001</c:v>
                </c:pt>
                <c:pt idx="1113">
                  <c:v>23306.546999999999</c:v>
                </c:pt>
                <c:pt idx="1114">
                  <c:v>23401.30575</c:v>
                </c:pt>
                <c:pt idx="1115">
                  <c:v>23563.016179999999</c:v>
                </c:pt>
                <c:pt idx="1116">
                  <c:v>23568.272000000001</c:v>
                </c:pt>
                <c:pt idx="1117">
                  <c:v>23807.240600000001</c:v>
                </c:pt>
                <c:pt idx="1118">
                  <c:v>23887.662700000001</c:v>
                </c:pt>
                <c:pt idx="1119">
                  <c:v>23967.38305</c:v>
                </c:pt>
                <c:pt idx="1120">
                  <c:v>24059.680189999999</c:v>
                </c:pt>
                <c:pt idx="1121">
                  <c:v>24106.912550000001</c:v>
                </c:pt>
                <c:pt idx="1122">
                  <c:v>24180.933499999999</c:v>
                </c:pt>
                <c:pt idx="1123">
                  <c:v>24227.337240000001</c:v>
                </c:pt>
                <c:pt idx="1124">
                  <c:v>24393.6224</c:v>
                </c:pt>
                <c:pt idx="1125">
                  <c:v>24476.478510000001</c:v>
                </c:pt>
                <c:pt idx="1126">
                  <c:v>24513.091260000001</c:v>
                </c:pt>
                <c:pt idx="1127">
                  <c:v>24520.263999999999</c:v>
                </c:pt>
                <c:pt idx="1128">
                  <c:v>24535.698550000001</c:v>
                </c:pt>
                <c:pt idx="1129">
                  <c:v>24603.04837</c:v>
                </c:pt>
                <c:pt idx="1130">
                  <c:v>24667.419000000002</c:v>
                </c:pt>
                <c:pt idx="1131">
                  <c:v>24671.663339999999</c:v>
                </c:pt>
                <c:pt idx="1132">
                  <c:v>24869.836800000001</c:v>
                </c:pt>
                <c:pt idx="1133">
                  <c:v>24873.384900000001</c:v>
                </c:pt>
                <c:pt idx="1134">
                  <c:v>24915.046259999999</c:v>
                </c:pt>
                <c:pt idx="1135">
                  <c:v>24915.220850000002</c:v>
                </c:pt>
                <c:pt idx="1136">
                  <c:v>25081.76784</c:v>
                </c:pt>
                <c:pt idx="1137">
                  <c:v>25309.489000000001</c:v>
                </c:pt>
                <c:pt idx="1138">
                  <c:v>25333.332839999999</c:v>
                </c:pt>
                <c:pt idx="1139">
                  <c:v>25382.296999999999</c:v>
                </c:pt>
                <c:pt idx="1140">
                  <c:v>25517.11363</c:v>
                </c:pt>
                <c:pt idx="1141">
                  <c:v>25656.575260000001</c:v>
                </c:pt>
                <c:pt idx="1142">
                  <c:v>25678.778450000002</c:v>
                </c:pt>
                <c:pt idx="1143">
                  <c:v>25992.821039999999</c:v>
                </c:pt>
                <c:pt idx="1144">
                  <c:v>26018.950519999999</c:v>
                </c:pt>
                <c:pt idx="1145">
                  <c:v>26109.32905</c:v>
                </c:pt>
                <c:pt idx="1146">
                  <c:v>26125.674770000001</c:v>
                </c:pt>
                <c:pt idx="1147">
                  <c:v>26140.3603</c:v>
                </c:pt>
                <c:pt idx="1148">
                  <c:v>26236.579969999999</c:v>
                </c:pt>
                <c:pt idx="1149">
                  <c:v>26392.260289999998</c:v>
                </c:pt>
                <c:pt idx="1150">
                  <c:v>26467.09737</c:v>
                </c:pt>
                <c:pt idx="1151">
                  <c:v>26926.5144</c:v>
                </c:pt>
                <c:pt idx="1152">
                  <c:v>27000.98473</c:v>
                </c:pt>
                <c:pt idx="1153">
                  <c:v>27037.914100000002</c:v>
                </c:pt>
                <c:pt idx="1154">
                  <c:v>27117.993780000001</c:v>
                </c:pt>
                <c:pt idx="1155">
                  <c:v>27218.437249999999</c:v>
                </c:pt>
                <c:pt idx="1156">
                  <c:v>27322.73386</c:v>
                </c:pt>
                <c:pt idx="1157">
                  <c:v>27346.04207</c:v>
                </c:pt>
                <c:pt idx="1158">
                  <c:v>27375.904780000001</c:v>
                </c:pt>
                <c:pt idx="1159">
                  <c:v>27533.912899999999</c:v>
                </c:pt>
                <c:pt idx="1160">
                  <c:v>27724.28875</c:v>
                </c:pt>
                <c:pt idx="1161">
                  <c:v>27808.7251</c:v>
                </c:pt>
                <c:pt idx="1162">
                  <c:v>27941.28758</c:v>
                </c:pt>
                <c:pt idx="1163">
                  <c:v>28101.333050000001</c:v>
                </c:pt>
                <c:pt idx="1164">
                  <c:v>28287.897659999999</c:v>
                </c:pt>
                <c:pt idx="1165">
                  <c:v>28340.188849999999</c:v>
                </c:pt>
                <c:pt idx="1166">
                  <c:v>28468.919010000001</c:v>
                </c:pt>
                <c:pt idx="1167">
                  <c:v>28476.734990000001</c:v>
                </c:pt>
                <c:pt idx="1168">
                  <c:v>28868.6639</c:v>
                </c:pt>
                <c:pt idx="1169">
                  <c:v>28923.136920000001</c:v>
                </c:pt>
                <c:pt idx="1170">
                  <c:v>28950.4692</c:v>
                </c:pt>
                <c:pt idx="1171">
                  <c:v>29141.3603</c:v>
                </c:pt>
                <c:pt idx="1172">
                  <c:v>29186.482360000002</c:v>
                </c:pt>
                <c:pt idx="1173">
                  <c:v>29330.98315</c:v>
                </c:pt>
                <c:pt idx="1174">
                  <c:v>29523.1656</c:v>
                </c:pt>
                <c:pt idx="1175">
                  <c:v>30063.580549999999</c:v>
                </c:pt>
                <c:pt idx="1176">
                  <c:v>30166.618170000002</c:v>
                </c:pt>
                <c:pt idx="1177">
                  <c:v>30184.936699999998</c:v>
                </c:pt>
                <c:pt idx="1178">
                  <c:v>30259.995559999999</c:v>
                </c:pt>
                <c:pt idx="1179">
                  <c:v>30284.642940000002</c:v>
                </c:pt>
                <c:pt idx="1180">
                  <c:v>30942.191800000001</c:v>
                </c:pt>
                <c:pt idx="1181">
                  <c:v>31620.001059999999</c:v>
                </c:pt>
                <c:pt idx="1182">
                  <c:v>32108.662820000001</c:v>
                </c:pt>
                <c:pt idx="1183">
                  <c:v>32548.340499999998</c:v>
                </c:pt>
                <c:pt idx="1184">
                  <c:v>32734.186300000001</c:v>
                </c:pt>
                <c:pt idx="1185">
                  <c:v>32787.458590000002</c:v>
                </c:pt>
                <c:pt idx="1186">
                  <c:v>33307.550799999997</c:v>
                </c:pt>
                <c:pt idx="1187">
                  <c:v>33471.971890000001</c:v>
                </c:pt>
                <c:pt idx="1188">
                  <c:v>33475.817150000003</c:v>
                </c:pt>
                <c:pt idx="1189">
                  <c:v>33732.686699999998</c:v>
                </c:pt>
                <c:pt idx="1190">
                  <c:v>33750.291799999999</c:v>
                </c:pt>
                <c:pt idx="1191">
                  <c:v>33900.652999999998</c:v>
                </c:pt>
                <c:pt idx="1192">
                  <c:v>33907.548000000003</c:v>
                </c:pt>
                <c:pt idx="1193">
                  <c:v>34166.273000000001</c:v>
                </c:pt>
                <c:pt idx="1194">
                  <c:v>34254.053350000002</c:v>
                </c:pt>
                <c:pt idx="1195">
                  <c:v>34303.167200000004</c:v>
                </c:pt>
                <c:pt idx="1196">
                  <c:v>34439.855900000002</c:v>
                </c:pt>
                <c:pt idx="1197">
                  <c:v>34472.841</c:v>
                </c:pt>
                <c:pt idx="1198">
                  <c:v>34617.840649999998</c:v>
                </c:pt>
                <c:pt idx="1199">
                  <c:v>34672.147199999999</c:v>
                </c:pt>
                <c:pt idx="1200">
                  <c:v>34779.614999999998</c:v>
                </c:pt>
                <c:pt idx="1201">
                  <c:v>34806.467700000001</c:v>
                </c:pt>
                <c:pt idx="1202">
                  <c:v>34828.654000000002</c:v>
                </c:pt>
                <c:pt idx="1203">
                  <c:v>34838.873</c:v>
                </c:pt>
                <c:pt idx="1204">
                  <c:v>35069.374519999998</c:v>
                </c:pt>
                <c:pt idx="1205">
                  <c:v>35147.528480000001</c:v>
                </c:pt>
                <c:pt idx="1206">
                  <c:v>35160.134570000002</c:v>
                </c:pt>
                <c:pt idx="1207">
                  <c:v>35491.64</c:v>
                </c:pt>
                <c:pt idx="1208">
                  <c:v>35585.576000000001</c:v>
                </c:pt>
                <c:pt idx="1209">
                  <c:v>35595.589800000002</c:v>
                </c:pt>
                <c:pt idx="1210">
                  <c:v>36021.011200000001</c:v>
                </c:pt>
                <c:pt idx="1211">
                  <c:v>36085.218999999997</c:v>
                </c:pt>
                <c:pt idx="1212">
                  <c:v>36124.573700000001</c:v>
                </c:pt>
                <c:pt idx="1213">
                  <c:v>36149.483500000002</c:v>
                </c:pt>
                <c:pt idx="1214">
                  <c:v>36189.101699999999</c:v>
                </c:pt>
                <c:pt idx="1215">
                  <c:v>36197.699000000001</c:v>
                </c:pt>
                <c:pt idx="1216">
                  <c:v>36219.405449999998</c:v>
                </c:pt>
                <c:pt idx="1217">
                  <c:v>36307.798300000002</c:v>
                </c:pt>
                <c:pt idx="1218">
                  <c:v>36397.576000000001</c:v>
                </c:pt>
                <c:pt idx="1219">
                  <c:v>36580.282160000002</c:v>
                </c:pt>
                <c:pt idx="1220">
                  <c:v>36837.466999999997</c:v>
                </c:pt>
                <c:pt idx="1221">
                  <c:v>36898.733079999998</c:v>
                </c:pt>
                <c:pt idx="1222">
                  <c:v>36910.608030000003</c:v>
                </c:pt>
                <c:pt idx="1223">
                  <c:v>36950.256699999998</c:v>
                </c:pt>
                <c:pt idx="1224">
                  <c:v>37079.372000000003</c:v>
                </c:pt>
                <c:pt idx="1225">
                  <c:v>37133.898200000003</c:v>
                </c:pt>
                <c:pt idx="1226">
                  <c:v>37165.163800000002</c:v>
                </c:pt>
                <c:pt idx="1227">
                  <c:v>37270.1512</c:v>
                </c:pt>
                <c:pt idx="1228">
                  <c:v>37465.34375</c:v>
                </c:pt>
                <c:pt idx="1229">
                  <c:v>37484.4493</c:v>
                </c:pt>
                <c:pt idx="1230">
                  <c:v>37607.527699999999</c:v>
                </c:pt>
                <c:pt idx="1231">
                  <c:v>37701.876799999998</c:v>
                </c:pt>
                <c:pt idx="1232">
                  <c:v>37742.575700000001</c:v>
                </c:pt>
                <c:pt idx="1233">
                  <c:v>37829.724199999997</c:v>
                </c:pt>
                <c:pt idx="1234">
                  <c:v>38126.246500000001</c:v>
                </c:pt>
                <c:pt idx="1235">
                  <c:v>38245.593269999998</c:v>
                </c:pt>
                <c:pt idx="1236">
                  <c:v>38282.749499999998</c:v>
                </c:pt>
                <c:pt idx="1237">
                  <c:v>38344.565999999999</c:v>
                </c:pt>
                <c:pt idx="1238">
                  <c:v>38415.474000000002</c:v>
                </c:pt>
                <c:pt idx="1239">
                  <c:v>38511.628299999997</c:v>
                </c:pt>
                <c:pt idx="1240">
                  <c:v>38709.175999999999</c:v>
                </c:pt>
                <c:pt idx="1241">
                  <c:v>38711</c:v>
                </c:pt>
                <c:pt idx="1242">
                  <c:v>38746.355100000001</c:v>
                </c:pt>
                <c:pt idx="1243">
                  <c:v>38792.685599999997</c:v>
                </c:pt>
                <c:pt idx="1244">
                  <c:v>38998.546000000002</c:v>
                </c:pt>
                <c:pt idx="1245">
                  <c:v>39047.285000000003</c:v>
                </c:pt>
                <c:pt idx="1246">
                  <c:v>39125.332249999999</c:v>
                </c:pt>
                <c:pt idx="1247">
                  <c:v>39241.442000000003</c:v>
                </c:pt>
                <c:pt idx="1248">
                  <c:v>39556.494500000001</c:v>
                </c:pt>
                <c:pt idx="1249">
                  <c:v>39597.407200000001</c:v>
                </c:pt>
                <c:pt idx="1250">
                  <c:v>39611.757700000002</c:v>
                </c:pt>
                <c:pt idx="1251">
                  <c:v>39722.746200000001</c:v>
                </c:pt>
                <c:pt idx="1252">
                  <c:v>39725.518049999999</c:v>
                </c:pt>
                <c:pt idx="1253">
                  <c:v>39727.614000000001</c:v>
                </c:pt>
                <c:pt idx="1254">
                  <c:v>39774.276299999998</c:v>
                </c:pt>
                <c:pt idx="1255">
                  <c:v>39836.519</c:v>
                </c:pt>
                <c:pt idx="1256">
                  <c:v>39871.704299999998</c:v>
                </c:pt>
                <c:pt idx="1257">
                  <c:v>39983.425949999997</c:v>
                </c:pt>
                <c:pt idx="1258">
                  <c:v>40003.332249999999</c:v>
                </c:pt>
                <c:pt idx="1259">
                  <c:v>40103.89</c:v>
                </c:pt>
                <c:pt idx="1260">
                  <c:v>40182.245999999999</c:v>
                </c:pt>
                <c:pt idx="1261">
                  <c:v>40273.645499999999</c:v>
                </c:pt>
                <c:pt idx="1262">
                  <c:v>40419.019099999998</c:v>
                </c:pt>
                <c:pt idx="1263">
                  <c:v>40720.551050000002</c:v>
                </c:pt>
                <c:pt idx="1264">
                  <c:v>40904.199500000002</c:v>
                </c:pt>
                <c:pt idx="1265">
                  <c:v>40932.429499999998</c:v>
                </c:pt>
                <c:pt idx="1266">
                  <c:v>40941.285400000001</c:v>
                </c:pt>
                <c:pt idx="1267">
                  <c:v>40974.164900000003</c:v>
                </c:pt>
                <c:pt idx="1268">
                  <c:v>41034.221400000002</c:v>
                </c:pt>
                <c:pt idx="1269">
                  <c:v>41097.161749999999</c:v>
                </c:pt>
                <c:pt idx="1270">
                  <c:v>41661.601999999999</c:v>
                </c:pt>
                <c:pt idx="1271">
                  <c:v>41676.081100000003</c:v>
                </c:pt>
                <c:pt idx="1272">
                  <c:v>41919.097000000002</c:v>
                </c:pt>
                <c:pt idx="1273">
                  <c:v>41949.244100000004</c:v>
                </c:pt>
                <c:pt idx="1274">
                  <c:v>41999.519999999997</c:v>
                </c:pt>
                <c:pt idx="1275">
                  <c:v>42111.664700000001</c:v>
                </c:pt>
                <c:pt idx="1276">
                  <c:v>42112.2356</c:v>
                </c:pt>
                <c:pt idx="1277">
                  <c:v>42124.515299999999</c:v>
                </c:pt>
                <c:pt idx="1278">
                  <c:v>42211.138200000001</c:v>
                </c:pt>
                <c:pt idx="1279">
                  <c:v>42303.692150000003</c:v>
                </c:pt>
                <c:pt idx="1280">
                  <c:v>42560.430399999997</c:v>
                </c:pt>
                <c:pt idx="1281">
                  <c:v>42760.502200000003</c:v>
                </c:pt>
                <c:pt idx="1282">
                  <c:v>42856.838000000003</c:v>
                </c:pt>
                <c:pt idx="1283">
                  <c:v>42969.852700000003</c:v>
                </c:pt>
                <c:pt idx="1284">
                  <c:v>42983.458500000001</c:v>
                </c:pt>
                <c:pt idx="1285">
                  <c:v>43254.417950000003</c:v>
                </c:pt>
                <c:pt idx="1286">
                  <c:v>43578.939400000003</c:v>
                </c:pt>
                <c:pt idx="1287">
                  <c:v>43753.337050000002</c:v>
                </c:pt>
                <c:pt idx="1288">
                  <c:v>43813.866099999999</c:v>
                </c:pt>
                <c:pt idx="1289">
                  <c:v>43896.376300000004</c:v>
                </c:pt>
                <c:pt idx="1290">
                  <c:v>43921.183700000001</c:v>
                </c:pt>
                <c:pt idx="1291">
                  <c:v>43943.876100000001</c:v>
                </c:pt>
                <c:pt idx="1292">
                  <c:v>44202.653599999998</c:v>
                </c:pt>
                <c:pt idx="1293">
                  <c:v>44260.749900000003</c:v>
                </c:pt>
                <c:pt idx="1294">
                  <c:v>44400.4064</c:v>
                </c:pt>
                <c:pt idx="1295">
                  <c:v>44423.803</c:v>
                </c:pt>
                <c:pt idx="1296">
                  <c:v>44501.398200000003</c:v>
                </c:pt>
                <c:pt idx="1297">
                  <c:v>44585.455869999998</c:v>
                </c:pt>
                <c:pt idx="1298">
                  <c:v>44641.197399999997</c:v>
                </c:pt>
                <c:pt idx="1299">
                  <c:v>45008.955499999996</c:v>
                </c:pt>
                <c:pt idx="1300">
                  <c:v>45702.022349999999</c:v>
                </c:pt>
                <c:pt idx="1301">
                  <c:v>45710.207849999999</c:v>
                </c:pt>
                <c:pt idx="1302">
                  <c:v>45863.205000000002</c:v>
                </c:pt>
                <c:pt idx="1303">
                  <c:v>46113.510999999999</c:v>
                </c:pt>
                <c:pt idx="1304">
                  <c:v>46130.5265</c:v>
                </c:pt>
                <c:pt idx="1305">
                  <c:v>46151.124499999998</c:v>
                </c:pt>
                <c:pt idx="1306">
                  <c:v>46200.985099999998</c:v>
                </c:pt>
                <c:pt idx="1307">
                  <c:v>46255.112500000003</c:v>
                </c:pt>
                <c:pt idx="1308">
                  <c:v>46599.108399999997</c:v>
                </c:pt>
                <c:pt idx="1309">
                  <c:v>46661.4424</c:v>
                </c:pt>
                <c:pt idx="1310">
                  <c:v>46718.163249999998</c:v>
                </c:pt>
                <c:pt idx="1311">
                  <c:v>46889.261200000001</c:v>
                </c:pt>
                <c:pt idx="1312">
                  <c:v>47055.532099999997</c:v>
                </c:pt>
                <c:pt idx="1313">
                  <c:v>47269.853999999999</c:v>
                </c:pt>
                <c:pt idx="1314">
                  <c:v>47291.055</c:v>
                </c:pt>
                <c:pt idx="1315">
                  <c:v>47305.305</c:v>
                </c:pt>
                <c:pt idx="1316">
                  <c:v>47403.88</c:v>
                </c:pt>
                <c:pt idx="1317">
                  <c:v>47462.894</c:v>
                </c:pt>
                <c:pt idx="1318">
                  <c:v>47496.494449999998</c:v>
                </c:pt>
                <c:pt idx="1319">
                  <c:v>47896.79135</c:v>
                </c:pt>
                <c:pt idx="1320">
                  <c:v>47928.03</c:v>
                </c:pt>
                <c:pt idx="1321">
                  <c:v>48173.360999999997</c:v>
                </c:pt>
                <c:pt idx="1322">
                  <c:v>48517.563150000002</c:v>
                </c:pt>
                <c:pt idx="1323">
                  <c:v>48549.178350000002</c:v>
                </c:pt>
                <c:pt idx="1324">
                  <c:v>48673.558799999999</c:v>
                </c:pt>
                <c:pt idx="1325">
                  <c:v>48675.517699999997</c:v>
                </c:pt>
                <c:pt idx="1326">
                  <c:v>48824.45</c:v>
                </c:pt>
                <c:pt idx="1327">
                  <c:v>48885.135609999998</c:v>
                </c:pt>
                <c:pt idx="1328">
                  <c:v>48970.247600000002</c:v>
                </c:pt>
                <c:pt idx="1329">
                  <c:v>49577.662400000001</c:v>
                </c:pt>
                <c:pt idx="1330">
                  <c:v>51194.559139999998</c:v>
                </c:pt>
                <c:pt idx="1331">
                  <c:v>52590.829389999999</c:v>
                </c:pt>
                <c:pt idx="1332">
                  <c:v>55135.402090000003</c:v>
                </c:pt>
                <c:pt idx="1333">
                  <c:v>58571.074480000003</c:v>
                </c:pt>
                <c:pt idx="1334">
                  <c:v>60021.398970000002</c:v>
                </c:pt>
                <c:pt idx="1335">
                  <c:v>62592.873090000001</c:v>
                </c:pt>
                <c:pt idx="1336">
                  <c:v>63770.428010000003</c:v>
                </c:pt>
              </c:numCache>
            </c:numRef>
          </c:yVal>
          <c:smooth val="1"/>
          <c:extLst>
            <c:ext xmlns:c16="http://schemas.microsoft.com/office/drawing/2014/chart" uri="{C3380CC4-5D6E-409C-BE32-E72D297353CC}">
              <c16:uniqueId val="{00000000-FA21-4CB7-A791-E80371CE0FAE}"/>
            </c:ext>
          </c:extLst>
        </c:ser>
        <c:dLbls>
          <c:showLegendKey val="0"/>
          <c:showVal val="0"/>
          <c:showCatName val="0"/>
          <c:showSerName val="0"/>
          <c:showPercent val="0"/>
          <c:showBubbleSize val="0"/>
        </c:dLbls>
        <c:axId val="848718159"/>
        <c:axId val="848724399"/>
      </c:scatterChart>
      <c:valAx>
        <c:axId val="848718159"/>
        <c:scaling>
          <c:orientation val="minMax"/>
          <c:max val="65"/>
          <c:min val="18"/>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848724399"/>
        <c:crosses val="autoZero"/>
        <c:crossBetween val="midCat"/>
      </c:valAx>
      <c:valAx>
        <c:axId val="8487243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Charges($)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quot;K&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71815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[healthcare_insurance_dashboard.xlsx]KPI and Pivot!PivotTable10</c:name>
    <c:fmtId val="10"/>
  </c:pivotSource>
  <c:chart>
    <c:title>
      <c:tx>
        <c:rich>
          <a:bodyPr rot="0" spcFirstLastPara="1" vertOverflow="ellipsis" vert="horz" wrap="square" anchor="ctr" anchorCtr="1"/>
          <a:lstStyle/>
          <a:p>
            <a:pPr>
              <a:defRPr lang="en-US" sz="1440" b="0" i="0" u="none" strike="noStrike" kern="1200" spc="0" baseline="0">
                <a:solidFill>
                  <a:srgbClr val="0070C0"/>
                </a:solidFill>
                <a:latin typeface="Arial" panose="020B0604020202020204" pitchFamily="34" charset="0"/>
                <a:ea typeface="+mn-ea"/>
                <a:cs typeface="Arial" panose="020B0604020202020204" pitchFamily="34" charset="0"/>
              </a:defRPr>
            </a:pPr>
            <a:r>
              <a:rPr lang="en-US" sz="1200" b="1"/>
              <a:t>Average charges by Age group</a:t>
            </a:r>
          </a:p>
        </c:rich>
      </c:tx>
      <c:overlay val="0"/>
      <c:spPr>
        <a:noFill/>
        <a:ln>
          <a:noFill/>
        </a:ln>
        <a:effectLst/>
      </c:spPr>
      <c:txPr>
        <a:bodyPr rot="0" spcFirstLastPara="1" vertOverflow="ellipsis" vert="horz" wrap="square" anchor="ctr" anchorCtr="1"/>
        <a:lstStyle/>
        <a:p>
          <a:pPr>
            <a:defRPr lang="en-US" sz="1440" b="0" i="0" u="none" strike="noStrike" kern="1200" spc="0" baseline="0">
              <a:solidFill>
                <a:srgbClr val="0070C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200" b="0" i="0" u="none" strike="noStrike" kern="1200" spc="0" baseline="0">
                  <a:solidFill>
                    <a:srgbClr val="0070C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3.9097406107733136E-2"/>
            </c:manualLayout>
          </c:layout>
          <c:spPr>
            <a:noFill/>
            <a:ln>
              <a:noFill/>
            </a:ln>
            <a:effectLst/>
          </c:spPr>
          <c:txPr>
            <a:bodyPr rot="0" spcFirstLastPara="1" vertOverflow="ellipsis" vert="horz" wrap="square" anchor="ctr" anchorCtr="1"/>
            <a:lstStyle/>
            <a:p>
              <a:pPr>
                <a:defRPr lang="en-US" sz="1200" b="0" i="0" u="none" strike="noStrike" kern="1200" spc="0" baseline="0">
                  <a:solidFill>
                    <a:srgbClr val="0070C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218386624036139"/>
                  <c:h val="0.14291425702819488"/>
                </c:manualLayout>
              </c15:layout>
            </c:ext>
          </c:extLst>
        </c:dLbl>
      </c:pivotFmt>
      <c:pivotFmt>
        <c:idx val="6"/>
        <c:spPr>
          <a:solidFill>
            <a:schemeClr val="accent1"/>
          </a:solidFill>
          <a:ln>
            <a:noFill/>
          </a:ln>
          <a:effectLst/>
        </c:spPr>
        <c:dLbl>
          <c:idx val="0"/>
          <c:spPr>
            <a:noFill/>
            <a:ln>
              <a:noFill/>
            </a:ln>
            <a:effectLst/>
          </c:spPr>
          <c:txPr>
            <a:bodyPr rot="0" spcFirstLastPara="1" vertOverflow="ellipsis" vert="horz" wrap="square" anchor="ctr" anchorCtr="1"/>
            <a:lstStyle/>
            <a:p>
              <a:pPr>
                <a:defRPr lang="en-US" sz="1200" b="0" i="0" u="none" strike="noStrike" kern="1200" spc="0" baseline="0">
                  <a:solidFill>
                    <a:srgbClr val="0070C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708802616674708"/>
                  <c:h val="0.23153504420572338"/>
                </c:manualLayout>
              </c15:layout>
            </c:ext>
          </c:extLst>
        </c:dLbl>
      </c:pivotFmt>
    </c:pivotFmts>
    <c:plotArea>
      <c:layout/>
      <c:barChart>
        <c:barDir val="col"/>
        <c:grouping val="clustered"/>
        <c:varyColors val="0"/>
        <c:ser>
          <c:idx val="0"/>
          <c:order val="0"/>
          <c:tx>
            <c:strRef>
              <c:f>'KPI and Pivot'!$E$1</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0F81-42D6-B734-FAF8F1C0BE75}"/>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0-0F81-42D6-B734-FAF8F1C0BE75}"/>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1708802616674708"/>
                      <c:h val="0.23153504420572338"/>
                    </c:manualLayout>
                  </c15:layout>
                </c:ext>
                <c:ext xmlns:c16="http://schemas.microsoft.com/office/drawing/2014/chart" uri="{C3380CC4-5D6E-409C-BE32-E72D297353CC}">
                  <c16:uniqueId val="{00000001-0F81-42D6-B734-FAF8F1C0BE75}"/>
                </c:ext>
              </c:extLst>
            </c:dLbl>
            <c:dLbl>
              <c:idx val="1"/>
              <c:layout>
                <c:manualLayout>
                  <c:x val="0"/>
                  <c:y val="3.9097406107733136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6218386624036139"/>
                      <c:h val="0.14291425702819488"/>
                    </c:manualLayout>
                  </c15:layout>
                </c:ext>
                <c:ext xmlns:c16="http://schemas.microsoft.com/office/drawing/2014/chart" uri="{C3380CC4-5D6E-409C-BE32-E72D297353CC}">
                  <c16:uniqueId val="{00000000-0F81-42D6-B734-FAF8F1C0BE75}"/>
                </c:ext>
              </c:extLst>
            </c:dLbl>
            <c:spPr>
              <a:noFill/>
              <a:ln>
                <a:noFill/>
              </a:ln>
              <a:effectLst/>
            </c:spPr>
            <c:txPr>
              <a:bodyPr rot="0" spcFirstLastPara="1" vertOverflow="ellipsis" vert="horz" wrap="square" anchor="ctr" anchorCtr="1"/>
              <a:lstStyle/>
              <a:p>
                <a:pPr>
                  <a:defRPr lang="en-US" sz="1200" b="0" i="0" u="none" strike="noStrike" kern="1200" spc="0" baseline="0">
                    <a:solidFill>
                      <a:srgbClr val="0070C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and Pivot'!$D$2:$D$6</c:f>
              <c:strCache>
                <c:ptCount val="4"/>
                <c:pt idx="0">
                  <c:v>Adult</c:v>
                </c:pt>
                <c:pt idx="1">
                  <c:v>Older</c:v>
                </c:pt>
                <c:pt idx="2">
                  <c:v>Youth</c:v>
                </c:pt>
                <c:pt idx="3">
                  <c:v>(blank)</c:v>
                </c:pt>
              </c:strCache>
            </c:strRef>
          </c:cat>
          <c:val>
            <c:numRef>
              <c:f>'KPI and Pivot'!$E$2:$E$6</c:f>
              <c:numCache>
                <c:formatCode>_-[$$-409]* #,##0.00_ ;_-[$$-409]* \-#,##0.00\ ;_-[$$-409]* "-"??_ ;_-@_ </c:formatCode>
                <c:ptCount val="4"/>
                <c:pt idx="0">
                  <c:v>10134.49066984944</c:v>
                </c:pt>
                <c:pt idx="1">
                  <c:v>30213.015216657284</c:v>
                </c:pt>
                <c:pt idx="2">
                  <c:v>3489.8330251692996</c:v>
                </c:pt>
              </c:numCache>
            </c:numRef>
          </c:val>
          <c:extLst>
            <c:ext xmlns:c16="http://schemas.microsoft.com/office/drawing/2014/chart" uri="{C3380CC4-5D6E-409C-BE32-E72D297353CC}">
              <c16:uniqueId val="{00000000-1179-48AC-B31C-C39F4B231ACE}"/>
            </c:ext>
          </c:extLst>
        </c:ser>
        <c:dLbls>
          <c:dLblPos val="outEnd"/>
          <c:showLegendKey val="0"/>
          <c:showVal val="1"/>
          <c:showCatName val="0"/>
          <c:showSerName val="0"/>
          <c:showPercent val="0"/>
          <c:showBubbleSize val="0"/>
        </c:dLbls>
        <c:gapWidth val="219"/>
        <c:overlap val="-27"/>
        <c:axId val="724402511"/>
        <c:axId val="724415951"/>
      </c:barChart>
      <c:catAx>
        <c:axId val="724402511"/>
        <c:scaling>
          <c:orientation val="minMax"/>
        </c:scaling>
        <c:delete val="0"/>
        <c:axPos val="b"/>
        <c:title>
          <c:tx>
            <c:rich>
              <a:bodyPr rot="0" spcFirstLastPara="1" vertOverflow="ellipsis" vert="horz" wrap="square" anchor="ctr" anchorCtr="1"/>
              <a:lstStyle/>
              <a:p>
                <a:pPr algn="ctr" rtl="0">
                  <a:defRPr lang="en-IN" sz="1000" b="0" i="0" u="none" strike="noStrike" kern="1200" spc="0" baseline="0">
                    <a:solidFill>
                      <a:srgbClr val="0070C0"/>
                    </a:solidFill>
                    <a:latin typeface="Arial" panose="020B0604020202020204" pitchFamily="34" charset="0"/>
                    <a:ea typeface="+mn-ea"/>
                    <a:cs typeface="Arial" panose="020B0604020202020204" pitchFamily="34" charset="0"/>
                  </a:defRPr>
                </a:pPr>
                <a:r>
                  <a:rPr lang="en-IN" sz="1000" b="0" i="0" u="none" strike="noStrike" kern="1200" spc="0" baseline="0">
                    <a:solidFill>
                      <a:srgbClr val="0070C0"/>
                    </a:solidFill>
                    <a:latin typeface="Arial" panose="020B0604020202020204" pitchFamily="34" charset="0"/>
                    <a:ea typeface="+mn-ea"/>
                    <a:cs typeface="Arial" panose="020B0604020202020204" pitchFamily="34" charset="0"/>
                  </a:rPr>
                  <a:t>Age group</a:t>
                </a:r>
              </a:p>
            </c:rich>
          </c:tx>
          <c:layout>
            <c:manualLayout>
              <c:xMode val="edge"/>
              <c:yMode val="edge"/>
              <c:x val="0.42664291652907105"/>
              <c:y val="0.86339345782385279"/>
            </c:manualLayout>
          </c:layout>
          <c:overlay val="0"/>
          <c:spPr>
            <a:noFill/>
            <a:ln>
              <a:noFill/>
            </a:ln>
            <a:effectLst/>
          </c:spPr>
          <c:txPr>
            <a:bodyPr rot="0" spcFirstLastPara="1" vertOverflow="ellipsis" vert="horz" wrap="square" anchor="ctr" anchorCtr="1"/>
            <a:lstStyle/>
            <a:p>
              <a:pPr algn="ctr" rtl="0">
                <a:defRPr lang="en-IN" sz="1000" b="0" i="0" u="none" strike="noStrike" kern="1200" spc="0" baseline="0">
                  <a:solidFill>
                    <a:srgbClr val="0070C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0" i="0" u="none" strike="noStrike" kern="1200" spc="0" baseline="0">
                <a:solidFill>
                  <a:srgbClr val="0070C0"/>
                </a:solidFill>
                <a:latin typeface="Arial" panose="020B0604020202020204" pitchFamily="34" charset="0"/>
                <a:ea typeface="+mn-ea"/>
                <a:cs typeface="Arial" panose="020B0604020202020204" pitchFamily="34" charset="0"/>
              </a:defRPr>
            </a:pPr>
            <a:endParaRPr lang="en-US"/>
          </a:p>
        </c:txPr>
        <c:crossAx val="724415951"/>
        <c:crosses val="autoZero"/>
        <c:auto val="1"/>
        <c:lblAlgn val="ctr"/>
        <c:lblOffset val="100"/>
        <c:noMultiLvlLbl val="0"/>
      </c:catAx>
      <c:valAx>
        <c:axId val="7244159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000" b="0" i="0" u="none" strike="noStrike" kern="1200" spc="0" baseline="0">
                    <a:solidFill>
                      <a:srgbClr val="0070C0"/>
                    </a:solidFill>
                    <a:latin typeface="Arial" panose="020B0604020202020204" pitchFamily="34" charset="0"/>
                    <a:ea typeface="+mn-ea"/>
                    <a:cs typeface="Arial" panose="020B0604020202020204" pitchFamily="34" charset="0"/>
                  </a:defRPr>
                </a:pPr>
                <a:r>
                  <a:rPr lang="en-IN" sz="1000" b="0"/>
                  <a:t>Average</a:t>
                </a:r>
                <a:r>
                  <a:rPr lang="en-IN" sz="1000" b="0" baseline="0"/>
                  <a:t> charges</a:t>
                </a:r>
                <a:endParaRPr lang="en-IN" sz="1000" b="0"/>
              </a:p>
            </c:rich>
          </c:tx>
          <c:overlay val="0"/>
          <c:spPr>
            <a:noFill/>
            <a:ln>
              <a:noFill/>
            </a:ln>
            <a:effectLst/>
          </c:spPr>
          <c:txPr>
            <a:bodyPr rot="-5400000" spcFirstLastPara="1" vertOverflow="ellipsis" vert="horz" wrap="square" anchor="ctr" anchorCtr="1"/>
            <a:lstStyle/>
            <a:p>
              <a:pPr>
                <a:defRPr lang="en-US" sz="1000" b="0" i="0" u="none" strike="noStrike" kern="1200" spc="0" baseline="0">
                  <a:solidFill>
                    <a:srgbClr val="0070C0"/>
                  </a:solidFill>
                  <a:latin typeface="Arial" panose="020B0604020202020204" pitchFamily="34" charset="0"/>
                  <a:ea typeface="+mn-ea"/>
                  <a:cs typeface="Arial" panose="020B0604020202020204" pitchFamily="34" charset="0"/>
                </a:defRPr>
              </a:pPr>
              <a:endParaRPr lang="en-IN"/>
            </a:p>
          </c:txPr>
        </c:title>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lang="en-US" sz="1200" b="0" i="0" u="none" strike="noStrike" kern="1200" spc="0" baseline="0">
                <a:solidFill>
                  <a:srgbClr val="0070C0"/>
                </a:solidFill>
                <a:latin typeface="Arial" panose="020B0604020202020204" pitchFamily="34" charset="0"/>
                <a:ea typeface="+mn-ea"/>
                <a:cs typeface="Arial" panose="020B0604020202020204" pitchFamily="34" charset="0"/>
              </a:defRPr>
            </a:pPr>
            <a:endParaRPr lang="en-US"/>
          </a:p>
        </c:txPr>
        <c:crossAx val="724402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200" b="0" i="0" u="none" strike="noStrike" kern="1200" spc="0" baseline="0">
              <a:solidFill>
                <a:srgbClr val="0070C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rtl="0">
        <a:defRPr lang="en-US" sz="1200" b="0" i="0" u="none" strike="noStrike" kern="1200" spc="0" baseline="0">
          <a:solidFill>
            <a:srgbClr val="0070C0"/>
          </a:solidFill>
          <a:latin typeface="Arial" panose="020B0604020202020204" pitchFamily="34" charset="0"/>
          <a:ea typeface="+mn-ea"/>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[healthcare_insurance_dashboard.xlsx]KPI and Pivot!PivotTable8</c:name>
    <c:fmtId val="11"/>
  </c:pivotSource>
  <c:chart>
    <c:title>
      <c:tx>
        <c:rich>
          <a:bodyPr rot="0" spcFirstLastPara="1" vertOverflow="ellipsis" vert="horz" wrap="square" anchor="ctr" anchorCtr="1"/>
          <a:lstStyle/>
          <a:p>
            <a:pPr algn="ctr" rtl="0">
              <a:defRPr lang="en-US" sz="1200" b="1" i="0" u="none" strike="noStrike" kern="1200" spc="0" baseline="0">
                <a:solidFill>
                  <a:srgbClr val="0070C0"/>
                </a:solidFill>
                <a:latin typeface="Arial" panose="020B0604020202020204" pitchFamily="34" charset="0"/>
                <a:ea typeface="+mn-ea"/>
                <a:cs typeface="Arial" panose="020B0604020202020204" pitchFamily="34" charset="0"/>
              </a:defRPr>
            </a:pPr>
            <a:r>
              <a:rPr lang="en-US" sz="1200" b="1" i="0" u="none" strike="noStrike" kern="1200" spc="0" baseline="0">
                <a:solidFill>
                  <a:srgbClr val="0070C0"/>
                </a:solidFill>
                <a:latin typeface="Arial" panose="020B0604020202020204" pitchFamily="34" charset="0"/>
                <a:ea typeface="+mn-ea"/>
                <a:cs typeface="Arial" panose="020B0604020202020204" pitchFamily="34" charset="0"/>
              </a:rPr>
              <a:t>Average charges by smoking status</a:t>
            </a: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rgbClr val="0070C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dLbl>
          <c:idx val="0"/>
          <c:layout>
            <c:manualLayout>
              <c:x val="3.6231884057970351E-3"/>
              <c:y val="9.9650570787085356E-3"/>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layout>
            <c:manualLayout>
              <c:x val="0"/>
              <c:y val="-5.0951838851468869E-3"/>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0"/>
              <c:y val="-5.0951838851468869E-3"/>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a:noFill/>
          </a:ln>
          <a:effectLst/>
        </c:spPr>
        <c:dLbl>
          <c:idx val="0"/>
          <c:layout>
            <c:manualLayout>
              <c:x val="3.6231884057970351E-3"/>
              <c:y val="9.9650570787085356E-3"/>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200" b="0" i="0" u="none" strike="noStrike" kern="1200" spc="0" baseline="0">
                  <a:solidFill>
                    <a:srgbClr val="0070C0"/>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dLbl>
          <c:idx val="0"/>
          <c:layout>
            <c:manualLayout>
              <c:x val="2.6365970044521111E-2"/>
              <c:y val="-5.0951838851468869E-3"/>
            </c:manualLayout>
          </c:layout>
          <c:spPr>
            <a:noFill/>
            <a:ln>
              <a:noFill/>
            </a:ln>
            <a:effectLst/>
          </c:spPr>
          <c:txPr>
            <a:bodyPr rot="0" spcFirstLastPara="1" vertOverflow="ellipsis" vert="horz" wrap="square" anchor="ctr" anchorCtr="1"/>
            <a:lstStyle/>
            <a:p>
              <a:pPr>
                <a:defRPr lang="en-US" sz="1200" b="0" i="0" u="none" strike="noStrike" kern="1200" spc="0" baseline="0">
                  <a:solidFill>
                    <a:srgbClr val="0070C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848265918454412"/>
                  <c:h val="0.21509067752661604"/>
                </c:manualLayout>
              </c15:layout>
            </c:ext>
          </c:extLst>
        </c:dLbl>
      </c:pivotFmt>
      <c:pivotFmt>
        <c:idx val="10"/>
        <c:spPr>
          <a:solidFill>
            <a:srgbClr val="00B050"/>
          </a:solidFill>
          <a:ln>
            <a:noFill/>
          </a:ln>
          <a:effectLst/>
        </c:spPr>
        <c:dLbl>
          <c:idx val="0"/>
          <c:layout>
            <c:manualLayout>
              <c:x val="3.3284961120574427E-2"/>
              <c:y val="8.7448903328147407E-2"/>
            </c:manualLayout>
          </c:layout>
          <c:spPr>
            <a:noFill/>
            <a:ln>
              <a:noFill/>
            </a:ln>
            <a:effectLst/>
          </c:spPr>
          <c:txPr>
            <a:bodyPr rot="0" spcFirstLastPara="1" vertOverflow="ellipsis" vert="horz" wrap="square" anchor="ctr" anchorCtr="1"/>
            <a:lstStyle/>
            <a:p>
              <a:pPr>
                <a:defRPr lang="en-US" sz="1200" b="0" i="0" u="none" strike="noStrike" kern="1200" spc="0" baseline="0">
                  <a:solidFill>
                    <a:srgbClr val="0070C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507415169567443"/>
                  <c:h val="0.21509067752661604"/>
                </c:manualLayout>
              </c15:layout>
            </c:ext>
          </c:extLst>
        </c:dLbl>
      </c:pivotFmt>
      <c:pivotFmt>
        <c:idx val="11"/>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and Pivot'!$B$21</c:f>
              <c:strCache>
                <c:ptCount val="1"/>
                <c:pt idx="0">
                  <c:v>Total</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E296-458C-90D2-AC518706B04F}"/>
              </c:ext>
            </c:extLst>
          </c:dPt>
          <c:dPt>
            <c:idx val="1"/>
            <c:invertIfNegative val="0"/>
            <c:bubble3D val="0"/>
            <c:spPr>
              <a:solidFill>
                <a:srgbClr val="00B050"/>
              </a:solidFill>
              <a:ln>
                <a:noFill/>
              </a:ln>
              <a:effectLst/>
            </c:spPr>
            <c:extLst>
              <c:ext xmlns:c16="http://schemas.microsoft.com/office/drawing/2014/chart" uri="{C3380CC4-5D6E-409C-BE32-E72D297353CC}">
                <c16:uniqueId val="{00000003-E296-458C-90D2-AC518706B04F}"/>
              </c:ext>
            </c:extLst>
          </c:dPt>
          <c:dLbls>
            <c:dLbl>
              <c:idx val="0"/>
              <c:layout>
                <c:manualLayout>
                  <c:x val="2.6365970044521111E-2"/>
                  <c:y val="-5.0951838851468869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4848265918454412"/>
                      <c:h val="0.21509067752661604"/>
                    </c:manualLayout>
                  </c15:layout>
                </c:ext>
                <c:ext xmlns:c16="http://schemas.microsoft.com/office/drawing/2014/chart" uri="{C3380CC4-5D6E-409C-BE32-E72D297353CC}">
                  <c16:uniqueId val="{00000001-E296-458C-90D2-AC518706B04F}"/>
                </c:ext>
              </c:extLst>
            </c:dLbl>
            <c:dLbl>
              <c:idx val="1"/>
              <c:layout>
                <c:manualLayout>
                  <c:x val="3.3284961120574427E-2"/>
                  <c:y val="8.7448903328147407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5507415169567443"/>
                      <c:h val="0.21509067752661604"/>
                    </c:manualLayout>
                  </c15:layout>
                </c:ext>
                <c:ext xmlns:c16="http://schemas.microsoft.com/office/drawing/2014/chart" uri="{C3380CC4-5D6E-409C-BE32-E72D297353CC}">
                  <c16:uniqueId val="{00000003-E296-458C-90D2-AC518706B04F}"/>
                </c:ext>
              </c:extLst>
            </c:dLbl>
            <c:spPr>
              <a:noFill/>
              <a:ln>
                <a:noFill/>
              </a:ln>
              <a:effectLst/>
            </c:spPr>
            <c:txPr>
              <a:bodyPr rot="0" spcFirstLastPara="1" vertOverflow="ellipsis" vert="horz" wrap="square" anchor="ctr" anchorCtr="1"/>
              <a:lstStyle/>
              <a:p>
                <a:pPr>
                  <a:defRPr lang="en-US" sz="1200" b="0" i="0" u="none" strike="noStrike" kern="1200" spc="0" baseline="0">
                    <a:solidFill>
                      <a:srgbClr val="0070C0"/>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and Pivot'!$A$22:$A$25</c:f>
              <c:strCache>
                <c:ptCount val="3"/>
                <c:pt idx="0">
                  <c:v>No</c:v>
                </c:pt>
                <c:pt idx="1">
                  <c:v>Yes</c:v>
                </c:pt>
                <c:pt idx="2">
                  <c:v>(blank)</c:v>
                </c:pt>
              </c:strCache>
            </c:strRef>
          </c:cat>
          <c:val>
            <c:numRef>
              <c:f>'KPI and Pivot'!$B$22:$B$25</c:f>
              <c:numCache>
                <c:formatCode>_-[$$-409]* #,##0.00_ ;_-[$$-409]* \-#,##0.00\ ;_-[$$-409]* "-"??_ ;_-@_ </c:formatCode>
                <c:ptCount val="3"/>
                <c:pt idx="0">
                  <c:v>13128.955424213547</c:v>
                </c:pt>
                <c:pt idx="1">
                  <c:v>13861.700042773724</c:v>
                </c:pt>
              </c:numCache>
            </c:numRef>
          </c:val>
          <c:extLst>
            <c:ext xmlns:c16="http://schemas.microsoft.com/office/drawing/2014/chart" uri="{C3380CC4-5D6E-409C-BE32-E72D297353CC}">
              <c16:uniqueId val="{00000004-E296-458C-90D2-AC518706B04F}"/>
            </c:ext>
          </c:extLst>
        </c:ser>
        <c:dLbls>
          <c:showLegendKey val="0"/>
          <c:showVal val="0"/>
          <c:showCatName val="0"/>
          <c:showSerName val="0"/>
          <c:showPercent val="0"/>
          <c:showBubbleSize val="0"/>
        </c:dLbls>
        <c:gapWidth val="219"/>
        <c:overlap val="-27"/>
        <c:axId val="724461551"/>
        <c:axId val="724460591"/>
      </c:barChart>
      <c:catAx>
        <c:axId val="724461551"/>
        <c:scaling>
          <c:orientation val="minMax"/>
        </c:scaling>
        <c:delete val="0"/>
        <c:axPos val="b"/>
        <c:title>
          <c:tx>
            <c:rich>
              <a:bodyPr rot="0" spcFirstLastPara="1" vertOverflow="ellipsis" vert="horz" wrap="square" anchor="ctr" anchorCtr="1"/>
              <a:lstStyle/>
              <a:p>
                <a:pPr>
                  <a:defRPr lang="en-US" sz="1200" b="0" i="0" u="none" strike="noStrike" kern="1200" spc="0" baseline="0">
                    <a:solidFill>
                      <a:srgbClr val="0070C0"/>
                    </a:solidFill>
                    <a:latin typeface="Arial" panose="020B0604020202020204" pitchFamily="34" charset="0"/>
                    <a:ea typeface="+mn-ea"/>
                    <a:cs typeface="Arial" panose="020B0604020202020204" pitchFamily="34" charset="0"/>
                  </a:defRPr>
                </a:pPr>
                <a:r>
                  <a:rPr lang="en-IN"/>
                  <a:t>smoking status</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rgbClr val="0070C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0" i="0" u="none" strike="noStrike" kern="1200" spc="0" baseline="0">
                <a:solidFill>
                  <a:srgbClr val="0070C0"/>
                </a:solidFill>
                <a:latin typeface="Arial" panose="020B0604020202020204" pitchFamily="34" charset="0"/>
                <a:ea typeface="+mn-ea"/>
                <a:cs typeface="Arial" panose="020B0604020202020204" pitchFamily="34" charset="0"/>
              </a:defRPr>
            </a:pPr>
            <a:endParaRPr lang="en-US"/>
          </a:p>
        </c:txPr>
        <c:crossAx val="724460591"/>
        <c:crosses val="autoZero"/>
        <c:auto val="1"/>
        <c:lblAlgn val="ctr"/>
        <c:lblOffset val="100"/>
        <c:noMultiLvlLbl val="0"/>
      </c:catAx>
      <c:valAx>
        <c:axId val="7244605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lang="en-IN" sz="1000" b="0" i="0" u="none" strike="noStrike" kern="1200" spc="0" baseline="0">
                    <a:solidFill>
                      <a:srgbClr val="0070C0"/>
                    </a:solidFill>
                    <a:latin typeface="Arial" panose="020B0604020202020204" pitchFamily="34" charset="0"/>
                    <a:ea typeface="+mn-ea"/>
                    <a:cs typeface="Arial" panose="020B0604020202020204" pitchFamily="34" charset="0"/>
                  </a:defRPr>
                </a:pPr>
                <a:r>
                  <a:rPr lang="en-IN" sz="1000" b="0" i="0" u="none" strike="noStrike" kern="1200" spc="0" baseline="0">
                    <a:solidFill>
                      <a:srgbClr val="0070C0"/>
                    </a:solidFill>
                    <a:latin typeface="Arial" panose="020B0604020202020204" pitchFamily="34" charset="0"/>
                    <a:ea typeface="+mn-ea"/>
                    <a:cs typeface="Arial" panose="020B0604020202020204" pitchFamily="34" charset="0"/>
                  </a:rPr>
                  <a:t>Average charges</a:t>
                </a:r>
              </a:p>
            </c:rich>
          </c:tx>
          <c:overlay val="0"/>
          <c:spPr>
            <a:noFill/>
            <a:ln>
              <a:noFill/>
            </a:ln>
            <a:effectLst/>
          </c:spPr>
          <c:txPr>
            <a:bodyPr rot="-5400000" spcFirstLastPara="1" vertOverflow="ellipsis" vert="horz" wrap="square" anchor="ctr" anchorCtr="1"/>
            <a:lstStyle/>
            <a:p>
              <a:pPr algn="ctr" rtl="0">
                <a:defRPr lang="en-IN" sz="1000" b="0" i="0" u="none" strike="noStrike" kern="1200" spc="0" baseline="0">
                  <a:solidFill>
                    <a:srgbClr val="0070C0"/>
                  </a:solidFill>
                  <a:latin typeface="Arial" panose="020B0604020202020204" pitchFamily="34" charset="0"/>
                  <a:ea typeface="+mn-ea"/>
                  <a:cs typeface="Arial" panose="020B0604020202020204" pitchFamily="34" charset="0"/>
                </a:defRPr>
              </a:pPr>
              <a:endParaRPr lang="en-US"/>
            </a:p>
          </c:txPr>
        </c:title>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lang="en-US" sz="1200" b="0" i="0" u="none" strike="noStrike" kern="1200" spc="0" baseline="0">
                <a:solidFill>
                  <a:srgbClr val="0070C0"/>
                </a:solidFill>
                <a:latin typeface="Arial" panose="020B0604020202020204" pitchFamily="34" charset="0"/>
                <a:ea typeface="+mn-ea"/>
                <a:cs typeface="Arial" panose="020B0604020202020204" pitchFamily="34" charset="0"/>
              </a:defRPr>
            </a:pPr>
            <a:endParaRPr lang="en-US"/>
          </a:p>
        </c:txPr>
        <c:crossAx val="724461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200" b="0" i="0" u="none" strike="noStrike" kern="1200" spc="0" baseline="0">
              <a:solidFill>
                <a:srgbClr val="0070C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1200" b="0" i="0" u="none" strike="noStrike" kern="1200" spc="0" baseline="0">
          <a:solidFill>
            <a:srgbClr val="0070C0"/>
          </a:solidFill>
          <a:latin typeface="Arial" panose="020B0604020202020204" pitchFamily="34" charset="0"/>
          <a:ea typeface="+mn-ea"/>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[healthcare_insurance_dashboard.xlsx]Sheet17!PivotTable19</c:name>
    <c:fmtId val="13"/>
  </c:pivotSource>
  <c:chart>
    <c:title>
      <c:tx>
        <c:rich>
          <a:bodyPr rot="0" spcFirstLastPara="1" vertOverflow="ellipsis" vert="horz" wrap="square" anchor="ctr" anchorCtr="1"/>
          <a:lstStyle/>
          <a:p>
            <a:pPr algn="ctr" rtl="0">
              <a:defRPr lang="en-US" sz="1200" b="1" i="0" u="none" strike="noStrike" kern="1200" spc="0" baseline="0">
                <a:solidFill>
                  <a:srgbClr val="0070C0"/>
                </a:solidFill>
                <a:latin typeface="Arial" panose="020B0604020202020204" pitchFamily="34" charset="0"/>
                <a:ea typeface="+mn-ea"/>
                <a:cs typeface="Arial" panose="020B0604020202020204" pitchFamily="34" charset="0"/>
              </a:defRPr>
            </a:pPr>
            <a:r>
              <a:rPr lang="en-US" sz="1200" b="1" i="0" u="none" strike="noStrike" kern="1200" spc="0" baseline="0">
                <a:solidFill>
                  <a:srgbClr val="0070C0"/>
                </a:solidFill>
                <a:latin typeface="Arial" panose="020B0604020202020204" pitchFamily="34" charset="0"/>
                <a:ea typeface="+mn-ea"/>
                <a:cs typeface="Arial" panose="020B0604020202020204" pitchFamily="34" charset="0"/>
              </a:rPr>
              <a:t>Average charges by BMI category</a:t>
            </a: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rgbClr val="0070C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dLbl>
          <c:idx val="0"/>
          <c:layout>
            <c:manualLayout>
              <c:x val="-2.7777777777777779E-3"/>
              <c:y val="9.1899970836978283E-3"/>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dLbl>
          <c:idx val="0"/>
          <c:layout>
            <c:manualLayout>
              <c:x val="0"/>
              <c:y val="4.5603674540682414E-3"/>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dLbl>
          <c:idx val="0"/>
          <c:layout>
            <c:manualLayout>
              <c:x val="0"/>
              <c:y val="6.3754009915426386E-3"/>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dLbl>
          <c:idx val="0"/>
          <c:layout>
            <c:manualLayout>
              <c:x val="0"/>
              <c:y val="1.2014435695537973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dLbl>
          <c:idx val="0"/>
          <c:layout>
            <c:manualLayout>
              <c:x val="-2.7777777777777779E-3"/>
              <c:y val="9.1899970836978283E-3"/>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dLbl>
          <c:idx val="0"/>
          <c:layout>
            <c:manualLayout>
              <c:x val="0"/>
              <c:y val="4.5603674540682414E-3"/>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dLbl>
          <c:idx val="0"/>
          <c:layout>
            <c:manualLayout>
              <c:x val="0"/>
              <c:y val="6.3754009915426386E-3"/>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dLbl>
          <c:idx val="0"/>
          <c:layout>
            <c:manualLayout>
              <c:x val="0"/>
              <c:y val="1.2014435695537973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dLbl>
          <c:idx val="0"/>
          <c:layout>
            <c:manualLayout>
              <c:x val="-2.7777777777777779E-3"/>
              <c:y val="9.1899970836978283E-3"/>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dLbl>
          <c:idx val="0"/>
          <c:layout>
            <c:manualLayout>
              <c:x val="0"/>
              <c:y val="4.5603674540682414E-3"/>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dLbl>
          <c:idx val="0"/>
          <c:layout>
            <c:manualLayout>
              <c:x val="0"/>
              <c:y val="6.3754009915426386E-3"/>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dLbl>
          <c:idx val="0"/>
          <c:layout>
            <c:manualLayout>
              <c:x val="0"/>
              <c:y val="1.2014435695537973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solidFill>
          <a:ln>
            <a:noFill/>
          </a:ln>
          <a:effectLst/>
        </c:spPr>
        <c:dLbl>
          <c:idx val="0"/>
          <c:layout>
            <c:manualLayout>
              <c:x val="-2.7777777777777779E-3"/>
              <c:y val="9.1899970836978283E-3"/>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solidFill>
          <a:ln>
            <a:noFill/>
          </a:ln>
          <a:effectLst/>
        </c:spPr>
        <c:dLbl>
          <c:idx val="0"/>
          <c:layout>
            <c:manualLayout>
              <c:x val="0"/>
              <c:y val="4.5603674540682414E-3"/>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0"/>
              <c:y val="6.3754009915426386E-3"/>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solidFill>
          <a:ln>
            <a:noFill/>
          </a:ln>
          <a:effectLst/>
        </c:spPr>
        <c:dLbl>
          <c:idx val="0"/>
          <c:layout>
            <c:manualLayout>
              <c:x val="0"/>
              <c:y val="1.2014435695537973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spc="0" baseline="0">
                  <a:solidFill>
                    <a:srgbClr val="0070C0"/>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lumMod val="75000"/>
            </a:schemeClr>
          </a:solidFill>
          <a:ln>
            <a:noFill/>
          </a:ln>
          <a:effectLst/>
        </c:spPr>
        <c:dLbl>
          <c:idx val="0"/>
          <c:layout>
            <c:manualLayout>
              <c:x val="-2.7777777777777779E-3"/>
              <c:y val="9.1899970836978283E-3"/>
            </c:manualLayout>
          </c:layout>
          <c:spPr>
            <a:noFill/>
            <a:ln>
              <a:noFill/>
            </a:ln>
            <a:effectLst/>
          </c:spPr>
          <c:txPr>
            <a:bodyPr rot="0" spcFirstLastPara="1" vertOverflow="ellipsis" vert="horz" wrap="square" anchor="ctr" anchorCtr="1"/>
            <a:lstStyle/>
            <a:p>
              <a:pPr>
                <a:defRPr lang="en-US" sz="1000" b="0" i="0" u="none" strike="noStrike" kern="1200" spc="0" baseline="0">
                  <a:solidFill>
                    <a:srgbClr val="0070C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dLbl>
          <c:idx val="0"/>
          <c:layout>
            <c:manualLayout>
              <c:x val="0"/>
              <c:y val="4.5603674540682414E-3"/>
            </c:manualLayout>
          </c:layout>
          <c:spPr>
            <a:noFill/>
            <a:ln>
              <a:noFill/>
            </a:ln>
            <a:effectLst/>
          </c:spPr>
          <c:txPr>
            <a:bodyPr rot="0" spcFirstLastPara="1" vertOverflow="ellipsis" vert="horz" wrap="square" anchor="ctr" anchorCtr="1"/>
            <a:lstStyle/>
            <a:p>
              <a:pPr>
                <a:defRPr lang="en-US" sz="1000" b="0" i="0" u="none" strike="noStrike" kern="1200" spc="0" baseline="0">
                  <a:solidFill>
                    <a:srgbClr val="0070C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lumMod val="75000"/>
            </a:schemeClr>
          </a:solidFill>
          <a:ln>
            <a:noFill/>
          </a:ln>
          <a:effectLst/>
        </c:spPr>
        <c:dLbl>
          <c:idx val="0"/>
          <c:layout>
            <c:manualLayout>
              <c:x val="0"/>
              <c:y val="6.3754009915426386E-3"/>
            </c:manualLayout>
          </c:layout>
          <c:spPr>
            <a:noFill/>
            <a:ln>
              <a:noFill/>
            </a:ln>
            <a:effectLst/>
          </c:spPr>
          <c:txPr>
            <a:bodyPr rot="0" spcFirstLastPara="1" vertOverflow="ellipsis" vert="horz" wrap="square" anchor="ctr" anchorCtr="1"/>
            <a:lstStyle/>
            <a:p>
              <a:pPr>
                <a:defRPr lang="en-US" sz="1000" b="0" i="0" u="none" strike="noStrike" kern="1200" spc="0" baseline="0">
                  <a:solidFill>
                    <a:srgbClr val="0070C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lumMod val="75000"/>
            </a:schemeClr>
          </a:solidFill>
          <a:ln>
            <a:noFill/>
          </a:ln>
          <a:effectLst/>
        </c:spPr>
        <c:dLbl>
          <c:idx val="0"/>
          <c:layout>
            <c:manualLayout>
              <c:x val="1.3170585002125961E-2"/>
              <c:y val="1.2014581617400323E-2"/>
            </c:manualLayout>
          </c:layout>
          <c:spPr>
            <a:noFill/>
            <a:ln>
              <a:noFill/>
            </a:ln>
            <a:effectLst/>
          </c:spPr>
          <c:txPr>
            <a:bodyPr rot="0" spcFirstLastPara="1" vertOverflow="ellipsis" vert="horz" wrap="square" anchor="ctr" anchorCtr="1"/>
            <a:lstStyle/>
            <a:p>
              <a:pPr>
                <a:defRPr lang="en-US" sz="1000" b="0" i="0" u="none" strike="noStrike" kern="1200" spc="0" baseline="0">
                  <a:solidFill>
                    <a:srgbClr val="0070C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Sheet17!$B$3</c:f>
              <c:strCache>
                <c:ptCount val="1"/>
                <c:pt idx="0">
                  <c:v>Total</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1-0FF1-417C-B13A-84A880CD041F}"/>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0FF1-417C-B13A-84A880CD041F}"/>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5-0FF1-417C-B13A-84A880CD041F}"/>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7-0FF1-417C-B13A-84A880CD041F}"/>
              </c:ext>
            </c:extLst>
          </c:dPt>
          <c:dLbls>
            <c:dLbl>
              <c:idx val="0"/>
              <c:layout>
                <c:manualLayout>
                  <c:x val="-2.7777777777777779E-3"/>
                  <c:y val="9.189997083697828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FF1-417C-B13A-84A880CD041F}"/>
                </c:ext>
              </c:extLst>
            </c:dLbl>
            <c:dLbl>
              <c:idx val="1"/>
              <c:layout>
                <c:manualLayout>
                  <c:x val="0"/>
                  <c:y val="4.560367454068241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FF1-417C-B13A-84A880CD041F}"/>
                </c:ext>
              </c:extLst>
            </c:dLbl>
            <c:dLbl>
              <c:idx val="2"/>
              <c:layout>
                <c:manualLayout>
                  <c:x val="0"/>
                  <c:y val="6.375400991542638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FF1-417C-B13A-84A880CD041F}"/>
                </c:ext>
              </c:extLst>
            </c:dLbl>
            <c:dLbl>
              <c:idx val="3"/>
              <c:layout>
                <c:manualLayout>
                  <c:x val="1.3170585002125961E-2"/>
                  <c:y val="1.201458161740032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FF1-417C-B13A-84A880CD041F}"/>
                </c:ext>
              </c:extLst>
            </c:dLbl>
            <c:spPr>
              <a:noFill/>
              <a:ln>
                <a:noFill/>
              </a:ln>
              <a:effectLst/>
            </c:spPr>
            <c:txPr>
              <a:bodyPr rot="0" spcFirstLastPara="1" vertOverflow="ellipsis" vert="horz" wrap="square" anchor="ctr" anchorCtr="1"/>
              <a:lstStyle/>
              <a:p>
                <a:pPr>
                  <a:defRPr lang="en-US" sz="1000" b="0" i="0" u="none" strike="noStrike" kern="1200" spc="0" baseline="0">
                    <a:solidFill>
                      <a:srgbClr val="0070C0"/>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Sheet17!$A$4:$A$8</c:f>
              <c:strCache>
                <c:ptCount val="4"/>
                <c:pt idx="0">
                  <c:v>Obese</c:v>
                </c:pt>
                <c:pt idx="1">
                  <c:v>Overweight</c:v>
                </c:pt>
                <c:pt idx="2">
                  <c:v>Normal</c:v>
                </c:pt>
                <c:pt idx="3">
                  <c:v>Underweight</c:v>
                </c:pt>
              </c:strCache>
            </c:strRef>
          </c:cat>
          <c:val>
            <c:numRef>
              <c:f>Sheet17!$B$4:$B$8</c:f>
              <c:numCache>
                <c:formatCode>_-[$$-409]* #,##0.00_ ;_-[$$-409]* \-#,##0.00\ ;_-[$$-409]* "-"??_ ;_-@_ </c:formatCode>
                <c:ptCount val="4"/>
                <c:pt idx="0">
                  <c:v>20964.187893541082</c:v>
                </c:pt>
                <c:pt idx="1">
                  <c:v>6162.731749919687</c:v>
                </c:pt>
                <c:pt idx="2">
                  <c:v>2447.0473602222219</c:v>
                </c:pt>
                <c:pt idx="3">
                  <c:v>1203.4331649999999</c:v>
                </c:pt>
              </c:numCache>
            </c:numRef>
          </c:val>
          <c:extLst>
            <c:ext xmlns:c16="http://schemas.microsoft.com/office/drawing/2014/chart" uri="{C3380CC4-5D6E-409C-BE32-E72D297353CC}">
              <c16:uniqueId val="{00000008-0FF1-417C-B13A-84A880CD041F}"/>
            </c:ext>
          </c:extLst>
        </c:ser>
        <c:dLbls>
          <c:dLblPos val="inEnd"/>
          <c:showLegendKey val="0"/>
          <c:showVal val="1"/>
          <c:showCatName val="0"/>
          <c:showSerName val="0"/>
          <c:showPercent val="0"/>
          <c:showBubbleSize val="0"/>
        </c:dLbls>
        <c:gapWidth val="150"/>
        <c:axId val="848701359"/>
        <c:axId val="848702799"/>
      </c:barChart>
      <c:catAx>
        <c:axId val="848701359"/>
        <c:scaling>
          <c:orientation val="minMax"/>
        </c:scaling>
        <c:delete val="0"/>
        <c:axPos val="b"/>
        <c:title>
          <c:tx>
            <c:rich>
              <a:bodyPr rot="0" spcFirstLastPara="1" vertOverflow="ellipsis" vert="horz" wrap="square" anchor="ctr" anchorCtr="1"/>
              <a:lstStyle/>
              <a:p>
                <a:pPr algn="ctr" rtl="0">
                  <a:defRPr lang="en-US" sz="1000" b="0" i="0" u="none" strike="noStrike" kern="1200" spc="0" baseline="0">
                    <a:solidFill>
                      <a:srgbClr val="0070C0"/>
                    </a:solidFill>
                    <a:latin typeface="Arial" panose="020B0604020202020204" pitchFamily="34" charset="0"/>
                    <a:ea typeface="+mn-ea"/>
                    <a:cs typeface="Arial" panose="020B0604020202020204" pitchFamily="34" charset="0"/>
                  </a:defRPr>
                </a:pPr>
                <a:r>
                  <a:rPr lang="en-US"/>
                  <a:t>BMI Category</a:t>
                </a:r>
              </a:p>
            </c:rich>
          </c:tx>
          <c:overlay val="0"/>
          <c:spPr>
            <a:noFill/>
            <a:ln>
              <a:noFill/>
            </a:ln>
            <a:effectLst/>
          </c:spPr>
          <c:txPr>
            <a:bodyPr rot="0" spcFirstLastPara="1" vertOverflow="ellipsis" vert="horz" wrap="square" anchor="ctr" anchorCtr="1"/>
            <a:lstStyle/>
            <a:p>
              <a:pPr algn="ctr" rtl="0">
                <a:defRPr lang="en-US" sz="1000" b="0" i="0" u="none" strike="noStrike" kern="1200" spc="0" baseline="0">
                  <a:solidFill>
                    <a:srgbClr val="0070C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spc="0" baseline="0">
                <a:solidFill>
                  <a:srgbClr val="0070C0"/>
                </a:solidFill>
                <a:latin typeface="Arial" panose="020B0604020202020204" pitchFamily="34" charset="0"/>
                <a:ea typeface="+mn-ea"/>
                <a:cs typeface="Arial" panose="020B0604020202020204" pitchFamily="34" charset="0"/>
              </a:defRPr>
            </a:pPr>
            <a:endParaRPr lang="en-US"/>
          </a:p>
        </c:txPr>
        <c:crossAx val="848702799"/>
        <c:crosses val="autoZero"/>
        <c:auto val="1"/>
        <c:lblAlgn val="ctr"/>
        <c:lblOffset val="100"/>
        <c:noMultiLvlLbl val="0"/>
      </c:catAx>
      <c:valAx>
        <c:axId val="848702799"/>
        <c:scaling>
          <c:orientation val="minMax"/>
          <c:max val="3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000" b="0" i="0" u="none" strike="noStrike" kern="1200" spc="0" baseline="0">
                    <a:solidFill>
                      <a:srgbClr val="0070C0"/>
                    </a:solidFill>
                    <a:latin typeface="Arial" panose="020B0604020202020204" pitchFamily="34" charset="0"/>
                    <a:ea typeface="+mn-ea"/>
                    <a:cs typeface="Arial" panose="020B0604020202020204" pitchFamily="34" charset="0"/>
                  </a:defRPr>
                </a:pPr>
                <a:r>
                  <a:rPr lang="en-IN"/>
                  <a:t>Average charges</a:t>
                </a:r>
              </a:p>
            </c:rich>
          </c:tx>
          <c:overlay val="0"/>
          <c:spPr>
            <a:noFill/>
            <a:ln>
              <a:noFill/>
            </a:ln>
            <a:effectLst/>
          </c:spPr>
          <c:txPr>
            <a:bodyPr rot="-5400000" spcFirstLastPara="1" vertOverflow="ellipsis" vert="horz" wrap="square" anchor="ctr" anchorCtr="1"/>
            <a:lstStyle/>
            <a:p>
              <a:pPr>
                <a:defRPr lang="en-US" sz="1000" b="0" i="0" u="none" strike="noStrike" kern="1200" spc="0" baseline="0">
                  <a:solidFill>
                    <a:srgbClr val="0070C0"/>
                  </a:solidFill>
                  <a:latin typeface="Arial" panose="020B0604020202020204" pitchFamily="34" charset="0"/>
                  <a:ea typeface="+mn-ea"/>
                  <a:cs typeface="Arial" panose="020B0604020202020204" pitchFamily="34" charset="0"/>
                </a:defRPr>
              </a:pPr>
              <a:endParaRPr lang="en-IN"/>
            </a:p>
          </c:txPr>
        </c:title>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spc="0" baseline="0">
                <a:solidFill>
                  <a:srgbClr val="0070C0"/>
                </a:solidFill>
                <a:latin typeface="Arial" panose="020B0604020202020204" pitchFamily="34" charset="0"/>
                <a:ea typeface="+mn-ea"/>
                <a:cs typeface="Arial" panose="020B0604020202020204" pitchFamily="34" charset="0"/>
              </a:defRPr>
            </a:pPr>
            <a:endParaRPr lang="en-US"/>
          </a:p>
        </c:txPr>
        <c:crossAx val="848701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spc="0" baseline="0">
              <a:solidFill>
                <a:srgbClr val="0070C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rtl="0">
        <a:defRPr lang="en-US" sz="1000" b="0" i="0" u="none" strike="noStrike" kern="1200" spc="0" baseline="0">
          <a:solidFill>
            <a:srgbClr val="0070C0"/>
          </a:solidFill>
          <a:latin typeface="Arial" panose="020B0604020202020204" pitchFamily="34" charset="0"/>
          <a:ea typeface="+mn-ea"/>
          <a:cs typeface="Arial" panose="020B0604020202020204" pitchFamily="34" charset="0"/>
        </a:defRPr>
      </a:pPr>
      <a:endParaRPr lang="en-US"/>
    </a:p>
  </c:txPr>
  <c:printSettings>
    <c:headerFooter/>
    <c:pageMargins b="0.75" l="0.7" r="0.7" t="0.75" header="0.3" footer="0.3"/>
    <c:pageSetup paperSize="9"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[healthcare_insurance_dashboard.xlsx]KPI and Pivot!PivotTable2</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N" sz="1200" b="1" i="0" u="none" strike="noStrike" baseline="0">
                <a:solidFill>
                  <a:schemeClr val="accent1"/>
                </a:solidFill>
                <a:latin typeface="Arial" panose="020B0604020202020204" pitchFamily="34" charset="0"/>
                <a:cs typeface="Arial" panose="020B0604020202020204" pitchFamily="34" charset="0"/>
              </a:rPr>
              <a:t>Average Charges by Region</a:t>
            </a:r>
            <a:endParaRPr lang="en-US" sz="1200" b="1">
              <a:solidFill>
                <a:schemeClr val="accent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2">
                      <a:lumMod val="50000"/>
                      <a:lumOff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and Pivot'!$B$14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2">
                        <a:lumMod val="50000"/>
                        <a:lumOff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and Pivot'!$A$15:$A$20</c:f>
              <c:strCache>
                <c:ptCount val="5"/>
                <c:pt idx="0">
                  <c:v>Northwest</c:v>
                </c:pt>
                <c:pt idx="1">
                  <c:v>Southwest</c:v>
                </c:pt>
                <c:pt idx="2">
                  <c:v>Northeast</c:v>
                </c:pt>
                <c:pt idx="3">
                  <c:v>Southeast</c:v>
                </c:pt>
                <c:pt idx="4">
                  <c:v>(blank)</c:v>
                </c:pt>
              </c:strCache>
            </c:strRef>
          </c:cat>
          <c:val>
            <c:numRef>
              <c:f>'KPI and Pivot'!$B$15:$B$20</c:f>
              <c:numCache>
                <c:formatCode>[$$-409]#,##0.00</c:formatCode>
                <c:ptCount val="5"/>
                <c:pt idx="0">
                  <c:v>13866.552775648152</c:v>
                </c:pt>
                <c:pt idx="1">
                  <c:v>13468.227644643073</c:v>
                </c:pt>
                <c:pt idx="2">
                  <c:v>13109.351141481478</c:v>
                </c:pt>
                <c:pt idx="3">
                  <c:v>12738.512565934067</c:v>
                </c:pt>
              </c:numCache>
            </c:numRef>
          </c:val>
          <c:extLst>
            <c:ext xmlns:c16="http://schemas.microsoft.com/office/drawing/2014/chart" uri="{C3380CC4-5D6E-409C-BE32-E72D297353CC}">
              <c16:uniqueId val="{00000000-B15A-4A09-A7CF-4EA7755EF293}"/>
            </c:ext>
          </c:extLst>
        </c:ser>
        <c:dLbls>
          <c:dLblPos val="outEnd"/>
          <c:showLegendKey val="0"/>
          <c:showVal val="1"/>
          <c:showCatName val="0"/>
          <c:showSerName val="0"/>
          <c:showPercent val="0"/>
          <c:showBubbleSize val="0"/>
        </c:dLbls>
        <c:gapWidth val="219"/>
        <c:axId val="1544634480"/>
        <c:axId val="724438991"/>
      </c:barChart>
      <c:catAx>
        <c:axId val="1544634480"/>
        <c:scaling>
          <c:orientation val="minMax"/>
        </c:scaling>
        <c:delete val="0"/>
        <c:axPos val="l"/>
        <c:title>
          <c:tx>
            <c:rich>
              <a:bodyPr rot="-5400000" spcFirstLastPara="1" vertOverflow="ellipsis" vert="horz" wrap="square" anchor="ctr" anchorCtr="1"/>
              <a:lstStyle/>
              <a:p>
                <a:pPr algn="ctr" rtl="0">
                  <a:defRPr lang="en-IN" sz="1000" b="0" i="0" u="none" strike="noStrike" kern="1200" spc="0" baseline="0">
                    <a:solidFill>
                      <a:srgbClr val="0070C0"/>
                    </a:solidFill>
                    <a:latin typeface="Arial" panose="020B0604020202020204" pitchFamily="34" charset="0"/>
                    <a:ea typeface="+mn-ea"/>
                    <a:cs typeface="Arial" panose="020B0604020202020204" pitchFamily="34" charset="0"/>
                  </a:defRPr>
                </a:pPr>
                <a:r>
                  <a:rPr lang="en-IN" sz="1000" b="0" i="0" u="none" strike="noStrike" kern="1200" spc="0" baseline="0">
                    <a:solidFill>
                      <a:srgbClr val="0070C0"/>
                    </a:solidFill>
                    <a:latin typeface="Arial" panose="020B0604020202020204" pitchFamily="34" charset="0"/>
                    <a:ea typeface="+mn-ea"/>
                    <a:cs typeface="Arial" panose="020B0604020202020204" pitchFamily="34" charset="0"/>
                  </a:rPr>
                  <a:t>Region</a:t>
                </a:r>
              </a:p>
            </c:rich>
          </c:tx>
          <c:overlay val="0"/>
          <c:spPr>
            <a:noFill/>
            <a:ln>
              <a:noFill/>
            </a:ln>
            <a:effectLst/>
          </c:spPr>
          <c:txPr>
            <a:bodyPr rot="-5400000" spcFirstLastPara="1" vertOverflow="ellipsis" vert="horz" wrap="square" anchor="ctr" anchorCtr="1"/>
            <a:lstStyle/>
            <a:p>
              <a:pPr algn="ctr" rtl="0">
                <a:defRPr lang="en-IN" sz="1000" b="0" i="0" u="none" strike="noStrike" kern="1200" spc="0" baseline="0">
                  <a:solidFill>
                    <a:srgbClr val="0070C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50000"/>
                    <a:lumOff val="50000"/>
                  </a:schemeClr>
                </a:solidFill>
                <a:latin typeface="Arial" panose="020B0604020202020204" pitchFamily="34" charset="0"/>
                <a:ea typeface="+mn-ea"/>
                <a:cs typeface="Arial" panose="020B0604020202020204" pitchFamily="34" charset="0"/>
              </a:defRPr>
            </a:pPr>
            <a:endParaRPr lang="en-US"/>
          </a:p>
        </c:txPr>
        <c:crossAx val="724438991"/>
        <c:crosses val="autoZero"/>
        <c:auto val="1"/>
        <c:lblAlgn val="ctr"/>
        <c:lblOffset val="100"/>
        <c:noMultiLvlLbl val="0"/>
      </c:catAx>
      <c:valAx>
        <c:axId val="7244389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lgn="ctr" rtl="0">
                  <a:defRPr lang="en-IN" sz="1000" b="0" i="0" u="none" strike="noStrike" kern="1200" spc="0" baseline="0">
                    <a:solidFill>
                      <a:srgbClr val="0070C0"/>
                    </a:solidFill>
                    <a:latin typeface="Arial" panose="020B0604020202020204" pitchFamily="34" charset="0"/>
                    <a:ea typeface="+mn-ea"/>
                    <a:cs typeface="Arial" panose="020B0604020202020204" pitchFamily="34" charset="0"/>
                  </a:defRPr>
                </a:pPr>
                <a:r>
                  <a:rPr lang="en-IN" sz="1000" b="0" i="0" u="none" strike="noStrike" kern="1200" spc="0" baseline="0">
                    <a:solidFill>
                      <a:srgbClr val="0070C0"/>
                    </a:solidFill>
                    <a:latin typeface="Arial" panose="020B0604020202020204" pitchFamily="34" charset="0"/>
                    <a:ea typeface="+mn-ea"/>
                    <a:cs typeface="Arial" panose="020B0604020202020204" pitchFamily="34" charset="0"/>
                  </a:rPr>
                  <a:t>Average charges</a:t>
                </a:r>
              </a:p>
            </c:rich>
          </c:tx>
          <c:overlay val="0"/>
          <c:spPr>
            <a:noFill/>
            <a:ln>
              <a:noFill/>
            </a:ln>
            <a:effectLst/>
          </c:spPr>
          <c:txPr>
            <a:bodyPr rot="0" spcFirstLastPara="1" vertOverflow="ellipsis" vert="horz" wrap="square" anchor="ctr" anchorCtr="1"/>
            <a:lstStyle/>
            <a:p>
              <a:pPr algn="ctr" rtl="0">
                <a:defRPr lang="en-IN" sz="1000" b="0" i="0" u="none" strike="noStrike" kern="1200" spc="0" baseline="0">
                  <a:solidFill>
                    <a:srgbClr val="0070C0"/>
                  </a:solidFill>
                  <a:latin typeface="Arial" panose="020B0604020202020204" pitchFamily="34" charset="0"/>
                  <a:ea typeface="+mn-ea"/>
                  <a:cs typeface="Arial" panose="020B0604020202020204" pitchFamily="34" charset="0"/>
                </a:defRPr>
              </a:pPr>
              <a:endParaRPr lang="en-IN"/>
            </a:p>
          </c:txPr>
        </c:title>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1200" b="0" i="0" u="none" strike="noStrike" kern="1200" spc="0" baseline="0">
                <a:solidFill>
                  <a:srgbClr val="0070C0"/>
                </a:solidFill>
                <a:latin typeface="Times New Roman" panose="02020603050405020304" pitchFamily="18" charset="0"/>
                <a:ea typeface="+mn-ea"/>
                <a:cs typeface="Times New Roman" panose="02020603050405020304" pitchFamily="18" charset="0"/>
              </a:defRPr>
            </a:pPr>
            <a:endParaRPr lang="en-US"/>
          </a:p>
        </c:txPr>
        <c:crossAx val="1544634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200" b="0" i="0" u="none" strike="noStrike" kern="1200" spc="0" baseline="0">
                <a:solidFill>
                  <a:srgbClr val="0070C0"/>
                </a:solidFill>
                <a:latin typeface="Times New Roman" panose="02020603050405020304" pitchFamily="18" charset="0"/>
                <a:ea typeface="+mn-ea"/>
                <a:cs typeface="Times New Roman" panose="02020603050405020304" pitchFamily="18" charset="0"/>
              </a:defRPr>
            </a:pPr>
            <a:r>
              <a:rPr lang="en-IN" sz="1200" b="1">
                <a:latin typeface="Arial" panose="020B0604020202020204" pitchFamily="34" charset="0"/>
                <a:cs typeface="Arial" panose="020B0604020202020204" pitchFamily="34" charset="0"/>
              </a:rPr>
              <a:t>Average</a:t>
            </a:r>
            <a:r>
              <a:rPr lang="en-IN" sz="1200" b="1" baseline="0">
                <a:latin typeface="Arial" panose="020B0604020202020204" pitchFamily="34" charset="0"/>
                <a:cs typeface="Arial" panose="020B0604020202020204" pitchFamily="34" charset="0"/>
              </a:rPr>
              <a:t> charges by number of children</a:t>
            </a:r>
            <a:endParaRPr lang="en-IN" sz="1200" b="1">
              <a:latin typeface="Arial" panose="020B0604020202020204" pitchFamily="34" charset="0"/>
              <a:cs typeface="Arial" panose="020B0604020202020204" pitchFamily="34" charset="0"/>
            </a:endParaRPr>
          </a:p>
        </c:rich>
      </c:tx>
      <c:layout>
        <c:manualLayout>
          <c:xMode val="edge"/>
          <c:yMode val="edge"/>
          <c:x val="0.1237528260989765"/>
          <c:y val="3.1950123170308736E-2"/>
        </c:manualLayout>
      </c:layout>
      <c:overlay val="0"/>
      <c:spPr>
        <a:noFill/>
        <a:ln>
          <a:noFill/>
        </a:ln>
        <a:effectLst/>
      </c:spPr>
      <c:txPr>
        <a:bodyPr rot="0" spcFirstLastPara="1" vertOverflow="ellipsis" vert="horz" wrap="square" anchor="ctr" anchorCtr="1"/>
        <a:lstStyle/>
        <a:p>
          <a:pPr algn="ctr" rtl="0">
            <a:defRPr lang="en-US" sz="1200" b="0" i="0" u="none" strike="noStrike" kern="1200" spc="0" baseline="0">
              <a:solidFill>
                <a:srgbClr val="0070C0"/>
              </a:solidFill>
              <a:latin typeface="Times New Roman" panose="02020603050405020304" pitchFamily="18" charset="0"/>
              <a:ea typeface="+mn-ea"/>
              <a:cs typeface="Times New Roman" panose="02020603050405020304" pitchFamily="18" charset="0"/>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spc="0" baseline="0">
                  <a:solidFill>
                    <a:srgbClr val="0070C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lang="en-US" sz="900" b="0" i="0" u="none" strike="noStrike" kern="1200" spc="0" baseline="0">
                    <a:solidFill>
                      <a:srgbClr val="0070C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0</c:v>
              </c:pt>
              <c:pt idx="1">
                <c:v>1</c:v>
              </c:pt>
              <c:pt idx="2">
                <c:v>2</c:v>
              </c:pt>
              <c:pt idx="3">
                <c:v>3</c:v>
              </c:pt>
              <c:pt idx="4">
                <c:v>4</c:v>
              </c:pt>
              <c:pt idx="5">
                <c:v>5</c:v>
              </c:pt>
            </c:strLit>
          </c:cat>
          <c:val>
            <c:numLit>
              <c:formatCode>General</c:formatCode>
              <c:ptCount val="6"/>
              <c:pt idx="0">
                <c:v>4302.3583318830715</c:v>
              </c:pt>
              <c:pt idx="1">
                <c:v>10406.181269598757</c:v>
              </c:pt>
              <c:pt idx="2">
                <c:v>17823.686049875003</c:v>
              </c:pt>
              <c:pt idx="3">
                <c:v>35332.851962229288</c:v>
              </c:pt>
              <c:pt idx="4">
                <c:v>46153.63603880001</c:v>
              </c:pt>
              <c:pt idx="5">
                <c:v>52141.558951666666</c:v>
              </c:pt>
            </c:numLit>
          </c:val>
          <c:extLst>
            <c:ext xmlns:c16="http://schemas.microsoft.com/office/drawing/2014/chart" uri="{C3380CC4-5D6E-409C-BE32-E72D297353CC}">
              <c16:uniqueId val="{00000000-AA5A-4EDB-A6DA-5B86351CB322}"/>
            </c:ext>
          </c:extLst>
        </c:ser>
        <c:dLbls>
          <c:dLblPos val="outEnd"/>
          <c:showLegendKey val="0"/>
          <c:showVal val="1"/>
          <c:showCatName val="0"/>
          <c:showSerName val="0"/>
          <c:showPercent val="0"/>
          <c:showBubbleSize val="0"/>
        </c:dLbls>
        <c:gapWidth val="219"/>
        <c:overlap val="-27"/>
        <c:axId val="724420751"/>
        <c:axId val="724425551"/>
      </c:barChart>
      <c:catAx>
        <c:axId val="724420751"/>
        <c:scaling>
          <c:orientation val="minMax"/>
        </c:scaling>
        <c:delete val="0"/>
        <c:axPos val="b"/>
        <c:title>
          <c:tx>
            <c:rich>
              <a:bodyPr rot="0" spcFirstLastPara="1" vertOverflow="ellipsis" vert="horz" wrap="square" anchor="ctr" anchorCtr="1"/>
              <a:lstStyle/>
              <a:p>
                <a:pPr algn="ctr" rtl="0">
                  <a:defRPr lang="en-IN" sz="1000" b="0" i="0" u="none" strike="noStrike" kern="1200" spc="0" baseline="0">
                    <a:solidFill>
                      <a:srgbClr val="0070C0"/>
                    </a:solidFill>
                    <a:latin typeface="Arial" panose="020B0604020202020204" pitchFamily="34" charset="0"/>
                    <a:ea typeface="+mn-ea"/>
                    <a:cs typeface="Arial" panose="020B0604020202020204" pitchFamily="34" charset="0"/>
                  </a:defRPr>
                </a:pPr>
                <a:r>
                  <a:rPr lang="en-IN" sz="1000" b="0" i="0" u="none" strike="noStrike" kern="1200" spc="0" baseline="0">
                    <a:solidFill>
                      <a:srgbClr val="0070C0"/>
                    </a:solidFill>
                    <a:latin typeface="Arial" panose="020B0604020202020204" pitchFamily="34" charset="0"/>
                    <a:ea typeface="+mn-ea"/>
                    <a:cs typeface="Arial" panose="020B0604020202020204" pitchFamily="34" charset="0"/>
                  </a:rPr>
                  <a:t>Children</a:t>
                </a:r>
              </a:p>
            </c:rich>
          </c:tx>
          <c:overlay val="0"/>
          <c:spPr>
            <a:noFill/>
            <a:ln>
              <a:noFill/>
            </a:ln>
            <a:effectLst/>
          </c:spPr>
          <c:txPr>
            <a:bodyPr rot="0" spcFirstLastPara="1" vertOverflow="ellipsis" vert="horz" wrap="square" anchor="ctr" anchorCtr="1"/>
            <a:lstStyle/>
            <a:p>
              <a:pPr algn="ctr" rtl="0">
                <a:defRPr lang="en-IN" sz="1000" b="0" i="0" u="none" strike="noStrike" kern="1200" spc="0" baseline="0">
                  <a:solidFill>
                    <a:srgbClr val="0070C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0" i="0" u="none" strike="noStrike" kern="1200" spc="0" baseline="0">
                <a:solidFill>
                  <a:srgbClr val="0070C0"/>
                </a:solidFill>
                <a:latin typeface="Times New Roman" panose="02020603050405020304" pitchFamily="18" charset="0"/>
                <a:ea typeface="+mn-ea"/>
                <a:cs typeface="Times New Roman" panose="02020603050405020304" pitchFamily="18" charset="0"/>
              </a:defRPr>
            </a:pPr>
            <a:endParaRPr lang="en-US"/>
          </a:p>
        </c:txPr>
        <c:crossAx val="724425551"/>
        <c:crosses val="autoZero"/>
        <c:auto val="1"/>
        <c:lblAlgn val="ctr"/>
        <c:lblOffset val="100"/>
        <c:noMultiLvlLbl val="0"/>
      </c:catAx>
      <c:valAx>
        <c:axId val="724425551"/>
        <c:scaling>
          <c:orientation val="minMax"/>
          <c:max val="6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lang="en-IN" sz="1000" b="0" i="0" u="none" strike="noStrike" kern="1200" spc="0" baseline="0">
                    <a:solidFill>
                      <a:srgbClr val="0070C0"/>
                    </a:solidFill>
                    <a:latin typeface="Arial" panose="020B0604020202020204" pitchFamily="34" charset="0"/>
                    <a:ea typeface="+mn-ea"/>
                    <a:cs typeface="Arial" panose="020B0604020202020204" pitchFamily="34" charset="0"/>
                  </a:defRPr>
                </a:pPr>
                <a:r>
                  <a:rPr lang="en-IN" sz="1000" b="0" i="0" u="none" strike="noStrike" kern="1200" spc="0" baseline="0">
                    <a:solidFill>
                      <a:srgbClr val="0070C0"/>
                    </a:solidFill>
                    <a:latin typeface="Arial" panose="020B0604020202020204" pitchFamily="34" charset="0"/>
                    <a:ea typeface="+mn-ea"/>
                    <a:cs typeface="Arial" panose="020B0604020202020204" pitchFamily="34" charset="0"/>
                  </a:rPr>
                  <a:t>Average  charges</a:t>
                </a:r>
              </a:p>
            </c:rich>
          </c:tx>
          <c:overlay val="0"/>
          <c:spPr>
            <a:noFill/>
            <a:ln>
              <a:noFill/>
            </a:ln>
            <a:effectLst/>
          </c:spPr>
          <c:txPr>
            <a:bodyPr rot="-5400000" spcFirstLastPara="1" vertOverflow="ellipsis" vert="horz" wrap="square" anchor="ctr" anchorCtr="1"/>
            <a:lstStyle/>
            <a:p>
              <a:pPr algn="ctr" rtl="0">
                <a:defRPr lang="en-IN" sz="1000" b="0" i="0" u="none" strike="noStrike" kern="1200" spc="0" baseline="0">
                  <a:solidFill>
                    <a:srgbClr val="0070C0"/>
                  </a:solidFill>
                  <a:latin typeface="Arial" panose="020B0604020202020204" pitchFamily="34" charset="0"/>
                  <a:ea typeface="+mn-ea"/>
                  <a:cs typeface="Arial" panose="020B0604020202020204" pitchFamily="34" charset="0"/>
                </a:defRPr>
              </a:pPr>
              <a:endParaRPr lang="en-IN"/>
            </a:p>
          </c:txPr>
        </c:title>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1200" b="0" i="0" u="none" strike="noStrike" kern="1200" spc="0" baseline="0">
                <a:solidFill>
                  <a:srgbClr val="0070C0"/>
                </a:solidFill>
                <a:latin typeface="Times New Roman" panose="02020603050405020304" pitchFamily="18" charset="0"/>
                <a:ea typeface="+mn-ea"/>
                <a:cs typeface="Times New Roman" panose="02020603050405020304" pitchFamily="18" charset="0"/>
              </a:defRPr>
            </a:pPr>
            <a:endParaRPr lang="en-US"/>
          </a:p>
        </c:txPr>
        <c:crossAx val="724420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200" b="0" i="0" u="none" strike="noStrike" kern="1200" spc="0" baseline="0">
              <a:solidFill>
                <a:srgbClr val="0070C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rtl="0">
        <a:defRPr lang="en-US" sz="1200" b="0" i="0" u="none" strike="noStrike" kern="1200" spc="0" baseline="0">
          <a:solidFill>
            <a:srgbClr val="0070C0"/>
          </a:solidFill>
          <a:latin typeface="Times New Roman" panose="02020603050405020304" pitchFamily="18" charset="0"/>
          <a:ea typeface="+mn-ea"/>
          <a:cs typeface="Times New Roman" panose="02020603050405020304" pitchFamily="18" charset="0"/>
        </a:defRPr>
      </a:pPr>
      <a:endParaRPr lang="en-US"/>
    </a:p>
  </c:txPr>
  <c:printSettings>
    <c:headerFooter/>
    <c:pageMargins b="0.75" l="0.7" r="0.7" t="0.75" header="0.3" footer="0.3"/>
    <c:pageSetup/>
  </c:printSettings>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200" b="1" i="0" u="none" strike="noStrike" kern="1200" spc="0" baseline="0">
                <a:solidFill>
                  <a:srgbClr val="0070C0"/>
                </a:solidFill>
                <a:latin typeface="Arial" panose="020B0604020202020204" pitchFamily="34" charset="0"/>
                <a:ea typeface="+mn-ea"/>
                <a:cs typeface="Arial" panose="020B0604020202020204" pitchFamily="34" charset="0"/>
              </a:defRPr>
            </a:pPr>
            <a:r>
              <a:rPr lang="en-IN" sz="1200" b="1" i="0" u="none" strike="noStrike" kern="1200" spc="0" baseline="0">
                <a:solidFill>
                  <a:srgbClr val="0070C0"/>
                </a:solidFill>
                <a:latin typeface="Arial" panose="020B0604020202020204" pitchFamily="34" charset="0"/>
                <a:ea typeface="+mn-ea"/>
                <a:cs typeface="Arial" panose="020B0604020202020204" pitchFamily="34" charset="0"/>
              </a:rPr>
              <a:t> Age vs Charges </a:t>
            </a:r>
          </a:p>
        </c:rich>
      </c:tx>
      <c:overlay val="0"/>
      <c:spPr>
        <a:noFill/>
        <a:ln>
          <a:noFill/>
        </a:ln>
        <a:effectLst/>
      </c:spPr>
      <c:txPr>
        <a:bodyPr rot="0" spcFirstLastPara="1" vertOverflow="ellipsis" vert="horz" wrap="square" anchor="ctr" anchorCtr="1"/>
        <a:lstStyle/>
        <a:p>
          <a:pPr algn="ctr" rtl="0">
            <a:defRPr lang="en-IN" sz="1200" b="1" i="0" u="none" strike="noStrike" kern="1200" spc="0" baseline="0">
              <a:solidFill>
                <a:srgbClr val="0070C0"/>
              </a:solidFill>
              <a:latin typeface="Arial" panose="020B0604020202020204" pitchFamily="34" charset="0"/>
              <a:ea typeface="+mn-ea"/>
              <a:cs typeface="Arial" panose="020B0604020202020204" pitchFamily="34" charset="0"/>
            </a:defRPr>
          </a:pPr>
          <a:endParaRPr lang="en-US"/>
        </a:p>
      </c:txPr>
    </c:title>
    <c:autoTitleDeleted val="0"/>
    <c:plotArea>
      <c:layout/>
      <c:scatterChart>
        <c:scatterStyle val="smoothMarker"/>
        <c:varyColors val="0"/>
        <c:ser>
          <c:idx val="0"/>
          <c:order val="0"/>
          <c:tx>
            <c:strRef>
              <c:f>Sheet16!$G$1</c:f>
              <c:strCache>
                <c:ptCount val="1"/>
                <c:pt idx="0">
                  <c:v> charges </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Sheet16!$A$2:$A$1339</c:f>
              <c:numCache>
                <c:formatCode>General</c:formatCode>
                <c:ptCount val="1338"/>
                <c:pt idx="0">
                  <c:v>18</c:v>
                </c:pt>
                <c:pt idx="1">
                  <c:v>18</c:v>
                </c:pt>
                <c:pt idx="2">
                  <c:v>18</c:v>
                </c:pt>
                <c:pt idx="3">
                  <c:v>18</c:v>
                </c:pt>
                <c:pt idx="4">
                  <c:v>18</c:v>
                </c:pt>
                <c:pt idx="5">
                  <c:v>18</c:v>
                </c:pt>
                <c:pt idx="6">
                  <c:v>18</c:v>
                </c:pt>
                <c:pt idx="7">
                  <c:v>18</c:v>
                </c:pt>
                <c:pt idx="8">
                  <c:v>18</c:v>
                </c:pt>
                <c:pt idx="9">
                  <c:v>18</c:v>
                </c:pt>
                <c:pt idx="10">
                  <c:v>18</c:v>
                </c:pt>
                <c:pt idx="11">
                  <c:v>18</c:v>
                </c:pt>
                <c:pt idx="12">
                  <c:v>18</c:v>
                </c:pt>
                <c:pt idx="13">
                  <c:v>18</c:v>
                </c:pt>
                <c:pt idx="14">
                  <c:v>18</c:v>
                </c:pt>
                <c:pt idx="15">
                  <c:v>18</c:v>
                </c:pt>
                <c:pt idx="16">
                  <c:v>18</c:v>
                </c:pt>
                <c:pt idx="17">
                  <c:v>18</c:v>
                </c:pt>
                <c:pt idx="18">
                  <c:v>18</c:v>
                </c:pt>
                <c:pt idx="19">
                  <c:v>18</c:v>
                </c:pt>
                <c:pt idx="20">
                  <c:v>18</c:v>
                </c:pt>
                <c:pt idx="21">
                  <c:v>18</c:v>
                </c:pt>
                <c:pt idx="22">
                  <c:v>18</c:v>
                </c:pt>
                <c:pt idx="23">
                  <c:v>18</c:v>
                </c:pt>
                <c:pt idx="24">
                  <c:v>18</c:v>
                </c:pt>
                <c:pt idx="25">
                  <c:v>18</c:v>
                </c:pt>
                <c:pt idx="26">
                  <c:v>18</c:v>
                </c:pt>
                <c:pt idx="27">
                  <c:v>18</c:v>
                </c:pt>
                <c:pt idx="28">
                  <c:v>18</c:v>
                </c:pt>
                <c:pt idx="29">
                  <c:v>18</c:v>
                </c:pt>
                <c:pt idx="30">
                  <c:v>18</c:v>
                </c:pt>
                <c:pt idx="31">
                  <c:v>18</c:v>
                </c:pt>
                <c:pt idx="32">
                  <c:v>18</c:v>
                </c:pt>
                <c:pt idx="33">
                  <c:v>18</c:v>
                </c:pt>
                <c:pt idx="34">
                  <c:v>18</c:v>
                </c:pt>
                <c:pt idx="35">
                  <c:v>18</c:v>
                </c:pt>
                <c:pt idx="36">
                  <c:v>18</c:v>
                </c:pt>
                <c:pt idx="37">
                  <c:v>18</c:v>
                </c:pt>
                <c:pt idx="38">
                  <c:v>18</c:v>
                </c:pt>
                <c:pt idx="39">
                  <c:v>18</c:v>
                </c:pt>
                <c:pt idx="40">
                  <c:v>18</c:v>
                </c:pt>
                <c:pt idx="41">
                  <c:v>18</c:v>
                </c:pt>
                <c:pt idx="42">
                  <c:v>18</c:v>
                </c:pt>
                <c:pt idx="43">
                  <c:v>18</c:v>
                </c:pt>
                <c:pt idx="44">
                  <c:v>18</c:v>
                </c:pt>
                <c:pt idx="45">
                  <c:v>18</c:v>
                </c:pt>
                <c:pt idx="46">
                  <c:v>18</c:v>
                </c:pt>
                <c:pt idx="47">
                  <c:v>18</c:v>
                </c:pt>
                <c:pt idx="48">
                  <c:v>18</c:v>
                </c:pt>
                <c:pt idx="49">
                  <c:v>18</c:v>
                </c:pt>
                <c:pt idx="50">
                  <c:v>18</c:v>
                </c:pt>
                <c:pt idx="51">
                  <c:v>18</c:v>
                </c:pt>
                <c:pt idx="52">
                  <c:v>18</c:v>
                </c:pt>
                <c:pt idx="53">
                  <c:v>18</c:v>
                </c:pt>
                <c:pt idx="54">
                  <c:v>18</c:v>
                </c:pt>
                <c:pt idx="55">
                  <c:v>18</c:v>
                </c:pt>
                <c:pt idx="56">
                  <c:v>18</c:v>
                </c:pt>
                <c:pt idx="57">
                  <c:v>18</c:v>
                </c:pt>
                <c:pt idx="58">
                  <c:v>18</c:v>
                </c:pt>
                <c:pt idx="59">
                  <c:v>18</c:v>
                </c:pt>
                <c:pt idx="60">
                  <c:v>18</c:v>
                </c:pt>
                <c:pt idx="61">
                  <c:v>18</c:v>
                </c:pt>
                <c:pt idx="62">
                  <c:v>18</c:v>
                </c:pt>
                <c:pt idx="63">
                  <c:v>18</c:v>
                </c:pt>
                <c:pt idx="64">
                  <c:v>18</c:v>
                </c:pt>
                <c:pt idx="65">
                  <c:v>18</c:v>
                </c:pt>
                <c:pt idx="66">
                  <c:v>18</c:v>
                </c:pt>
                <c:pt idx="67">
                  <c:v>18</c:v>
                </c:pt>
                <c:pt idx="68">
                  <c:v>18</c:v>
                </c:pt>
                <c:pt idx="69">
                  <c:v>19</c:v>
                </c:pt>
                <c:pt idx="70">
                  <c:v>19</c:v>
                </c:pt>
                <c:pt idx="71">
                  <c:v>19</c:v>
                </c:pt>
                <c:pt idx="72">
                  <c:v>19</c:v>
                </c:pt>
                <c:pt idx="73">
                  <c:v>19</c:v>
                </c:pt>
                <c:pt idx="74">
                  <c:v>19</c:v>
                </c:pt>
                <c:pt idx="75">
                  <c:v>19</c:v>
                </c:pt>
                <c:pt idx="76">
                  <c:v>19</c:v>
                </c:pt>
                <c:pt idx="77">
                  <c:v>19</c:v>
                </c:pt>
                <c:pt idx="78">
                  <c:v>19</c:v>
                </c:pt>
                <c:pt idx="79">
                  <c:v>19</c:v>
                </c:pt>
                <c:pt idx="80">
                  <c:v>19</c:v>
                </c:pt>
                <c:pt idx="81">
                  <c:v>19</c:v>
                </c:pt>
                <c:pt idx="82">
                  <c:v>19</c:v>
                </c:pt>
                <c:pt idx="83">
                  <c:v>19</c:v>
                </c:pt>
                <c:pt idx="84">
                  <c:v>19</c:v>
                </c:pt>
                <c:pt idx="85">
                  <c:v>19</c:v>
                </c:pt>
                <c:pt idx="86">
                  <c:v>19</c:v>
                </c:pt>
                <c:pt idx="87">
                  <c:v>19</c:v>
                </c:pt>
                <c:pt idx="88">
                  <c:v>19</c:v>
                </c:pt>
                <c:pt idx="89">
                  <c:v>19</c:v>
                </c:pt>
                <c:pt idx="90">
                  <c:v>19</c:v>
                </c:pt>
                <c:pt idx="91">
                  <c:v>19</c:v>
                </c:pt>
                <c:pt idx="92">
                  <c:v>19</c:v>
                </c:pt>
                <c:pt idx="93">
                  <c:v>19</c:v>
                </c:pt>
                <c:pt idx="94">
                  <c:v>19</c:v>
                </c:pt>
                <c:pt idx="95">
                  <c:v>19</c:v>
                </c:pt>
                <c:pt idx="96">
                  <c:v>19</c:v>
                </c:pt>
                <c:pt idx="97">
                  <c:v>19</c:v>
                </c:pt>
                <c:pt idx="98">
                  <c:v>19</c:v>
                </c:pt>
                <c:pt idx="99">
                  <c:v>19</c:v>
                </c:pt>
                <c:pt idx="100">
                  <c:v>19</c:v>
                </c:pt>
                <c:pt idx="101">
                  <c:v>19</c:v>
                </c:pt>
                <c:pt idx="102">
                  <c:v>19</c:v>
                </c:pt>
                <c:pt idx="103">
                  <c:v>19</c:v>
                </c:pt>
                <c:pt idx="104">
                  <c:v>19</c:v>
                </c:pt>
                <c:pt idx="105">
                  <c:v>19</c:v>
                </c:pt>
                <c:pt idx="106">
                  <c:v>19</c:v>
                </c:pt>
                <c:pt idx="107">
                  <c:v>19</c:v>
                </c:pt>
                <c:pt idx="108">
                  <c:v>19</c:v>
                </c:pt>
                <c:pt idx="109">
                  <c:v>19</c:v>
                </c:pt>
                <c:pt idx="110">
                  <c:v>19</c:v>
                </c:pt>
                <c:pt idx="111">
                  <c:v>19</c:v>
                </c:pt>
                <c:pt idx="112">
                  <c:v>19</c:v>
                </c:pt>
                <c:pt idx="113">
                  <c:v>19</c:v>
                </c:pt>
                <c:pt idx="114">
                  <c:v>19</c:v>
                </c:pt>
                <c:pt idx="115">
                  <c:v>19</c:v>
                </c:pt>
                <c:pt idx="116">
                  <c:v>19</c:v>
                </c:pt>
                <c:pt idx="117">
                  <c:v>19</c:v>
                </c:pt>
                <c:pt idx="118">
                  <c:v>19</c:v>
                </c:pt>
                <c:pt idx="119">
                  <c:v>19</c:v>
                </c:pt>
                <c:pt idx="120">
                  <c:v>19</c:v>
                </c:pt>
                <c:pt idx="121">
                  <c:v>19</c:v>
                </c:pt>
                <c:pt idx="122">
                  <c:v>19</c:v>
                </c:pt>
                <c:pt idx="123">
                  <c:v>19</c:v>
                </c:pt>
                <c:pt idx="124">
                  <c:v>19</c:v>
                </c:pt>
                <c:pt idx="125">
                  <c:v>19</c:v>
                </c:pt>
                <c:pt idx="126">
                  <c:v>19</c:v>
                </c:pt>
                <c:pt idx="127">
                  <c:v>19</c:v>
                </c:pt>
                <c:pt idx="128">
                  <c:v>19</c:v>
                </c:pt>
                <c:pt idx="129">
                  <c:v>19</c:v>
                </c:pt>
                <c:pt idx="130">
                  <c:v>19</c:v>
                </c:pt>
                <c:pt idx="131">
                  <c:v>19</c:v>
                </c:pt>
                <c:pt idx="132">
                  <c:v>19</c:v>
                </c:pt>
                <c:pt idx="133">
                  <c:v>19</c:v>
                </c:pt>
                <c:pt idx="134">
                  <c:v>19</c:v>
                </c:pt>
                <c:pt idx="135">
                  <c:v>19</c:v>
                </c:pt>
                <c:pt idx="136">
                  <c:v>20</c:v>
                </c:pt>
                <c:pt idx="137">
                  <c:v>20</c:v>
                </c:pt>
                <c:pt idx="138">
                  <c:v>20</c:v>
                </c:pt>
                <c:pt idx="139">
                  <c:v>20</c:v>
                </c:pt>
                <c:pt idx="140">
                  <c:v>20</c:v>
                </c:pt>
                <c:pt idx="141">
                  <c:v>20</c:v>
                </c:pt>
                <c:pt idx="142">
                  <c:v>20</c:v>
                </c:pt>
                <c:pt idx="143">
                  <c:v>20</c:v>
                </c:pt>
                <c:pt idx="144">
                  <c:v>20</c:v>
                </c:pt>
                <c:pt idx="145">
                  <c:v>20</c:v>
                </c:pt>
                <c:pt idx="146">
                  <c:v>20</c:v>
                </c:pt>
                <c:pt idx="147">
                  <c:v>20</c:v>
                </c:pt>
                <c:pt idx="148">
                  <c:v>20</c:v>
                </c:pt>
                <c:pt idx="149">
                  <c:v>20</c:v>
                </c:pt>
                <c:pt idx="150">
                  <c:v>20</c:v>
                </c:pt>
                <c:pt idx="151">
                  <c:v>20</c:v>
                </c:pt>
                <c:pt idx="152">
                  <c:v>20</c:v>
                </c:pt>
                <c:pt idx="153">
                  <c:v>20</c:v>
                </c:pt>
                <c:pt idx="154">
                  <c:v>20</c:v>
                </c:pt>
                <c:pt idx="155">
                  <c:v>20</c:v>
                </c:pt>
                <c:pt idx="156">
                  <c:v>20</c:v>
                </c:pt>
                <c:pt idx="157">
                  <c:v>20</c:v>
                </c:pt>
                <c:pt idx="158">
                  <c:v>20</c:v>
                </c:pt>
                <c:pt idx="159">
                  <c:v>20</c:v>
                </c:pt>
                <c:pt idx="160">
                  <c:v>20</c:v>
                </c:pt>
                <c:pt idx="161">
                  <c:v>20</c:v>
                </c:pt>
                <c:pt idx="162">
                  <c:v>20</c:v>
                </c:pt>
                <c:pt idx="163">
                  <c:v>20</c:v>
                </c:pt>
                <c:pt idx="164">
                  <c:v>20</c:v>
                </c:pt>
                <c:pt idx="165">
                  <c:v>21</c:v>
                </c:pt>
                <c:pt idx="166">
                  <c:v>21</c:v>
                </c:pt>
                <c:pt idx="167">
                  <c:v>21</c:v>
                </c:pt>
                <c:pt idx="168">
                  <c:v>21</c:v>
                </c:pt>
                <c:pt idx="169">
                  <c:v>21</c:v>
                </c:pt>
                <c:pt idx="170">
                  <c:v>21</c:v>
                </c:pt>
                <c:pt idx="171">
                  <c:v>21</c:v>
                </c:pt>
                <c:pt idx="172">
                  <c:v>21</c:v>
                </c:pt>
                <c:pt idx="173">
                  <c:v>21</c:v>
                </c:pt>
                <c:pt idx="174">
                  <c:v>21</c:v>
                </c:pt>
                <c:pt idx="175">
                  <c:v>21</c:v>
                </c:pt>
                <c:pt idx="176">
                  <c:v>21</c:v>
                </c:pt>
                <c:pt idx="177">
                  <c:v>21</c:v>
                </c:pt>
                <c:pt idx="178">
                  <c:v>21</c:v>
                </c:pt>
                <c:pt idx="179">
                  <c:v>21</c:v>
                </c:pt>
                <c:pt idx="180">
                  <c:v>21</c:v>
                </c:pt>
                <c:pt idx="181">
                  <c:v>21</c:v>
                </c:pt>
                <c:pt idx="182">
                  <c:v>21</c:v>
                </c:pt>
                <c:pt idx="183">
                  <c:v>21</c:v>
                </c:pt>
                <c:pt idx="184">
                  <c:v>21</c:v>
                </c:pt>
                <c:pt idx="185">
                  <c:v>21</c:v>
                </c:pt>
                <c:pt idx="186">
                  <c:v>21</c:v>
                </c:pt>
                <c:pt idx="187">
                  <c:v>21</c:v>
                </c:pt>
                <c:pt idx="188">
                  <c:v>21</c:v>
                </c:pt>
                <c:pt idx="189">
                  <c:v>21</c:v>
                </c:pt>
                <c:pt idx="190">
                  <c:v>21</c:v>
                </c:pt>
                <c:pt idx="191">
                  <c:v>21</c:v>
                </c:pt>
                <c:pt idx="192">
                  <c:v>21</c:v>
                </c:pt>
                <c:pt idx="193">
                  <c:v>22</c:v>
                </c:pt>
                <c:pt idx="194">
                  <c:v>22</c:v>
                </c:pt>
                <c:pt idx="195">
                  <c:v>22</c:v>
                </c:pt>
                <c:pt idx="196">
                  <c:v>22</c:v>
                </c:pt>
                <c:pt idx="197">
                  <c:v>22</c:v>
                </c:pt>
                <c:pt idx="198">
                  <c:v>22</c:v>
                </c:pt>
                <c:pt idx="199">
                  <c:v>22</c:v>
                </c:pt>
                <c:pt idx="200">
                  <c:v>22</c:v>
                </c:pt>
                <c:pt idx="201">
                  <c:v>22</c:v>
                </c:pt>
                <c:pt idx="202">
                  <c:v>22</c:v>
                </c:pt>
                <c:pt idx="203">
                  <c:v>22</c:v>
                </c:pt>
                <c:pt idx="204">
                  <c:v>22</c:v>
                </c:pt>
                <c:pt idx="205">
                  <c:v>22</c:v>
                </c:pt>
                <c:pt idx="206">
                  <c:v>22</c:v>
                </c:pt>
                <c:pt idx="207">
                  <c:v>22</c:v>
                </c:pt>
                <c:pt idx="208">
                  <c:v>22</c:v>
                </c:pt>
                <c:pt idx="209">
                  <c:v>22</c:v>
                </c:pt>
                <c:pt idx="210">
                  <c:v>22</c:v>
                </c:pt>
                <c:pt idx="211">
                  <c:v>22</c:v>
                </c:pt>
                <c:pt idx="212">
                  <c:v>22</c:v>
                </c:pt>
                <c:pt idx="213">
                  <c:v>22</c:v>
                </c:pt>
                <c:pt idx="214">
                  <c:v>22</c:v>
                </c:pt>
                <c:pt idx="215">
                  <c:v>22</c:v>
                </c:pt>
                <c:pt idx="216">
                  <c:v>22</c:v>
                </c:pt>
                <c:pt idx="217">
                  <c:v>22</c:v>
                </c:pt>
                <c:pt idx="218">
                  <c:v>22</c:v>
                </c:pt>
                <c:pt idx="219">
                  <c:v>22</c:v>
                </c:pt>
                <c:pt idx="220">
                  <c:v>22</c:v>
                </c:pt>
                <c:pt idx="221">
                  <c:v>23</c:v>
                </c:pt>
                <c:pt idx="222">
                  <c:v>23</c:v>
                </c:pt>
                <c:pt idx="223">
                  <c:v>23</c:v>
                </c:pt>
                <c:pt idx="224">
                  <c:v>23</c:v>
                </c:pt>
                <c:pt idx="225">
                  <c:v>23</c:v>
                </c:pt>
                <c:pt idx="226">
                  <c:v>23</c:v>
                </c:pt>
                <c:pt idx="227">
                  <c:v>23</c:v>
                </c:pt>
                <c:pt idx="228">
                  <c:v>23</c:v>
                </c:pt>
                <c:pt idx="229">
                  <c:v>23</c:v>
                </c:pt>
                <c:pt idx="230">
                  <c:v>23</c:v>
                </c:pt>
                <c:pt idx="231">
                  <c:v>23</c:v>
                </c:pt>
                <c:pt idx="232">
                  <c:v>23</c:v>
                </c:pt>
                <c:pt idx="233">
                  <c:v>23</c:v>
                </c:pt>
                <c:pt idx="234">
                  <c:v>23</c:v>
                </c:pt>
                <c:pt idx="235">
                  <c:v>23</c:v>
                </c:pt>
                <c:pt idx="236">
                  <c:v>23</c:v>
                </c:pt>
                <c:pt idx="237">
                  <c:v>23</c:v>
                </c:pt>
                <c:pt idx="238">
                  <c:v>23</c:v>
                </c:pt>
                <c:pt idx="239">
                  <c:v>23</c:v>
                </c:pt>
                <c:pt idx="240">
                  <c:v>23</c:v>
                </c:pt>
                <c:pt idx="241">
                  <c:v>23</c:v>
                </c:pt>
                <c:pt idx="242">
                  <c:v>23</c:v>
                </c:pt>
                <c:pt idx="243">
                  <c:v>23</c:v>
                </c:pt>
                <c:pt idx="244">
                  <c:v>23</c:v>
                </c:pt>
                <c:pt idx="245">
                  <c:v>23</c:v>
                </c:pt>
                <c:pt idx="246">
                  <c:v>23</c:v>
                </c:pt>
                <c:pt idx="247">
                  <c:v>23</c:v>
                </c:pt>
                <c:pt idx="248">
                  <c:v>23</c:v>
                </c:pt>
                <c:pt idx="249">
                  <c:v>24</c:v>
                </c:pt>
                <c:pt idx="250">
                  <c:v>24</c:v>
                </c:pt>
                <c:pt idx="251">
                  <c:v>24</c:v>
                </c:pt>
                <c:pt idx="252">
                  <c:v>24</c:v>
                </c:pt>
                <c:pt idx="253">
                  <c:v>24</c:v>
                </c:pt>
                <c:pt idx="254">
                  <c:v>24</c:v>
                </c:pt>
                <c:pt idx="255">
                  <c:v>24</c:v>
                </c:pt>
                <c:pt idx="256">
                  <c:v>24</c:v>
                </c:pt>
                <c:pt idx="257">
                  <c:v>24</c:v>
                </c:pt>
                <c:pt idx="258">
                  <c:v>24</c:v>
                </c:pt>
                <c:pt idx="259">
                  <c:v>24</c:v>
                </c:pt>
                <c:pt idx="260">
                  <c:v>24</c:v>
                </c:pt>
                <c:pt idx="261">
                  <c:v>24</c:v>
                </c:pt>
                <c:pt idx="262">
                  <c:v>24</c:v>
                </c:pt>
                <c:pt idx="263">
                  <c:v>24</c:v>
                </c:pt>
                <c:pt idx="264">
                  <c:v>24</c:v>
                </c:pt>
                <c:pt idx="265">
                  <c:v>24</c:v>
                </c:pt>
                <c:pt idx="266">
                  <c:v>24</c:v>
                </c:pt>
                <c:pt idx="267">
                  <c:v>24</c:v>
                </c:pt>
                <c:pt idx="268">
                  <c:v>24</c:v>
                </c:pt>
                <c:pt idx="269">
                  <c:v>24</c:v>
                </c:pt>
                <c:pt idx="270">
                  <c:v>24</c:v>
                </c:pt>
                <c:pt idx="271">
                  <c:v>24</c:v>
                </c:pt>
                <c:pt idx="272">
                  <c:v>24</c:v>
                </c:pt>
                <c:pt idx="273">
                  <c:v>24</c:v>
                </c:pt>
                <c:pt idx="274">
                  <c:v>24</c:v>
                </c:pt>
                <c:pt idx="275">
                  <c:v>24</c:v>
                </c:pt>
                <c:pt idx="276">
                  <c:v>24</c:v>
                </c:pt>
                <c:pt idx="277">
                  <c:v>25</c:v>
                </c:pt>
                <c:pt idx="278">
                  <c:v>25</c:v>
                </c:pt>
                <c:pt idx="279">
                  <c:v>25</c:v>
                </c:pt>
                <c:pt idx="280">
                  <c:v>25</c:v>
                </c:pt>
                <c:pt idx="281">
                  <c:v>25</c:v>
                </c:pt>
                <c:pt idx="282">
                  <c:v>25</c:v>
                </c:pt>
                <c:pt idx="283">
                  <c:v>25</c:v>
                </c:pt>
                <c:pt idx="284">
                  <c:v>25</c:v>
                </c:pt>
                <c:pt idx="285">
                  <c:v>25</c:v>
                </c:pt>
                <c:pt idx="286">
                  <c:v>25</c:v>
                </c:pt>
                <c:pt idx="287">
                  <c:v>25</c:v>
                </c:pt>
                <c:pt idx="288">
                  <c:v>25</c:v>
                </c:pt>
                <c:pt idx="289">
                  <c:v>25</c:v>
                </c:pt>
                <c:pt idx="290">
                  <c:v>25</c:v>
                </c:pt>
                <c:pt idx="291">
                  <c:v>25</c:v>
                </c:pt>
                <c:pt idx="292">
                  <c:v>25</c:v>
                </c:pt>
                <c:pt idx="293">
                  <c:v>25</c:v>
                </c:pt>
                <c:pt idx="294">
                  <c:v>25</c:v>
                </c:pt>
                <c:pt idx="295">
                  <c:v>25</c:v>
                </c:pt>
                <c:pt idx="296">
                  <c:v>25</c:v>
                </c:pt>
                <c:pt idx="297">
                  <c:v>25</c:v>
                </c:pt>
                <c:pt idx="298">
                  <c:v>25</c:v>
                </c:pt>
                <c:pt idx="299">
                  <c:v>25</c:v>
                </c:pt>
                <c:pt idx="300">
                  <c:v>25</c:v>
                </c:pt>
                <c:pt idx="301">
                  <c:v>25</c:v>
                </c:pt>
                <c:pt idx="302">
                  <c:v>25</c:v>
                </c:pt>
                <c:pt idx="303">
                  <c:v>25</c:v>
                </c:pt>
                <c:pt idx="304">
                  <c:v>25</c:v>
                </c:pt>
                <c:pt idx="305">
                  <c:v>26</c:v>
                </c:pt>
                <c:pt idx="306">
                  <c:v>26</c:v>
                </c:pt>
                <c:pt idx="307">
                  <c:v>26</c:v>
                </c:pt>
                <c:pt idx="308">
                  <c:v>26</c:v>
                </c:pt>
                <c:pt idx="309">
                  <c:v>26</c:v>
                </c:pt>
                <c:pt idx="310">
                  <c:v>26</c:v>
                </c:pt>
                <c:pt idx="311">
                  <c:v>26</c:v>
                </c:pt>
                <c:pt idx="312">
                  <c:v>26</c:v>
                </c:pt>
                <c:pt idx="313">
                  <c:v>26</c:v>
                </c:pt>
                <c:pt idx="314">
                  <c:v>26</c:v>
                </c:pt>
                <c:pt idx="315">
                  <c:v>26</c:v>
                </c:pt>
                <c:pt idx="316">
                  <c:v>26</c:v>
                </c:pt>
                <c:pt idx="317">
                  <c:v>26</c:v>
                </c:pt>
                <c:pt idx="318">
                  <c:v>26</c:v>
                </c:pt>
                <c:pt idx="319">
                  <c:v>26</c:v>
                </c:pt>
                <c:pt idx="320">
                  <c:v>26</c:v>
                </c:pt>
                <c:pt idx="321">
                  <c:v>26</c:v>
                </c:pt>
                <c:pt idx="322">
                  <c:v>26</c:v>
                </c:pt>
                <c:pt idx="323">
                  <c:v>26</c:v>
                </c:pt>
                <c:pt idx="324">
                  <c:v>26</c:v>
                </c:pt>
                <c:pt idx="325">
                  <c:v>26</c:v>
                </c:pt>
                <c:pt idx="326">
                  <c:v>26</c:v>
                </c:pt>
                <c:pt idx="327">
                  <c:v>26</c:v>
                </c:pt>
                <c:pt idx="328">
                  <c:v>26</c:v>
                </c:pt>
                <c:pt idx="329">
                  <c:v>26</c:v>
                </c:pt>
                <c:pt idx="330">
                  <c:v>26</c:v>
                </c:pt>
                <c:pt idx="331">
                  <c:v>26</c:v>
                </c:pt>
                <c:pt idx="332">
                  <c:v>26</c:v>
                </c:pt>
                <c:pt idx="333">
                  <c:v>27</c:v>
                </c:pt>
                <c:pt idx="334">
                  <c:v>27</c:v>
                </c:pt>
                <c:pt idx="335">
                  <c:v>27</c:v>
                </c:pt>
                <c:pt idx="336">
                  <c:v>27</c:v>
                </c:pt>
                <c:pt idx="337">
                  <c:v>27</c:v>
                </c:pt>
                <c:pt idx="338">
                  <c:v>27</c:v>
                </c:pt>
                <c:pt idx="339">
                  <c:v>27</c:v>
                </c:pt>
                <c:pt idx="340">
                  <c:v>27</c:v>
                </c:pt>
                <c:pt idx="341">
                  <c:v>27</c:v>
                </c:pt>
                <c:pt idx="342">
                  <c:v>27</c:v>
                </c:pt>
                <c:pt idx="343">
                  <c:v>27</c:v>
                </c:pt>
                <c:pt idx="344">
                  <c:v>27</c:v>
                </c:pt>
                <c:pt idx="345">
                  <c:v>27</c:v>
                </c:pt>
                <c:pt idx="346">
                  <c:v>27</c:v>
                </c:pt>
                <c:pt idx="347">
                  <c:v>27</c:v>
                </c:pt>
                <c:pt idx="348">
                  <c:v>27</c:v>
                </c:pt>
                <c:pt idx="349">
                  <c:v>27</c:v>
                </c:pt>
                <c:pt idx="350">
                  <c:v>27</c:v>
                </c:pt>
                <c:pt idx="351">
                  <c:v>27</c:v>
                </c:pt>
                <c:pt idx="352">
                  <c:v>27</c:v>
                </c:pt>
                <c:pt idx="353">
                  <c:v>27</c:v>
                </c:pt>
                <c:pt idx="354">
                  <c:v>27</c:v>
                </c:pt>
                <c:pt idx="355">
                  <c:v>27</c:v>
                </c:pt>
                <c:pt idx="356">
                  <c:v>27</c:v>
                </c:pt>
                <c:pt idx="357">
                  <c:v>27</c:v>
                </c:pt>
                <c:pt idx="358">
                  <c:v>27</c:v>
                </c:pt>
                <c:pt idx="359">
                  <c:v>27</c:v>
                </c:pt>
                <c:pt idx="360">
                  <c:v>27</c:v>
                </c:pt>
                <c:pt idx="361">
                  <c:v>28</c:v>
                </c:pt>
                <c:pt idx="362">
                  <c:v>28</c:v>
                </c:pt>
                <c:pt idx="363">
                  <c:v>28</c:v>
                </c:pt>
                <c:pt idx="364">
                  <c:v>28</c:v>
                </c:pt>
                <c:pt idx="365">
                  <c:v>28</c:v>
                </c:pt>
                <c:pt idx="366">
                  <c:v>28</c:v>
                </c:pt>
                <c:pt idx="367">
                  <c:v>28</c:v>
                </c:pt>
                <c:pt idx="368">
                  <c:v>28</c:v>
                </c:pt>
                <c:pt idx="369">
                  <c:v>28</c:v>
                </c:pt>
                <c:pt idx="370">
                  <c:v>28</c:v>
                </c:pt>
                <c:pt idx="371">
                  <c:v>28</c:v>
                </c:pt>
                <c:pt idx="372">
                  <c:v>28</c:v>
                </c:pt>
                <c:pt idx="373">
                  <c:v>28</c:v>
                </c:pt>
                <c:pt idx="374">
                  <c:v>28</c:v>
                </c:pt>
                <c:pt idx="375">
                  <c:v>28</c:v>
                </c:pt>
                <c:pt idx="376">
                  <c:v>28</c:v>
                </c:pt>
                <c:pt idx="377">
                  <c:v>28</c:v>
                </c:pt>
                <c:pt idx="378">
                  <c:v>28</c:v>
                </c:pt>
                <c:pt idx="379">
                  <c:v>28</c:v>
                </c:pt>
                <c:pt idx="380">
                  <c:v>28</c:v>
                </c:pt>
                <c:pt idx="381">
                  <c:v>28</c:v>
                </c:pt>
                <c:pt idx="382">
                  <c:v>28</c:v>
                </c:pt>
                <c:pt idx="383">
                  <c:v>28</c:v>
                </c:pt>
                <c:pt idx="384">
                  <c:v>28</c:v>
                </c:pt>
                <c:pt idx="385">
                  <c:v>28</c:v>
                </c:pt>
                <c:pt idx="386">
                  <c:v>28</c:v>
                </c:pt>
                <c:pt idx="387">
                  <c:v>28</c:v>
                </c:pt>
                <c:pt idx="388">
                  <c:v>28</c:v>
                </c:pt>
                <c:pt idx="389">
                  <c:v>29</c:v>
                </c:pt>
                <c:pt idx="390">
                  <c:v>29</c:v>
                </c:pt>
                <c:pt idx="391">
                  <c:v>29</c:v>
                </c:pt>
                <c:pt idx="392">
                  <c:v>29</c:v>
                </c:pt>
                <c:pt idx="393">
                  <c:v>29</c:v>
                </c:pt>
                <c:pt idx="394">
                  <c:v>29</c:v>
                </c:pt>
                <c:pt idx="395">
                  <c:v>29</c:v>
                </c:pt>
                <c:pt idx="396">
                  <c:v>29</c:v>
                </c:pt>
                <c:pt idx="397">
                  <c:v>29</c:v>
                </c:pt>
                <c:pt idx="398">
                  <c:v>29</c:v>
                </c:pt>
                <c:pt idx="399">
                  <c:v>29</c:v>
                </c:pt>
                <c:pt idx="400">
                  <c:v>29</c:v>
                </c:pt>
                <c:pt idx="401">
                  <c:v>29</c:v>
                </c:pt>
                <c:pt idx="402">
                  <c:v>29</c:v>
                </c:pt>
                <c:pt idx="403">
                  <c:v>29</c:v>
                </c:pt>
                <c:pt idx="404">
                  <c:v>29</c:v>
                </c:pt>
                <c:pt idx="405">
                  <c:v>29</c:v>
                </c:pt>
                <c:pt idx="406">
                  <c:v>29</c:v>
                </c:pt>
                <c:pt idx="407">
                  <c:v>29</c:v>
                </c:pt>
                <c:pt idx="408">
                  <c:v>29</c:v>
                </c:pt>
                <c:pt idx="409">
                  <c:v>29</c:v>
                </c:pt>
                <c:pt idx="410">
                  <c:v>29</c:v>
                </c:pt>
                <c:pt idx="411">
                  <c:v>29</c:v>
                </c:pt>
                <c:pt idx="412">
                  <c:v>29</c:v>
                </c:pt>
                <c:pt idx="413">
                  <c:v>29</c:v>
                </c:pt>
                <c:pt idx="414">
                  <c:v>29</c:v>
                </c:pt>
                <c:pt idx="415">
                  <c:v>29</c:v>
                </c:pt>
                <c:pt idx="416">
                  <c:v>30</c:v>
                </c:pt>
                <c:pt idx="417">
                  <c:v>30</c:v>
                </c:pt>
                <c:pt idx="418">
                  <c:v>30</c:v>
                </c:pt>
                <c:pt idx="419">
                  <c:v>30</c:v>
                </c:pt>
                <c:pt idx="420">
                  <c:v>30</c:v>
                </c:pt>
                <c:pt idx="421">
                  <c:v>30</c:v>
                </c:pt>
                <c:pt idx="422">
                  <c:v>30</c:v>
                </c:pt>
                <c:pt idx="423">
                  <c:v>30</c:v>
                </c:pt>
                <c:pt idx="424">
                  <c:v>30</c:v>
                </c:pt>
                <c:pt idx="425">
                  <c:v>30</c:v>
                </c:pt>
                <c:pt idx="426">
                  <c:v>30</c:v>
                </c:pt>
                <c:pt idx="427">
                  <c:v>30</c:v>
                </c:pt>
                <c:pt idx="428">
                  <c:v>30</c:v>
                </c:pt>
                <c:pt idx="429">
                  <c:v>30</c:v>
                </c:pt>
                <c:pt idx="430">
                  <c:v>30</c:v>
                </c:pt>
                <c:pt idx="431">
                  <c:v>30</c:v>
                </c:pt>
                <c:pt idx="432">
                  <c:v>30</c:v>
                </c:pt>
                <c:pt idx="433">
                  <c:v>30</c:v>
                </c:pt>
                <c:pt idx="434">
                  <c:v>30</c:v>
                </c:pt>
                <c:pt idx="435">
                  <c:v>30</c:v>
                </c:pt>
                <c:pt idx="436">
                  <c:v>30</c:v>
                </c:pt>
                <c:pt idx="437">
                  <c:v>30</c:v>
                </c:pt>
                <c:pt idx="438">
                  <c:v>30</c:v>
                </c:pt>
                <c:pt idx="439">
                  <c:v>30</c:v>
                </c:pt>
                <c:pt idx="440">
                  <c:v>30</c:v>
                </c:pt>
                <c:pt idx="441">
                  <c:v>30</c:v>
                </c:pt>
                <c:pt idx="442">
                  <c:v>30</c:v>
                </c:pt>
                <c:pt idx="443">
                  <c:v>31</c:v>
                </c:pt>
                <c:pt idx="444">
                  <c:v>31</c:v>
                </c:pt>
                <c:pt idx="445">
                  <c:v>31</c:v>
                </c:pt>
                <c:pt idx="446">
                  <c:v>31</c:v>
                </c:pt>
                <c:pt idx="447">
                  <c:v>31</c:v>
                </c:pt>
                <c:pt idx="448">
                  <c:v>31</c:v>
                </c:pt>
                <c:pt idx="449">
                  <c:v>31</c:v>
                </c:pt>
                <c:pt idx="450">
                  <c:v>31</c:v>
                </c:pt>
                <c:pt idx="451">
                  <c:v>31</c:v>
                </c:pt>
                <c:pt idx="452">
                  <c:v>31</c:v>
                </c:pt>
                <c:pt idx="453">
                  <c:v>31</c:v>
                </c:pt>
                <c:pt idx="454">
                  <c:v>31</c:v>
                </c:pt>
                <c:pt idx="455">
                  <c:v>31</c:v>
                </c:pt>
                <c:pt idx="456">
                  <c:v>31</c:v>
                </c:pt>
                <c:pt idx="457">
                  <c:v>31</c:v>
                </c:pt>
                <c:pt idx="458">
                  <c:v>31</c:v>
                </c:pt>
                <c:pt idx="459">
                  <c:v>31</c:v>
                </c:pt>
                <c:pt idx="460">
                  <c:v>31</c:v>
                </c:pt>
                <c:pt idx="461">
                  <c:v>31</c:v>
                </c:pt>
                <c:pt idx="462">
                  <c:v>31</c:v>
                </c:pt>
                <c:pt idx="463">
                  <c:v>31</c:v>
                </c:pt>
                <c:pt idx="464">
                  <c:v>31</c:v>
                </c:pt>
                <c:pt idx="465">
                  <c:v>31</c:v>
                </c:pt>
                <c:pt idx="466">
                  <c:v>31</c:v>
                </c:pt>
                <c:pt idx="467">
                  <c:v>31</c:v>
                </c:pt>
                <c:pt idx="468">
                  <c:v>31</c:v>
                </c:pt>
                <c:pt idx="469">
                  <c:v>31</c:v>
                </c:pt>
                <c:pt idx="470">
                  <c:v>32</c:v>
                </c:pt>
                <c:pt idx="471">
                  <c:v>32</c:v>
                </c:pt>
                <c:pt idx="472">
                  <c:v>32</c:v>
                </c:pt>
                <c:pt idx="473">
                  <c:v>32</c:v>
                </c:pt>
                <c:pt idx="474">
                  <c:v>32</c:v>
                </c:pt>
                <c:pt idx="475">
                  <c:v>32</c:v>
                </c:pt>
                <c:pt idx="476">
                  <c:v>32</c:v>
                </c:pt>
                <c:pt idx="477">
                  <c:v>32</c:v>
                </c:pt>
                <c:pt idx="478">
                  <c:v>32</c:v>
                </c:pt>
                <c:pt idx="479">
                  <c:v>32</c:v>
                </c:pt>
                <c:pt idx="480">
                  <c:v>32</c:v>
                </c:pt>
                <c:pt idx="481">
                  <c:v>32</c:v>
                </c:pt>
                <c:pt idx="482">
                  <c:v>32</c:v>
                </c:pt>
                <c:pt idx="483">
                  <c:v>32</c:v>
                </c:pt>
                <c:pt idx="484">
                  <c:v>32</c:v>
                </c:pt>
                <c:pt idx="485">
                  <c:v>32</c:v>
                </c:pt>
                <c:pt idx="486">
                  <c:v>32</c:v>
                </c:pt>
                <c:pt idx="487">
                  <c:v>32</c:v>
                </c:pt>
                <c:pt idx="488">
                  <c:v>32</c:v>
                </c:pt>
                <c:pt idx="489">
                  <c:v>32</c:v>
                </c:pt>
                <c:pt idx="490">
                  <c:v>32</c:v>
                </c:pt>
                <c:pt idx="491">
                  <c:v>32</c:v>
                </c:pt>
                <c:pt idx="492">
                  <c:v>32</c:v>
                </c:pt>
                <c:pt idx="493">
                  <c:v>32</c:v>
                </c:pt>
                <c:pt idx="494">
                  <c:v>32</c:v>
                </c:pt>
                <c:pt idx="495">
                  <c:v>32</c:v>
                </c:pt>
                <c:pt idx="496">
                  <c:v>33</c:v>
                </c:pt>
                <c:pt idx="497">
                  <c:v>33</c:v>
                </c:pt>
                <c:pt idx="498">
                  <c:v>33</c:v>
                </c:pt>
                <c:pt idx="499">
                  <c:v>33</c:v>
                </c:pt>
                <c:pt idx="500">
                  <c:v>33</c:v>
                </c:pt>
                <c:pt idx="501">
                  <c:v>33</c:v>
                </c:pt>
                <c:pt idx="502">
                  <c:v>33</c:v>
                </c:pt>
                <c:pt idx="503">
                  <c:v>33</c:v>
                </c:pt>
                <c:pt idx="504">
                  <c:v>33</c:v>
                </c:pt>
                <c:pt idx="505">
                  <c:v>33</c:v>
                </c:pt>
                <c:pt idx="506">
                  <c:v>33</c:v>
                </c:pt>
                <c:pt idx="507">
                  <c:v>33</c:v>
                </c:pt>
                <c:pt idx="508">
                  <c:v>33</c:v>
                </c:pt>
                <c:pt idx="509">
                  <c:v>33</c:v>
                </c:pt>
                <c:pt idx="510">
                  <c:v>33</c:v>
                </c:pt>
                <c:pt idx="511">
                  <c:v>33</c:v>
                </c:pt>
                <c:pt idx="512">
                  <c:v>33</c:v>
                </c:pt>
                <c:pt idx="513">
                  <c:v>33</c:v>
                </c:pt>
                <c:pt idx="514">
                  <c:v>33</c:v>
                </c:pt>
                <c:pt idx="515">
                  <c:v>33</c:v>
                </c:pt>
                <c:pt idx="516">
                  <c:v>33</c:v>
                </c:pt>
                <c:pt idx="517">
                  <c:v>33</c:v>
                </c:pt>
                <c:pt idx="518">
                  <c:v>33</c:v>
                </c:pt>
                <c:pt idx="519">
                  <c:v>33</c:v>
                </c:pt>
                <c:pt idx="520">
                  <c:v>33</c:v>
                </c:pt>
                <c:pt idx="521">
                  <c:v>33</c:v>
                </c:pt>
                <c:pt idx="522">
                  <c:v>34</c:v>
                </c:pt>
                <c:pt idx="523">
                  <c:v>34</c:v>
                </c:pt>
                <c:pt idx="524">
                  <c:v>34</c:v>
                </c:pt>
                <c:pt idx="525">
                  <c:v>34</c:v>
                </c:pt>
                <c:pt idx="526">
                  <c:v>34</c:v>
                </c:pt>
                <c:pt idx="527">
                  <c:v>34</c:v>
                </c:pt>
                <c:pt idx="528">
                  <c:v>34</c:v>
                </c:pt>
                <c:pt idx="529">
                  <c:v>34</c:v>
                </c:pt>
                <c:pt idx="530">
                  <c:v>34</c:v>
                </c:pt>
                <c:pt idx="531">
                  <c:v>34</c:v>
                </c:pt>
                <c:pt idx="532">
                  <c:v>34</c:v>
                </c:pt>
                <c:pt idx="533">
                  <c:v>34</c:v>
                </c:pt>
                <c:pt idx="534">
                  <c:v>34</c:v>
                </c:pt>
                <c:pt idx="535">
                  <c:v>34</c:v>
                </c:pt>
                <c:pt idx="536">
                  <c:v>34</c:v>
                </c:pt>
                <c:pt idx="537">
                  <c:v>34</c:v>
                </c:pt>
                <c:pt idx="538">
                  <c:v>34</c:v>
                </c:pt>
                <c:pt idx="539">
                  <c:v>34</c:v>
                </c:pt>
                <c:pt idx="540">
                  <c:v>34</c:v>
                </c:pt>
                <c:pt idx="541">
                  <c:v>34</c:v>
                </c:pt>
                <c:pt idx="542">
                  <c:v>34</c:v>
                </c:pt>
                <c:pt idx="543">
                  <c:v>34</c:v>
                </c:pt>
                <c:pt idx="544">
                  <c:v>34</c:v>
                </c:pt>
                <c:pt idx="545">
                  <c:v>34</c:v>
                </c:pt>
                <c:pt idx="546">
                  <c:v>34</c:v>
                </c:pt>
                <c:pt idx="547">
                  <c:v>34</c:v>
                </c:pt>
                <c:pt idx="548">
                  <c:v>35</c:v>
                </c:pt>
                <c:pt idx="549">
                  <c:v>35</c:v>
                </c:pt>
                <c:pt idx="550">
                  <c:v>35</c:v>
                </c:pt>
                <c:pt idx="551">
                  <c:v>35</c:v>
                </c:pt>
                <c:pt idx="552">
                  <c:v>35</c:v>
                </c:pt>
                <c:pt idx="553">
                  <c:v>35</c:v>
                </c:pt>
                <c:pt idx="554">
                  <c:v>35</c:v>
                </c:pt>
                <c:pt idx="555">
                  <c:v>35</c:v>
                </c:pt>
                <c:pt idx="556">
                  <c:v>35</c:v>
                </c:pt>
                <c:pt idx="557">
                  <c:v>35</c:v>
                </c:pt>
                <c:pt idx="558">
                  <c:v>35</c:v>
                </c:pt>
                <c:pt idx="559">
                  <c:v>35</c:v>
                </c:pt>
                <c:pt idx="560">
                  <c:v>35</c:v>
                </c:pt>
                <c:pt idx="561">
                  <c:v>35</c:v>
                </c:pt>
                <c:pt idx="562">
                  <c:v>35</c:v>
                </c:pt>
                <c:pt idx="563">
                  <c:v>35</c:v>
                </c:pt>
                <c:pt idx="564">
                  <c:v>35</c:v>
                </c:pt>
                <c:pt idx="565">
                  <c:v>35</c:v>
                </c:pt>
                <c:pt idx="566">
                  <c:v>35</c:v>
                </c:pt>
                <c:pt idx="567">
                  <c:v>35</c:v>
                </c:pt>
                <c:pt idx="568">
                  <c:v>35</c:v>
                </c:pt>
                <c:pt idx="569">
                  <c:v>35</c:v>
                </c:pt>
                <c:pt idx="570">
                  <c:v>35</c:v>
                </c:pt>
                <c:pt idx="571">
                  <c:v>35</c:v>
                </c:pt>
                <c:pt idx="572">
                  <c:v>35</c:v>
                </c:pt>
                <c:pt idx="573">
                  <c:v>36</c:v>
                </c:pt>
                <c:pt idx="574">
                  <c:v>36</c:v>
                </c:pt>
                <c:pt idx="575">
                  <c:v>36</c:v>
                </c:pt>
                <c:pt idx="576">
                  <c:v>36</c:v>
                </c:pt>
                <c:pt idx="577">
                  <c:v>36</c:v>
                </c:pt>
                <c:pt idx="578">
                  <c:v>36</c:v>
                </c:pt>
                <c:pt idx="579">
                  <c:v>36</c:v>
                </c:pt>
                <c:pt idx="580">
                  <c:v>36</c:v>
                </c:pt>
                <c:pt idx="581">
                  <c:v>36</c:v>
                </c:pt>
                <c:pt idx="582">
                  <c:v>36</c:v>
                </c:pt>
                <c:pt idx="583">
                  <c:v>36</c:v>
                </c:pt>
                <c:pt idx="584">
                  <c:v>36</c:v>
                </c:pt>
                <c:pt idx="585">
                  <c:v>36</c:v>
                </c:pt>
                <c:pt idx="586">
                  <c:v>36</c:v>
                </c:pt>
                <c:pt idx="587">
                  <c:v>36</c:v>
                </c:pt>
                <c:pt idx="588">
                  <c:v>36</c:v>
                </c:pt>
                <c:pt idx="589">
                  <c:v>36</c:v>
                </c:pt>
                <c:pt idx="590">
                  <c:v>36</c:v>
                </c:pt>
                <c:pt idx="591">
                  <c:v>36</c:v>
                </c:pt>
                <c:pt idx="592">
                  <c:v>36</c:v>
                </c:pt>
                <c:pt idx="593">
                  <c:v>36</c:v>
                </c:pt>
                <c:pt idx="594">
                  <c:v>36</c:v>
                </c:pt>
                <c:pt idx="595">
                  <c:v>36</c:v>
                </c:pt>
                <c:pt idx="596">
                  <c:v>36</c:v>
                </c:pt>
                <c:pt idx="597">
                  <c:v>36</c:v>
                </c:pt>
                <c:pt idx="598">
                  <c:v>37</c:v>
                </c:pt>
                <c:pt idx="599">
                  <c:v>37</c:v>
                </c:pt>
                <c:pt idx="600">
                  <c:v>37</c:v>
                </c:pt>
                <c:pt idx="601">
                  <c:v>37</c:v>
                </c:pt>
                <c:pt idx="602">
                  <c:v>37</c:v>
                </c:pt>
                <c:pt idx="603">
                  <c:v>37</c:v>
                </c:pt>
                <c:pt idx="604">
                  <c:v>37</c:v>
                </c:pt>
                <c:pt idx="605">
                  <c:v>37</c:v>
                </c:pt>
                <c:pt idx="606">
                  <c:v>37</c:v>
                </c:pt>
                <c:pt idx="607">
                  <c:v>37</c:v>
                </c:pt>
                <c:pt idx="608">
                  <c:v>37</c:v>
                </c:pt>
                <c:pt idx="609">
                  <c:v>37</c:v>
                </c:pt>
                <c:pt idx="610">
                  <c:v>37</c:v>
                </c:pt>
                <c:pt idx="611">
                  <c:v>37</c:v>
                </c:pt>
                <c:pt idx="612">
                  <c:v>37</c:v>
                </c:pt>
                <c:pt idx="613">
                  <c:v>37</c:v>
                </c:pt>
                <c:pt idx="614">
                  <c:v>37</c:v>
                </c:pt>
                <c:pt idx="615">
                  <c:v>37</c:v>
                </c:pt>
                <c:pt idx="616">
                  <c:v>37</c:v>
                </c:pt>
                <c:pt idx="617">
                  <c:v>37</c:v>
                </c:pt>
                <c:pt idx="618">
                  <c:v>37</c:v>
                </c:pt>
                <c:pt idx="619">
                  <c:v>37</c:v>
                </c:pt>
                <c:pt idx="620">
                  <c:v>37</c:v>
                </c:pt>
                <c:pt idx="621">
                  <c:v>37</c:v>
                </c:pt>
                <c:pt idx="622">
                  <c:v>37</c:v>
                </c:pt>
                <c:pt idx="623">
                  <c:v>38</c:v>
                </c:pt>
                <c:pt idx="624">
                  <c:v>38</c:v>
                </c:pt>
                <c:pt idx="625">
                  <c:v>38</c:v>
                </c:pt>
                <c:pt idx="626">
                  <c:v>38</c:v>
                </c:pt>
                <c:pt idx="627">
                  <c:v>38</c:v>
                </c:pt>
                <c:pt idx="628">
                  <c:v>38</c:v>
                </c:pt>
                <c:pt idx="629">
                  <c:v>38</c:v>
                </c:pt>
                <c:pt idx="630">
                  <c:v>38</c:v>
                </c:pt>
                <c:pt idx="631">
                  <c:v>38</c:v>
                </c:pt>
                <c:pt idx="632">
                  <c:v>38</c:v>
                </c:pt>
                <c:pt idx="633">
                  <c:v>38</c:v>
                </c:pt>
                <c:pt idx="634">
                  <c:v>38</c:v>
                </c:pt>
                <c:pt idx="635">
                  <c:v>38</c:v>
                </c:pt>
                <c:pt idx="636">
                  <c:v>38</c:v>
                </c:pt>
                <c:pt idx="637">
                  <c:v>38</c:v>
                </c:pt>
                <c:pt idx="638">
                  <c:v>38</c:v>
                </c:pt>
                <c:pt idx="639">
                  <c:v>38</c:v>
                </c:pt>
                <c:pt idx="640">
                  <c:v>38</c:v>
                </c:pt>
                <c:pt idx="641">
                  <c:v>38</c:v>
                </c:pt>
                <c:pt idx="642">
                  <c:v>38</c:v>
                </c:pt>
                <c:pt idx="643">
                  <c:v>38</c:v>
                </c:pt>
                <c:pt idx="644">
                  <c:v>38</c:v>
                </c:pt>
                <c:pt idx="645">
                  <c:v>38</c:v>
                </c:pt>
                <c:pt idx="646">
                  <c:v>38</c:v>
                </c:pt>
                <c:pt idx="647">
                  <c:v>38</c:v>
                </c:pt>
                <c:pt idx="648">
                  <c:v>39</c:v>
                </c:pt>
                <c:pt idx="649">
                  <c:v>39</c:v>
                </c:pt>
                <c:pt idx="650">
                  <c:v>39</c:v>
                </c:pt>
                <c:pt idx="651">
                  <c:v>39</c:v>
                </c:pt>
                <c:pt idx="652">
                  <c:v>39</c:v>
                </c:pt>
                <c:pt idx="653">
                  <c:v>39</c:v>
                </c:pt>
                <c:pt idx="654">
                  <c:v>39</c:v>
                </c:pt>
                <c:pt idx="655">
                  <c:v>39</c:v>
                </c:pt>
                <c:pt idx="656">
                  <c:v>39</c:v>
                </c:pt>
                <c:pt idx="657">
                  <c:v>39</c:v>
                </c:pt>
                <c:pt idx="658">
                  <c:v>39</c:v>
                </c:pt>
                <c:pt idx="659">
                  <c:v>39</c:v>
                </c:pt>
                <c:pt idx="660">
                  <c:v>39</c:v>
                </c:pt>
                <c:pt idx="661">
                  <c:v>39</c:v>
                </c:pt>
                <c:pt idx="662">
                  <c:v>39</c:v>
                </c:pt>
                <c:pt idx="663">
                  <c:v>39</c:v>
                </c:pt>
                <c:pt idx="664">
                  <c:v>39</c:v>
                </c:pt>
                <c:pt idx="665">
                  <c:v>39</c:v>
                </c:pt>
                <c:pt idx="666">
                  <c:v>39</c:v>
                </c:pt>
                <c:pt idx="667">
                  <c:v>39</c:v>
                </c:pt>
                <c:pt idx="668">
                  <c:v>39</c:v>
                </c:pt>
                <c:pt idx="669">
                  <c:v>39</c:v>
                </c:pt>
                <c:pt idx="670">
                  <c:v>39</c:v>
                </c:pt>
                <c:pt idx="671">
                  <c:v>39</c:v>
                </c:pt>
                <c:pt idx="672">
                  <c:v>39</c:v>
                </c:pt>
                <c:pt idx="673">
                  <c:v>40</c:v>
                </c:pt>
                <c:pt idx="674">
                  <c:v>40</c:v>
                </c:pt>
                <c:pt idx="675">
                  <c:v>40</c:v>
                </c:pt>
                <c:pt idx="676">
                  <c:v>40</c:v>
                </c:pt>
                <c:pt idx="677">
                  <c:v>40</c:v>
                </c:pt>
                <c:pt idx="678">
                  <c:v>40</c:v>
                </c:pt>
                <c:pt idx="679">
                  <c:v>40</c:v>
                </c:pt>
                <c:pt idx="680">
                  <c:v>40</c:v>
                </c:pt>
                <c:pt idx="681">
                  <c:v>40</c:v>
                </c:pt>
                <c:pt idx="682">
                  <c:v>40</c:v>
                </c:pt>
                <c:pt idx="683">
                  <c:v>40</c:v>
                </c:pt>
                <c:pt idx="684">
                  <c:v>40</c:v>
                </c:pt>
                <c:pt idx="685">
                  <c:v>40</c:v>
                </c:pt>
                <c:pt idx="686">
                  <c:v>40</c:v>
                </c:pt>
                <c:pt idx="687">
                  <c:v>40</c:v>
                </c:pt>
                <c:pt idx="688">
                  <c:v>40</c:v>
                </c:pt>
                <c:pt idx="689">
                  <c:v>40</c:v>
                </c:pt>
                <c:pt idx="690">
                  <c:v>40</c:v>
                </c:pt>
                <c:pt idx="691">
                  <c:v>40</c:v>
                </c:pt>
                <c:pt idx="692">
                  <c:v>40</c:v>
                </c:pt>
                <c:pt idx="693">
                  <c:v>40</c:v>
                </c:pt>
                <c:pt idx="694">
                  <c:v>40</c:v>
                </c:pt>
                <c:pt idx="695">
                  <c:v>40</c:v>
                </c:pt>
                <c:pt idx="696">
                  <c:v>40</c:v>
                </c:pt>
                <c:pt idx="697">
                  <c:v>40</c:v>
                </c:pt>
                <c:pt idx="698">
                  <c:v>40</c:v>
                </c:pt>
                <c:pt idx="699">
                  <c:v>40</c:v>
                </c:pt>
                <c:pt idx="700">
                  <c:v>41</c:v>
                </c:pt>
                <c:pt idx="701">
                  <c:v>41</c:v>
                </c:pt>
                <c:pt idx="702">
                  <c:v>41</c:v>
                </c:pt>
                <c:pt idx="703">
                  <c:v>41</c:v>
                </c:pt>
                <c:pt idx="704">
                  <c:v>41</c:v>
                </c:pt>
                <c:pt idx="705">
                  <c:v>41</c:v>
                </c:pt>
                <c:pt idx="706">
                  <c:v>41</c:v>
                </c:pt>
                <c:pt idx="707">
                  <c:v>41</c:v>
                </c:pt>
                <c:pt idx="708">
                  <c:v>41</c:v>
                </c:pt>
                <c:pt idx="709">
                  <c:v>41</c:v>
                </c:pt>
                <c:pt idx="710">
                  <c:v>41</c:v>
                </c:pt>
                <c:pt idx="711">
                  <c:v>41</c:v>
                </c:pt>
                <c:pt idx="712">
                  <c:v>41</c:v>
                </c:pt>
                <c:pt idx="713">
                  <c:v>41</c:v>
                </c:pt>
                <c:pt idx="714">
                  <c:v>41</c:v>
                </c:pt>
                <c:pt idx="715">
                  <c:v>41</c:v>
                </c:pt>
                <c:pt idx="716">
                  <c:v>41</c:v>
                </c:pt>
                <c:pt idx="717">
                  <c:v>41</c:v>
                </c:pt>
                <c:pt idx="718">
                  <c:v>41</c:v>
                </c:pt>
                <c:pt idx="719">
                  <c:v>41</c:v>
                </c:pt>
                <c:pt idx="720">
                  <c:v>41</c:v>
                </c:pt>
                <c:pt idx="721">
                  <c:v>41</c:v>
                </c:pt>
                <c:pt idx="722">
                  <c:v>41</c:v>
                </c:pt>
                <c:pt idx="723">
                  <c:v>41</c:v>
                </c:pt>
                <c:pt idx="724">
                  <c:v>41</c:v>
                </c:pt>
                <c:pt idx="725">
                  <c:v>41</c:v>
                </c:pt>
                <c:pt idx="726">
                  <c:v>41</c:v>
                </c:pt>
                <c:pt idx="727">
                  <c:v>42</c:v>
                </c:pt>
                <c:pt idx="728">
                  <c:v>42</c:v>
                </c:pt>
                <c:pt idx="729">
                  <c:v>42</c:v>
                </c:pt>
                <c:pt idx="730">
                  <c:v>42</c:v>
                </c:pt>
                <c:pt idx="731">
                  <c:v>42</c:v>
                </c:pt>
                <c:pt idx="732">
                  <c:v>42</c:v>
                </c:pt>
                <c:pt idx="733">
                  <c:v>42</c:v>
                </c:pt>
                <c:pt idx="734">
                  <c:v>42</c:v>
                </c:pt>
                <c:pt idx="735">
                  <c:v>42</c:v>
                </c:pt>
                <c:pt idx="736">
                  <c:v>42</c:v>
                </c:pt>
                <c:pt idx="737">
                  <c:v>42</c:v>
                </c:pt>
                <c:pt idx="738">
                  <c:v>42</c:v>
                </c:pt>
                <c:pt idx="739">
                  <c:v>42</c:v>
                </c:pt>
                <c:pt idx="740">
                  <c:v>42</c:v>
                </c:pt>
                <c:pt idx="741">
                  <c:v>42</c:v>
                </c:pt>
                <c:pt idx="742">
                  <c:v>42</c:v>
                </c:pt>
                <c:pt idx="743">
                  <c:v>42</c:v>
                </c:pt>
                <c:pt idx="744">
                  <c:v>42</c:v>
                </c:pt>
                <c:pt idx="745">
                  <c:v>42</c:v>
                </c:pt>
                <c:pt idx="746">
                  <c:v>42</c:v>
                </c:pt>
                <c:pt idx="747">
                  <c:v>42</c:v>
                </c:pt>
                <c:pt idx="748">
                  <c:v>42</c:v>
                </c:pt>
                <c:pt idx="749">
                  <c:v>42</c:v>
                </c:pt>
                <c:pt idx="750">
                  <c:v>42</c:v>
                </c:pt>
                <c:pt idx="751">
                  <c:v>42</c:v>
                </c:pt>
                <c:pt idx="752">
                  <c:v>42</c:v>
                </c:pt>
                <c:pt idx="753">
                  <c:v>42</c:v>
                </c:pt>
                <c:pt idx="754">
                  <c:v>43</c:v>
                </c:pt>
                <c:pt idx="755">
                  <c:v>43</c:v>
                </c:pt>
                <c:pt idx="756">
                  <c:v>43</c:v>
                </c:pt>
                <c:pt idx="757">
                  <c:v>43</c:v>
                </c:pt>
                <c:pt idx="758">
                  <c:v>43</c:v>
                </c:pt>
                <c:pt idx="759">
                  <c:v>43</c:v>
                </c:pt>
                <c:pt idx="760">
                  <c:v>43</c:v>
                </c:pt>
                <c:pt idx="761">
                  <c:v>43</c:v>
                </c:pt>
                <c:pt idx="762">
                  <c:v>43</c:v>
                </c:pt>
                <c:pt idx="763">
                  <c:v>43</c:v>
                </c:pt>
                <c:pt idx="764">
                  <c:v>43</c:v>
                </c:pt>
                <c:pt idx="765">
                  <c:v>43</c:v>
                </c:pt>
                <c:pt idx="766">
                  <c:v>43</c:v>
                </c:pt>
                <c:pt idx="767">
                  <c:v>43</c:v>
                </c:pt>
                <c:pt idx="768">
                  <c:v>43</c:v>
                </c:pt>
                <c:pt idx="769">
                  <c:v>43</c:v>
                </c:pt>
                <c:pt idx="770">
                  <c:v>43</c:v>
                </c:pt>
                <c:pt idx="771">
                  <c:v>43</c:v>
                </c:pt>
                <c:pt idx="772">
                  <c:v>43</c:v>
                </c:pt>
                <c:pt idx="773">
                  <c:v>43</c:v>
                </c:pt>
                <c:pt idx="774">
                  <c:v>43</c:v>
                </c:pt>
                <c:pt idx="775">
                  <c:v>43</c:v>
                </c:pt>
                <c:pt idx="776">
                  <c:v>43</c:v>
                </c:pt>
                <c:pt idx="777">
                  <c:v>43</c:v>
                </c:pt>
                <c:pt idx="778">
                  <c:v>43</c:v>
                </c:pt>
                <c:pt idx="779">
                  <c:v>43</c:v>
                </c:pt>
                <c:pt idx="780">
                  <c:v>43</c:v>
                </c:pt>
                <c:pt idx="781">
                  <c:v>44</c:v>
                </c:pt>
                <c:pt idx="782">
                  <c:v>44</c:v>
                </c:pt>
                <c:pt idx="783">
                  <c:v>44</c:v>
                </c:pt>
                <c:pt idx="784">
                  <c:v>44</c:v>
                </c:pt>
                <c:pt idx="785">
                  <c:v>44</c:v>
                </c:pt>
                <c:pt idx="786">
                  <c:v>44</c:v>
                </c:pt>
                <c:pt idx="787">
                  <c:v>44</c:v>
                </c:pt>
                <c:pt idx="788">
                  <c:v>44</c:v>
                </c:pt>
                <c:pt idx="789">
                  <c:v>44</c:v>
                </c:pt>
                <c:pt idx="790">
                  <c:v>44</c:v>
                </c:pt>
                <c:pt idx="791">
                  <c:v>44</c:v>
                </c:pt>
                <c:pt idx="792">
                  <c:v>44</c:v>
                </c:pt>
                <c:pt idx="793">
                  <c:v>44</c:v>
                </c:pt>
                <c:pt idx="794">
                  <c:v>44</c:v>
                </c:pt>
                <c:pt idx="795">
                  <c:v>44</c:v>
                </c:pt>
                <c:pt idx="796">
                  <c:v>44</c:v>
                </c:pt>
                <c:pt idx="797">
                  <c:v>44</c:v>
                </c:pt>
                <c:pt idx="798">
                  <c:v>44</c:v>
                </c:pt>
                <c:pt idx="799">
                  <c:v>44</c:v>
                </c:pt>
                <c:pt idx="800">
                  <c:v>44</c:v>
                </c:pt>
                <c:pt idx="801">
                  <c:v>44</c:v>
                </c:pt>
                <c:pt idx="802">
                  <c:v>44</c:v>
                </c:pt>
                <c:pt idx="803">
                  <c:v>44</c:v>
                </c:pt>
                <c:pt idx="804">
                  <c:v>44</c:v>
                </c:pt>
                <c:pt idx="805">
                  <c:v>44</c:v>
                </c:pt>
                <c:pt idx="806">
                  <c:v>44</c:v>
                </c:pt>
                <c:pt idx="807">
                  <c:v>44</c:v>
                </c:pt>
                <c:pt idx="808">
                  <c:v>45</c:v>
                </c:pt>
                <c:pt idx="809">
                  <c:v>45</c:v>
                </c:pt>
                <c:pt idx="810">
                  <c:v>45</c:v>
                </c:pt>
                <c:pt idx="811">
                  <c:v>45</c:v>
                </c:pt>
                <c:pt idx="812">
                  <c:v>45</c:v>
                </c:pt>
                <c:pt idx="813">
                  <c:v>45</c:v>
                </c:pt>
                <c:pt idx="814">
                  <c:v>45</c:v>
                </c:pt>
                <c:pt idx="815">
                  <c:v>45</c:v>
                </c:pt>
                <c:pt idx="816">
                  <c:v>45</c:v>
                </c:pt>
                <c:pt idx="817">
                  <c:v>45</c:v>
                </c:pt>
                <c:pt idx="818">
                  <c:v>45</c:v>
                </c:pt>
                <c:pt idx="819">
                  <c:v>45</c:v>
                </c:pt>
                <c:pt idx="820">
                  <c:v>45</c:v>
                </c:pt>
                <c:pt idx="821">
                  <c:v>45</c:v>
                </c:pt>
                <c:pt idx="822">
                  <c:v>45</c:v>
                </c:pt>
                <c:pt idx="823">
                  <c:v>45</c:v>
                </c:pt>
                <c:pt idx="824">
                  <c:v>45</c:v>
                </c:pt>
                <c:pt idx="825">
                  <c:v>45</c:v>
                </c:pt>
                <c:pt idx="826">
                  <c:v>45</c:v>
                </c:pt>
                <c:pt idx="827">
                  <c:v>45</c:v>
                </c:pt>
                <c:pt idx="828">
                  <c:v>45</c:v>
                </c:pt>
                <c:pt idx="829">
                  <c:v>45</c:v>
                </c:pt>
                <c:pt idx="830">
                  <c:v>45</c:v>
                </c:pt>
                <c:pt idx="831">
                  <c:v>45</c:v>
                </c:pt>
                <c:pt idx="832">
                  <c:v>45</c:v>
                </c:pt>
                <c:pt idx="833">
                  <c:v>45</c:v>
                </c:pt>
                <c:pt idx="834">
                  <c:v>45</c:v>
                </c:pt>
                <c:pt idx="835">
                  <c:v>45</c:v>
                </c:pt>
                <c:pt idx="836">
                  <c:v>45</c:v>
                </c:pt>
                <c:pt idx="837">
                  <c:v>46</c:v>
                </c:pt>
                <c:pt idx="838">
                  <c:v>46</c:v>
                </c:pt>
                <c:pt idx="839">
                  <c:v>46</c:v>
                </c:pt>
                <c:pt idx="840">
                  <c:v>46</c:v>
                </c:pt>
                <c:pt idx="841">
                  <c:v>46</c:v>
                </c:pt>
                <c:pt idx="842">
                  <c:v>46</c:v>
                </c:pt>
                <c:pt idx="843">
                  <c:v>46</c:v>
                </c:pt>
                <c:pt idx="844">
                  <c:v>46</c:v>
                </c:pt>
                <c:pt idx="845">
                  <c:v>46</c:v>
                </c:pt>
                <c:pt idx="846">
                  <c:v>46</c:v>
                </c:pt>
                <c:pt idx="847">
                  <c:v>46</c:v>
                </c:pt>
                <c:pt idx="848">
                  <c:v>46</c:v>
                </c:pt>
                <c:pt idx="849">
                  <c:v>46</c:v>
                </c:pt>
                <c:pt idx="850">
                  <c:v>46</c:v>
                </c:pt>
                <c:pt idx="851">
                  <c:v>46</c:v>
                </c:pt>
                <c:pt idx="852">
                  <c:v>46</c:v>
                </c:pt>
                <c:pt idx="853">
                  <c:v>46</c:v>
                </c:pt>
                <c:pt idx="854">
                  <c:v>46</c:v>
                </c:pt>
                <c:pt idx="855">
                  <c:v>46</c:v>
                </c:pt>
                <c:pt idx="856">
                  <c:v>46</c:v>
                </c:pt>
                <c:pt idx="857">
                  <c:v>46</c:v>
                </c:pt>
                <c:pt idx="858">
                  <c:v>46</c:v>
                </c:pt>
                <c:pt idx="859">
                  <c:v>46</c:v>
                </c:pt>
                <c:pt idx="860">
                  <c:v>46</c:v>
                </c:pt>
                <c:pt idx="861">
                  <c:v>46</c:v>
                </c:pt>
                <c:pt idx="862">
                  <c:v>46</c:v>
                </c:pt>
                <c:pt idx="863">
                  <c:v>46</c:v>
                </c:pt>
                <c:pt idx="864">
                  <c:v>46</c:v>
                </c:pt>
                <c:pt idx="865">
                  <c:v>46</c:v>
                </c:pt>
                <c:pt idx="866">
                  <c:v>47</c:v>
                </c:pt>
                <c:pt idx="867">
                  <c:v>47</c:v>
                </c:pt>
                <c:pt idx="868">
                  <c:v>47</c:v>
                </c:pt>
                <c:pt idx="869">
                  <c:v>47</c:v>
                </c:pt>
                <c:pt idx="870">
                  <c:v>47</c:v>
                </c:pt>
                <c:pt idx="871">
                  <c:v>47</c:v>
                </c:pt>
                <c:pt idx="872">
                  <c:v>47</c:v>
                </c:pt>
                <c:pt idx="873">
                  <c:v>47</c:v>
                </c:pt>
                <c:pt idx="874">
                  <c:v>47</c:v>
                </c:pt>
                <c:pt idx="875">
                  <c:v>47</c:v>
                </c:pt>
                <c:pt idx="876">
                  <c:v>47</c:v>
                </c:pt>
                <c:pt idx="877">
                  <c:v>47</c:v>
                </c:pt>
                <c:pt idx="878">
                  <c:v>47</c:v>
                </c:pt>
                <c:pt idx="879">
                  <c:v>47</c:v>
                </c:pt>
                <c:pt idx="880">
                  <c:v>47</c:v>
                </c:pt>
                <c:pt idx="881">
                  <c:v>47</c:v>
                </c:pt>
                <c:pt idx="882">
                  <c:v>47</c:v>
                </c:pt>
                <c:pt idx="883">
                  <c:v>47</c:v>
                </c:pt>
                <c:pt idx="884">
                  <c:v>47</c:v>
                </c:pt>
                <c:pt idx="885">
                  <c:v>47</c:v>
                </c:pt>
                <c:pt idx="886">
                  <c:v>47</c:v>
                </c:pt>
                <c:pt idx="887">
                  <c:v>47</c:v>
                </c:pt>
                <c:pt idx="888">
                  <c:v>47</c:v>
                </c:pt>
                <c:pt idx="889">
                  <c:v>47</c:v>
                </c:pt>
                <c:pt idx="890">
                  <c:v>47</c:v>
                </c:pt>
                <c:pt idx="891">
                  <c:v>47</c:v>
                </c:pt>
                <c:pt idx="892">
                  <c:v>47</c:v>
                </c:pt>
                <c:pt idx="893">
                  <c:v>47</c:v>
                </c:pt>
                <c:pt idx="894">
                  <c:v>47</c:v>
                </c:pt>
                <c:pt idx="895">
                  <c:v>48</c:v>
                </c:pt>
                <c:pt idx="896">
                  <c:v>48</c:v>
                </c:pt>
                <c:pt idx="897">
                  <c:v>48</c:v>
                </c:pt>
                <c:pt idx="898">
                  <c:v>48</c:v>
                </c:pt>
                <c:pt idx="899">
                  <c:v>48</c:v>
                </c:pt>
                <c:pt idx="900">
                  <c:v>48</c:v>
                </c:pt>
                <c:pt idx="901">
                  <c:v>48</c:v>
                </c:pt>
                <c:pt idx="902">
                  <c:v>48</c:v>
                </c:pt>
                <c:pt idx="903">
                  <c:v>48</c:v>
                </c:pt>
                <c:pt idx="904">
                  <c:v>48</c:v>
                </c:pt>
                <c:pt idx="905">
                  <c:v>48</c:v>
                </c:pt>
                <c:pt idx="906">
                  <c:v>48</c:v>
                </c:pt>
                <c:pt idx="907">
                  <c:v>48</c:v>
                </c:pt>
                <c:pt idx="908">
                  <c:v>48</c:v>
                </c:pt>
                <c:pt idx="909">
                  <c:v>48</c:v>
                </c:pt>
                <c:pt idx="910">
                  <c:v>48</c:v>
                </c:pt>
                <c:pt idx="911">
                  <c:v>48</c:v>
                </c:pt>
                <c:pt idx="912">
                  <c:v>48</c:v>
                </c:pt>
                <c:pt idx="913">
                  <c:v>48</c:v>
                </c:pt>
                <c:pt idx="914">
                  <c:v>48</c:v>
                </c:pt>
                <c:pt idx="915">
                  <c:v>48</c:v>
                </c:pt>
                <c:pt idx="916">
                  <c:v>48</c:v>
                </c:pt>
                <c:pt idx="917">
                  <c:v>48</c:v>
                </c:pt>
                <c:pt idx="918">
                  <c:v>48</c:v>
                </c:pt>
                <c:pt idx="919">
                  <c:v>48</c:v>
                </c:pt>
                <c:pt idx="920">
                  <c:v>48</c:v>
                </c:pt>
                <c:pt idx="921">
                  <c:v>48</c:v>
                </c:pt>
                <c:pt idx="922">
                  <c:v>48</c:v>
                </c:pt>
                <c:pt idx="923">
                  <c:v>48</c:v>
                </c:pt>
                <c:pt idx="924">
                  <c:v>49</c:v>
                </c:pt>
                <c:pt idx="925">
                  <c:v>49</c:v>
                </c:pt>
                <c:pt idx="926">
                  <c:v>49</c:v>
                </c:pt>
                <c:pt idx="927">
                  <c:v>49</c:v>
                </c:pt>
                <c:pt idx="928">
                  <c:v>49</c:v>
                </c:pt>
                <c:pt idx="929">
                  <c:v>49</c:v>
                </c:pt>
                <c:pt idx="930">
                  <c:v>49</c:v>
                </c:pt>
                <c:pt idx="931">
                  <c:v>49</c:v>
                </c:pt>
                <c:pt idx="932">
                  <c:v>49</c:v>
                </c:pt>
                <c:pt idx="933">
                  <c:v>49</c:v>
                </c:pt>
                <c:pt idx="934">
                  <c:v>49</c:v>
                </c:pt>
                <c:pt idx="935">
                  <c:v>49</c:v>
                </c:pt>
                <c:pt idx="936">
                  <c:v>49</c:v>
                </c:pt>
                <c:pt idx="937">
                  <c:v>49</c:v>
                </c:pt>
                <c:pt idx="938">
                  <c:v>49</c:v>
                </c:pt>
                <c:pt idx="939">
                  <c:v>49</c:v>
                </c:pt>
                <c:pt idx="940">
                  <c:v>49</c:v>
                </c:pt>
                <c:pt idx="941">
                  <c:v>49</c:v>
                </c:pt>
                <c:pt idx="942">
                  <c:v>49</c:v>
                </c:pt>
                <c:pt idx="943">
                  <c:v>49</c:v>
                </c:pt>
                <c:pt idx="944">
                  <c:v>49</c:v>
                </c:pt>
                <c:pt idx="945">
                  <c:v>49</c:v>
                </c:pt>
                <c:pt idx="946">
                  <c:v>49</c:v>
                </c:pt>
                <c:pt idx="947">
                  <c:v>49</c:v>
                </c:pt>
                <c:pt idx="948">
                  <c:v>49</c:v>
                </c:pt>
                <c:pt idx="949">
                  <c:v>49</c:v>
                </c:pt>
                <c:pt idx="950">
                  <c:v>49</c:v>
                </c:pt>
                <c:pt idx="951">
                  <c:v>49</c:v>
                </c:pt>
                <c:pt idx="952">
                  <c:v>50</c:v>
                </c:pt>
                <c:pt idx="953">
                  <c:v>50</c:v>
                </c:pt>
                <c:pt idx="954">
                  <c:v>50</c:v>
                </c:pt>
                <c:pt idx="955">
                  <c:v>50</c:v>
                </c:pt>
                <c:pt idx="956">
                  <c:v>50</c:v>
                </c:pt>
                <c:pt idx="957">
                  <c:v>50</c:v>
                </c:pt>
                <c:pt idx="958">
                  <c:v>50</c:v>
                </c:pt>
                <c:pt idx="959">
                  <c:v>50</c:v>
                </c:pt>
                <c:pt idx="960">
                  <c:v>50</c:v>
                </c:pt>
                <c:pt idx="961">
                  <c:v>50</c:v>
                </c:pt>
                <c:pt idx="962">
                  <c:v>50</c:v>
                </c:pt>
                <c:pt idx="963">
                  <c:v>50</c:v>
                </c:pt>
                <c:pt idx="964">
                  <c:v>50</c:v>
                </c:pt>
                <c:pt idx="965">
                  <c:v>50</c:v>
                </c:pt>
                <c:pt idx="966">
                  <c:v>50</c:v>
                </c:pt>
                <c:pt idx="967">
                  <c:v>50</c:v>
                </c:pt>
                <c:pt idx="968">
                  <c:v>50</c:v>
                </c:pt>
                <c:pt idx="969">
                  <c:v>50</c:v>
                </c:pt>
                <c:pt idx="970">
                  <c:v>50</c:v>
                </c:pt>
                <c:pt idx="971">
                  <c:v>50</c:v>
                </c:pt>
                <c:pt idx="972">
                  <c:v>50</c:v>
                </c:pt>
                <c:pt idx="973">
                  <c:v>50</c:v>
                </c:pt>
                <c:pt idx="974">
                  <c:v>50</c:v>
                </c:pt>
                <c:pt idx="975">
                  <c:v>50</c:v>
                </c:pt>
                <c:pt idx="976">
                  <c:v>50</c:v>
                </c:pt>
                <c:pt idx="977">
                  <c:v>50</c:v>
                </c:pt>
                <c:pt idx="978">
                  <c:v>50</c:v>
                </c:pt>
                <c:pt idx="979">
                  <c:v>50</c:v>
                </c:pt>
                <c:pt idx="980">
                  <c:v>50</c:v>
                </c:pt>
                <c:pt idx="981">
                  <c:v>51</c:v>
                </c:pt>
                <c:pt idx="982">
                  <c:v>51</c:v>
                </c:pt>
                <c:pt idx="983">
                  <c:v>51</c:v>
                </c:pt>
                <c:pt idx="984">
                  <c:v>51</c:v>
                </c:pt>
                <c:pt idx="985">
                  <c:v>51</c:v>
                </c:pt>
                <c:pt idx="986">
                  <c:v>51</c:v>
                </c:pt>
                <c:pt idx="987">
                  <c:v>51</c:v>
                </c:pt>
                <c:pt idx="988">
                  <c:v>51</c:v>
                </c:pt>
                <c:pt idx="989">
                  <c:v>51</c:v>
                </c:pt>
                <c:pt idx="990">
                  <c:v>51</c:v>
                </c:pt>
                <c:pt idx="991">
                  <c:v>51</c:v>
                </c:pt>
                <c:pt idx="992">
                  <c:v>51</c:v>
                </c:pt>
                <c:pt idx="993">
                  <c:v>51</c:v>
                </c:pt>
                <c:pt idx="994">
                  <c:v>51</c:v>
                </c:pt>
                <c:pt idx="995">
                  <c:v>51</c:v>
                </c:pt>
                <c:pt idx="996">
                  <c:v>51</c:v>
                </c:pt>
                <c:pt idx="997">
                  <c:v>51</c:v>
                </c:pt>
                <c:pt idx="998">
                  <c:v>51</c:v>
                </c:pt>
                <c:pt idx="999">
                  <c:v>51</c:v>
                </c:pt>
                <c:pt idx="1000">
                  <c:v>51</c:v>
                </c:pt>
                <c:pt idx="1001">
                  <c:v>51</c:v>
                </c:pt>
                <c:pt idx="1002">
                  <c:v>51</c:v>
                </c:pt>
                <c:pt idx="1003">
                  <c:v>51</c:v>
                </c:pt>
                <c:pt idx="1004">
                  <c:v>51</c:v>
                </c:pt>
                <c:pt idx="1005">
                  <c:v>51</c:v>
                </c:pt>
                <c:pt idx="1006">
                  <c:v>51</c:v>
                </c:pt>
                <c:pt idx="1007">
                  <c:v>51</c:v>
                </c:pt>
                <c:pt idx="1008">
                  <c:v>51</c:v>
                </c:pt>
                <c:pt idx="1009">
                  <c:v>51</c:v>
                </c:pt>
                <c:pt idx="1010">
                  <c:v>52</c:v>
                </c:pt>
                <c:pt idx="1011">
                  <c:v>52</c:v>
                </c:pt>
                <c:pt idx="1012">
                  <c:v>52</c:v>
                </c:pt>
                <c:pt idx="1013">
                  <c:v>52</c:v>
                </c:pt>
                <c:pt idx="1014">
                  <c:v>52</c:v>
                </c:pt>
                <c:pt idx="1015">
                  <c:v>52</c:v>
                </c:pt>
                <c:pt idx="1016">
                  <c:v>52</c:v>
                </c:pt>
                <c:pt idx="1017">
                  <c:v>52</c:v>
                </c:pt>
                <c:pt idx="1018">
                  <c:v>52</c:v>
                </c:pt>
                <c:pt idx="1019">
                  <c:v>52</c:v>
                </c:pt>
                <c:pt idx="1020">
                  <c:v>52</c:v>
                </c:pt>
                <c:pt idx="1021">
                  <c:v>52</c:v>
                </c:pt>
                <c:pt idx="1022">
                  <c:v>52</c:v>
                </c:pt>
                <c:pt idx="1023">
                  <c:v>52</c:v>
                </c:pt>
                <c:pt idx="1024">
                  <c:v>52</c:v>
                </c:pt>
                <c:pt idx="1025">
                  <c:v>52</c:v>
                </c:pt>
                <c:pt idx="1026">
                  <c:v>52</c:v>
                </c:pt>
                <c:pt idx="1027">
                  <c:v>52</c:v>
                </c:pt>
                <c:pt idx="1028">
                  <c:v>52</c:v>
                </c:pt>
                <c:pt idx="1029">
                  <c:v>52</c:v>
                </c:pt>
                <c:pt idx="1030">
                  <c:v>52</c:v>
                </c:pt>
                <c:pt idx="1031">
                  <c:v>52</c:v>
                </c:pt>
                <c:pt idx="1032">
                  <c:v>52</c:v>
                </c:pt>
                <c:pt idx="1033">
                  <c:v>52</c:v>
                </c:pt>
                <c:pt idx="1034">
                  <c:v>52</c:v>
                </c:pt>
                <c:pt idx="1035">
                  <c:v>52</c:v>
                </c:pt>
                <c:pt idx="1036">
                  <c:v>52</c:v>
                </c:pt>
                <c:pt idx="1037">
                  <c:v>52</c:v>
                </c:pt>
                <c:pt idx="1038">
                  <c:v>52</c:v>
                </c:pt>
                <c:pt idx="1039">
                  <c:v>53</c:v>
                </c:pt>
                <c:pt idx="1040">
                  <c:v>53</c:v>
                </c:pt>
                <c:pt idx="1041">
                  <c:v>53</c:v>
                </c:pt>
                <c:pt idx="1042">
                  <c:v>53</c:v>
                </c:pt>
                <c:pt idx="1043">
                  <c:v>53</c:v>
                </c:pt>
                <c:pt idx="1044">
                  <c:v>53</c:v>
                </c:pt>
                <c:pt idx="1045">
                  <c:v>53</c:v>
                </c:pt>
                <c:pt idx="1046">
                  <c:v>53</c:v>
                </c:pt>
                <c:pt idx="1047">
                  <c:v>53</c:v>
                </c:pt>
                <c:pt idx="1048">
                  <c:v>53</c:v>
                </c:pt>
                <c:pt idx="1049">
                  <c:v>53</c:v>
                </c:pt>
                <c:pt idx="1050">
                  <c:v>53</c:v>
                </c:pt>
                <c:pt idx="1051">
                  <c:v>53</c:v>
                </c:pt>
                <c:pt idx="1052">
                  <c:v>53</c:v>
                </c:pt>
                <c:pt idx="1053">
                  <c:v>53</c:v>
                </c:pt>
                <c:pt idx="1054">
                  <c:v>53</c:v>
                </c:pt>
                <c:pt idx="1055">
                  <c:v>53</c:v>
                </c:pt>
                <c:pt idx="1056">
                  <c:v>53</c:v>
                </c:pt>
                <c:pt idx="1057">
                  <c:v>53</c:v>
                </c:pt>
                <c:pt idx="1058">
                  <c:v>53</c:v>
                </c:pt>
                <c:pt idx="1059">
                  <c:v>53</c:v>
                </c:pt>
                <c:pt idx="1060">
                  <c:v>53</c:v>
                </c:pt>
                <c:pt idx="1061">
                  <c:v>53</c:v>
                </c:pt>
                <c:pt idx="1062">
                  <c:v>53</c:v>
                </c:pt>
                <c:pt idx="1063">
                  <c:v>53</c:v>
                </c:pt>
                <c:pt idx="1064">
                  <c:v>53</c:v>
                </c:pt>
                <c:pt idx="1065">
                  <c:v>53</c:v>
                </c:pt>
                <c:pt idx="1066">
                  <c:v>53</c:v>
                </c:pt>
                <c:pt idx="1067">
                  <c:v>54</c:v>
                </c:pt>
                <c:pt idx="1068">
                  <c:v>54</c:v>
                </c:pt>
                <c:pt idx="1069">
                  <c:v>54</c:v>
                </c:pt>
                <c:pt idx="1070">
                  <c:v>54</c:v>
                </c:pt>
                <c:pt idx="1071">
                  <c:v>54</c:v>
                </c:pt>
                <c:pt idx="1072">
                  <c:v>54</c:v>
                </c:pt>
                <c:pt idx="1073">
                  <c:v>54</c:v>
                </c:pt>
                <c:pt idx="1074">
                  <c:v>54</c:v>
                </c:pt>
                <c:pt idx="1075">
                  <c:v>54</c:v>
                </c:pt>
                <c:pt idx="1076">
                  <c:v>54</c:v>
                </c:pt>
                <c:pt idx="1077">
                  <c:v>54</c:v>
                </c:pt>
                <c:pt idx="1078">
                  <c:v>54</c:v>
                </c:pt>
                <c:pt idx="1079">
                  <c:v>54</c:v>
                </c:pt>
                <c:pt idx="1080">
                  <c:v>54</c:v>
                </c:pt>
                <c:pt idx="1081">
                  <c:v>54</c:v>
                </c:pt>
                <c:pt idx="1082">
                  <c:v>54</c:v>
                </c:pt>
                <c:pt idx="1083">
                  <c:v>54</c:v>
                </c:pt>
                <c:pt idx="1084">
                  <c:v>54</c:v>
                </c:pt>
                <c:pt idx="1085">
                  <c:v>54</c:v>
                </c:pt>
                <c:pt idx="1086">
                  <c:v>54</c:v>
                </c:pt>
                <c:pt idx="1087">
                  <c:v>54</c:v>
                </c:pt>
                <c:pt idx="1088">
                  <c:v>54</c:v>
                </c:pt>
                <c:pt idx="1089">
                  <c:v>54</c:v>
                </c:pt>
                <c:pt idx="1090">
                  <c:v>54</c:v>
                </c:pt>
                <c:pt idx="1091">
                  <c:v>54</c:v>
                </c:pt>
                <c:pt idx="1092">
                  <c:v>54</c:v>
                </c:pt>
                <c:pt idx="1093">
                  <c:v>54</c:v>
                </c:pt>
                <c:pt idx="1094">
                  <c:v>54</c:v>
                </c:pt>
                <c:pt idx="1095">
                  <c:v>55</c:v>
                </c:pt>
                <c:pt idx="1096">
                  <c:v>55</c:v>
                </c:pt>
                <c:pt idx="1097">
                  <c:v>55</c:v>
                </c:pt>
                <c:pt idx="1098">
                  <c:v>55</c:v>
                </c:pt>
                <c:pt idx="1099">
                  <c:v>55</c:v>
                </c:pt>
                <c:pt idx="1100">
                  <c:v>55</c:v>
                </c:pt>
                <c:pt idx="1101">
                  <c:v>55</c:v>
                </c:pt>
                <c:pt idx="1102">
                  <c:v>55</c:v>
                </c:pt>
                <c:pt idx="1103">
                  <c:v>55</c:v>
                </c:pt>
                <c:pt idx="1104">
                  <c:v>55</c:v>
                </c:pt>
                <c:pt idx="1105">
                  <c:v>55</c:v>
                </c:pt>
                <c:pt idx="1106">
                  <c:v>55</c:v>
                </c:pt>
                <c:pt idx="1107">
                  <c:v>55</c:v>
                </c:pt>
                <c:pt idx="1108">
                  <c:v>55</c:v>
                </c:pt>
                <c:pt idx="1109">
                  <c:v>55</c:v>
                </c:pt>
                <c:pt idx="1110">
                  <c:v>55</c:v>
                </c:pt>
                <c:pt idx="1111">
                  <c:v>55</c:v>
                </c:pt>
                <c:pt idx="1112">
                  <c:v>55</c:v>
                </c:pt>
                <c:pt idx="1113">
                  <c:v>55</c:v>
                </c:pt>
                <c:pt idx="1114">
                  <c:v>55</c:v>
                </c:pt>
                <c:pt idx="1115">
                  <c:v>55</c:v>
                </c:pt>
                <c:pt idx="1116">
                  <c:v>55</c:v>
                </c:pt>
                <c:pt idx="1117">
                  <c:v>55</c:v>
                </c:pt>
                <c:pt idx="1118">
                  <c:v>55</c:v>
                </c:pt>
                <c:pt idx="1119">
                  <c:v>55</c:v>
                </c:pt>
                <c:pt idx="1120">
                  <c:v>55</c:v>
                </c:pt>
                <c:pt idx="1121">
                  <c:v>56</c:v>
                </c:pt>
                <c:pt idx="1122">
                  <c:v>56</c:v>
                </c:pt>
                <c:pt idx="1123">
                  <c:v>56</c:v>
                </c:pt>
                <c:pt idx="1124">
                  <c:v>56</c:v>
                </c:pt>
                <c:pt idx="1125">
                  <c:v>56</c:v>
                </c:pt>
                <c:pt idx="1126">
                  <c:v>56</c:v>
                </c:pt>
                <c:pt idx="1127">
                  <c:v>56</c:v>
                </c:pt>
                <c:pt idx="1128">
                  <c:v>56</c:v>
                </c:pt>
                <c:pt idx="1129">
                  <c:v>56</c:v>
                </c:pt>
                <c:pt idx="1130">
                  <c:v>56</c:v>
                </c:pt>
                <c:pt idx="1131">
                  <c:v>56</c:v>
                </c:pt>
                <c:pt idx="1132">
                  <c:v>56</c:v>
                </c:pt>
                <c:pt idx="1133">
                  <c:v>56</c:v>
                </c:pt>
                <c:pt idx="1134">
                  <c:v>56</c:v>
                </c:pt>
                <c:pt idx="1135">
                  <c:v>56</c:v>
                </c:pt>
                <c:pt idx="1136">
                  <c:v>56</c:v>
                </c:pt>
                <c:pt idx="1137">
                  <c:v>56</c:v>
                </c:pt>
                <c:pt idx="1138">
                  <c:v>56</c:v>
                </c:pt>
                <c:pt idx="1139">
                  <c:v>56</c:v>
                </c:pt>
                <c:pt idx="1140">
                  <c:v>56</c:v>
                </c:pt>
                <c:pt idx="1141">
                  <c:v>56</c:v>
                </c:pt>
                <c:pt idx="1142">
                  <c:v>56</c:v>
                </c:pt>
                <c:pt idx="1143">
                  <c:v>56</c:v>
                </c:pt>
                <c:pt idx="1144">
                  <c:v>56</c:v>
                </c:pt>
                <c:pt idx="1145">
                  <c:v>56</c:v>
                </c:pt>
                <c:pt idx="1146">
                  <c:v>56</c:v>
                </c:pt>
                <c:pt idx="1147">
                  <c:v>57</c:v>
                </c:pt>
                <c:pt idx="1148">
                  <c:v>57</c:v>
                </c:pt>
                <c:pt idx="1149">
                  <c:v>57</c:v>
                </c:pt>
                <c:pt idx="1150">
                  <c:v>57</c:v>
                </c:pt>
                <c:pt idx="1151">
                  <c:v>57</c:v>
                </c:pt>
                <c:pt idx="1152">
                  <c:v>57</c:v>
                </c:pt>
                <c:pt idx="1153">
                  <c:v>57</c:v>
                </c:pt>
                <c:pt idx="1154">
                  <c:v>57</c:v>
                </c:pt>
                <c:pt idx="1155">
                  <c:v>57</c:v>
                </c:pt>
                <c:pt idx="1156">
                  <c:v>57</c:v>
                </c:pt>
                <c:pt idx="1157">
                  <c:v>57</c:v>
                </c:pt>
                <c:pt idx="1158">
                  <c:v>57</c:v>
                </c:pt>
                <c:pt idx="1159">
                  <c:v>57</c:v>
                </c:pt>
                <c:pt idx="1160">
                  <c:v>57</c:v>
                </c:pt>
                <c:pt idx="1161">
                  <c:v>57</c:v>
                </c:pt>
                <c:pt idx="1162">
                  <c:v>57</c:v>
                </c:pt>
                <c:pt idx="1163">
                  <c:v>57</c:v>
                </c:pt>
                <c:pt idx="1164">
                  <c:v>57</c:v>
                </c:pt>
                <c:pt idx="1165">
                  <c:v>57</c:v>
                </c:pt>
                <c:pt idx="1166">
                  <c:v>57</c:v>
                </c:pt>
                <c:pt idx="1167">
                  <c:v>57</c:v>
                </c:pt>
                <c:pt idx="1168">
                  <c:v>57</c:v>
                </c:pt>
                <c:pt idx="1169">
                  <c:v>57</c:v>
                </c:pt>
                <c:pt idx="1170">
                  <c:v>57</c:v>
                </c:pt>
                <c:pt idx="1171">
                  <c:v>57</c:v>
                </c:pt>
                <c:pt idx="1172">
                  <c:v>57</c:v>
                </c:pt>
                <c:pt idx="1173">
                  <c:v>58</c:v>
                </c:pt>
                <c:pt idx="1174">
                  <c:v>58</c:v>
                </c:pt>
                <c:pt idx="1175">
                  <c:v>58</c:v>
                </c:pt>
                <c:pt idx="1176">
                  <c:v>58</c:v>
                </c:pt>
                <c:pt idx="1177">
                  <c:v>58</c:v>
                </c:pt>
                <c:pt idx="1178">
                  <c:v>58</c:v>
                </c:pt>
                <c:pt idx="1179">
                  <c:v>58</c:v>
                </c:pt>
                <c:pt idx="1180">
                  <c:v>58</c:v>
                </c:pt>
                <c:pt idx="1181">
                  <c:v>58</c:v>
                </c:pt>
                <c:pt idx="1182">
                  <c:v>58</c:v>
                </c:pt>
                <c:pt idx="1183">
                  <c:v>58</c:v>
                </c:pt>
                <c:pt idx="1184">
                  <c:v>58</c:v>
                </c:pt>
                <c:pt idx="1185">
                  <c:v>58</c:v>
                </c:pt>
                <c:pt idx="1186">
                  <c:v>58</c:v>
                </c:pt>
                <c:pt idx="1187">
                  <c:v>58</c:v>
                </c:pt>
                <c:pt idx="1188">
                  <c:v>58</c:v>
                </c:pt>
                <c:pt idx="1189">
                  <c:v>58</c:v>
                </c:pt>
                <c:pt idx="1190">
                  <c:v>58</c:v>
                </c:pt>
                <c:pt idx="1191">
                  <c:v>58</c:v>
                </c:pt>
                <c:pt idx="1192">
                  <c:v>58</c:v>
                </c:pt>
                <c:pt idx="1193">
                  <c:v>58</c:v>
                </c:pt>
                <c:pt idx="1194">
                  <c:v>58</c:v>
                </c:pt>
                <c:pt idx="1195">
                  <c:v>58</c:v>
                </c:pt>
                <c:pt idx="1196">
                  <c:v>58</c:v>
                </c:pt>
                <c:pt idx="1197">
                  <c:v>58</c:v>
                </c:pt>
                <c:pt idx="1198">
                  <c:v>59</c:v>
                </c:pt>
                <c:pt idx="1199">
                  <c:v>59</c:v>
                </c:pt>
                <c:pt idx="1200">
                  <c:v>59</c:v>
                </c:pt>
                <c:pt idx="1201">
                  <c:v>59</c:v>
                </c:pt>
                <c:pt idx="1202">
                  <c:v>59</c:v>
                </c:pt>
                <c:pt idx="1203">
                  <c:v>59</c:v>
                </c:pt>
                <c:pt idx="1204">
                  <c:v>59</c:v>
                </c:pt>
                <c:pt idx="1205">
                  <c:v>59</c:v>
                </c:pt>
                <c:pt idx="1206">
                  <c:v>59</c:v>
                </c:pt>
                <c:pt idx="1207">
                  <c:v>59</c:v>
                </c:pt>
                <c:pt idx="1208">
                  <c:v>59</c:v>
                </c:pt>
                <c:pt idx="1209">
                  <c:v>59</c:v>
                </c:pt>
                <c:pt idx="1210">
                  <c:v>59</c:v>
                </c:pt>
                <c:pt idx="1211">
                  <c:v>59</c:v>
                </c:pt>
                <c:pt idx="1212">
                  <c:v>59</c:v>
                </c:pt>
                <c:pt idx="1213">
                  <c:v>59</c:v>
                </c:pt>
                <c:pt idx="1214">
                  <c:v>59</c:v>
                </c:pt>
                <c:pt idx="1215">
                  <c:v>59</c:v>
                </c:pt>
                <c:pt idx="1216">
                  <c:v>59</c:v>
                </c:pt>
                <c:pt idx="1217">
                  <c:v>59</c:v>
                </c:pt>
                <c:pt idx="1218">
                  <c:v>59</c:v>
                </c:pt>
                <c:pt idx="1219">
                  <c:v>59</c:v>
                </c:pt>
                <c:pt idx="1220">
                  <c:v>59</c:v>
                </c:pt>
                <c:pt idx="1221">
                  <c:v>59</c:v>
                </c:pt>
                <c:pt idx="1222">
                  <c:v>59</c:v>
                </c:pt>
                <c:pt idx="1223">
                  <c:v>60</c:v>
                </c:pt>
                <c:pt idx="1224">
                  <c:v>60</c:v>
                </c:pt>
                <c:pt idx="1225">
                  <c:v>60</c:v>
                </c:pt>
                <c:pt idx="1226">
                  <c:v>60</c:v>
                </c:pt>
                <c:pt idx="1227">
                  <c:v>60</c:v>
                </c:pt>
                <c:pt idx="1228">
                  <c:v>60</c:v>
                </c:pt>
                <c:pt idx="1229">
                  <c:v>60</c:v>
                </c:pt>
                <c:pt idx="1230">
                  <c:v>60</c:v>
                </c:pt>
                <c:pt idx="1231">
                  <c:v>60</c:v>
                </c:pt>
                <c:pt idx="1232">
                  <c:v>60</c:v>
                </c:pt>
                <c:pt idx="1233">
                  <c:v>60</c:v>
                </c:pt>
                <c:pt idx="1234">
                  <c:v>60</c:v>
                </c:pt>
                <c:pt idx="1235">
                  <c:v>60</c:v>
                </c:pt>
                <c:pt idx="1236">
                  <c:v>60</c:v>
                </c:pt>
                <c:pt idx="1237">
                  <c:v>60</c:v>
                </c:pt>
                <c:pt idx="1238">
                  <c:v>60</c:v>
                </c:pt>
                <c:pt idx="1239">
                  <c:v>60</c:v>
                </c:pt>
                <c:pt idx="1240">
                  <c:v>60</c:v>
                </c:pt>
                <c:pt idx="1241">
                  <c:v>60</c:v>
                </c:pt>
                <c:pt idx="1242">
                  <c:v>60</c:v>
                </c:pt>
                <c:pt idx="1243">
                  <c:v>60</c:v>
                </c:pt>
                <c:pt idx="1244">
                  <c:v>60</c:v>
                </c:pt>
                <c:pt idx="1245">
                  <c:v>60</c:v>
                </c:pt>
                <c:pt idx="1246">
                  <c:v>61</c:v>
                </c:pt>
                <c:pt idx="1247">
                  <c:v>61</c:v>
                </c:pt>
                <c:pt idx="1248">
                  <c:v>61</c:v>
                </c:pt>
                <c:pt idx="1249">
                  <c:v>61</c:v>
                </c:pt>
                <c:pt idx="1250">
                  <c:v>61</c:v>
                </c:pt>
                <c:pt idx="1251">
                  <c:v>61</c:v>
                </c:pt>
                <c:pt idx="1252">
                  <c:v>61</c:v>
                </c:pt>
                <c:pt idx="1253">
                  <c:v>61</c:v>
                </c:pt>
                <c:pt idx="1254">
                  <c:v>61</c:v>
                </c:pt>
                <c:pt idx="1255">
                  <c:v>61</c:v>
                </c:pt>
                <c:pt idx="1256">
                  <c:v>61</c:v>
                </c:pt>
                <c:pt idx="1257">
                  <c:v>61</c:v>
                </c:pt>
                <c:pt idx="1258">
                  <c:v>61</c:v>
                </c:pt>
                <c:pt idx="1259">
                  <c:v>61</c:v>
                </c:pt>
                <c:pt idx="1260">
                  <c:v>61</c:v>
                </c:pt>
                <c:pt idx="1261">
                  <c:v>61</c:v>
                </c:pt>
                <c:pt idx="1262">
                  <c:v>61</c:v>
                </c:pt>
                <c:pt idx="1263">
                  <c:v>61</c:v>
                </c:pt>
                <c:pt idx="1264">
                  <c:v>61</c:v>
                </c:pt>
                <c:pt idx="1265">
                  <c:v>61</c:v>
                </c:pt>
                <c:pt idx="1266">
                  <c:v>61</c:v>
                </c:pt>
                <c:pt idx="1267">
                  <c:v>61</c:v>
                </c:pt>
                <c:pt idx="1268">
                  <c:v>61</c:v>
                </c:pt>
                <c:pt idx="1269">
                  <c:v>62</c:v>
                </c:pt>
                <c:pt idx="1270">
                  <c:v>62</c:v>
                </c:pt>
                <c:pt idx="1271">
                  <c:v>62</c:v>
                </c:pt>
                <c:pt idx="1272">
                  <c:v>62</c:v>
                </c:pt>
                <c:pt idx="1273">
                  <c:v>62</c:v>
                </c:pt>
                <c:pt idx="1274">
                  <c:v>62</c:v>
                </c:pt>
                <c:pt idx="1275">
                  <c:v>62</c:v>
                </c:pt>
                <c:pt idx="1276">
                  <c:v>62</c:v>
                </c:pt>
                <c:pt idx="1277">
                  <c:v>62</c:v>
                </c:pt>
                <c:pt idx="1278">
                  <c:v>62</c:v>
                </c:pt>
                <c:pt idx="1279">
                  <c:v>62</c:v>
                </c:pt>
                <c:pt idx="1280">
                  <c:v>62</c:v>
                </c:pt>
                <c:pt idx="1281">
                  <c:v>62</c:v>
                </c:pt>
                <c:pt idx="1282">
                  <c:v>62</c:v>
                </c:pt>
                <c:pt idx="1283">
                  <c:v>62</c:v>
                </c:pt>
                <c:pt idx="1284">
                  <c:v>62</c:v>
                </c:pt>
                <c:pt idx="1285">
                  <c:v>62</c:v>
                </c:pt>
                <c:pt idx="1286">
                  <c:v>62</c:v>
                </c:pt>
                <c:pt idx="1287">
                  <c:v>62</c:v>
                </c:pt>
                <c:pt idx="1288">
                  <c:v>62</c:v>
                </c:pt>
                <c:pt idx="1289">
                  <c:v>62</c:v>
                </c:pt>
                <c:pt idx="1290">
                  <c:v>62</c:v>
                </c:pt>
                <c:pt idx="1291">
                  <c:v>62</c:v>
                </c:pt>
                <c:pt idx="1292">
                  <c:v>63</c:v>
                </c:pt>
                <c:pt idx="1293">
                  <c:v>63</c:v>
                </c:pt>
                <c:pt idx="1294">
                  <c:v>63</c:v>
                </c:pt>
                <c:pt idx="1295">
                  <c:v>63</c:v>
                </c:pt>
                <c:pt idx="1296">
                  <c:v>63</c:v>
                </c:pt>
                <c:pt idx="1297">
                  <c:v>63</c:v>
                </c:pt>
                <c:pt idx="1298">
                  <c:v>63</c:v>
                </c:pt>
                <c:pt idx="1299">
                  <c:v>63</c:v>
                </c:pt>
                <c:pt idx="1300">
                  <c:v>63</c:v>
                </c:pt>
                <c:pt idx="1301">
                  <c:v>63</c:v>
                </c:pt>
                <c:pt idx="1302">
                  <c:v>63</c:v>
                </c:pt>
                <c:pt idx="1303">
                  <c:v>63</c:v>
                </c:pt>
                <c:pt idx="1304">
                  <c:v>63</c:v>
                </c:pt>
                <c:pt idx="1305">
                  <c:v>63</c:v>
                </c:pt>
                <c:pt idx="1306">
                  <c:v>63</c:v>
                </c:pt>
                <c:pt idx="1307">
                  <c:v>63</c:v>
                </c:pt>
                <c:pt idx="1308">
                  <c:v>63</c:v>
                </c:pt>
                <c:pt idx="1309">
                  <c:v>63</c:v>
                </c:pt>
                <c:pt idx="1310">
                  <c:v>63</c:v>
                </c:pt>
                <c:pt idx="1311">
                  <c:v>63</c:v>
                </c:pt>
                <c:pt idx="1312">
                  <c:v>63</c:v>
                </c:pt>
                <c:pt idx="1313">
                  <c:v>63</c:v>
                </c:pt>
                <c:pt idx="1314">
                  <c:v>63</c:v>
                </c:pt>
                <c:pt idx="1315">
                  <c:v>64</c:v>
                </c:pt>
                <c:pt idx="1316">
                  <c:v>64</c:v>
                </c:pt>
                <c:pt idx="1317">
                  <c:v>64</c:v>
                </c:pt>
                <c:pt idx="1318">
                  <c:v>64</c:v>
                </c:pt>
                <c:pt idx="1319">
                  <c:v>64</c:v>
                </c:pt>
                <c:pt idx="1320">
                  <c:v>64</c:v>
                </c:pt>
                <c:pt idx="1321">
                  <c:v>64</c:v>
                </c:pt>
                <c:pt idx="1322">
                  <c:v>64</c:v>
                </c:pt>
                <c:pt idx="1323">
                  <c:v>64</c:v>
                </c:pt>
                <c:pt idx="1324">
                  <c:v>64</c:v>
                </c:pt>
                <c:pt idx="1325">
                  <c:v>64</c:v>
                </c:pt>
                <c:pt idx="1326">
                  <c:v>64</c:v>
                </c:pt>
                <c:pt idx="1327">
                  <c:v>64</c:v>
                </c:pt>
                <c:pt idx="1328">
                  <c:v>64</c:v>
                </c:pt>
                <c:pt idx="1329">
                  <c:v>64</c:v>
                </c:pt>
                <c:pt idx="1330">
                  <c:v>64</c:v>
                </c:pt>
                <c:pt idx="1331">
                  <c:v>64</c:v>
                </c:pt>
                <c:pt idx="1332">
                  <c:v>64</c:v>
                </c:pt>
                <c:pt idx="1333">
                  <c:v>64</c:v>
                </c:pt>
                <c:pt idx="1334">
                  <c:v>64</c:v>
                </c:pt>
                <c:pt idx="1335">
                  <c:v>64</c:v>
                </c:pt>
                <c:pt idx="1336">
                  <c:v>64</c:v>
                </c:pt>
              </c:numCache>
            </c:numRef>
          </c:xVal>
          <c:yVal>
            <c:numRef>
              <c:f>Sheet16!$G$2:$G$1339</c:f>
              <c:numCache>
                <c:formatCode>_-[$$-409]* #,##0.00_ ;_-[$$-409]* \-#,##0.00\ ;_-[$$-409]* "-"??_ ;_-@_ </c:formatCode>
                <c:ptCount val="1338"/>
                <c:pt idx="0">
                  <c:v>1121.8739</c:v>
                </c:pt>
                <c:pt idx="1">
                  <c:v>1131.5065999999999</c:v>
                </c:pt>
                <c:pt idx="2">
                  <c:v>1135.9407000000001</c:v>
                </c:pt>
                <c:pt idx="3">
                  <c:v>1136.3994</c:v>
                </c:pt>
                <c:pt idx="4">
                  <c:v>1137.011</c:v>
                </c:pt>
                <c:pt idx="5">
                  <c:v>1137.4697000000001</c:v>
                </c:pt>
                <c:pt idx="6">
                  <c:v>1141.4450999999999</c:v>
                </c:pt>
                <c:pt idx="7">
                  <c:v>1146.7965999999999</c:v>
                </c:pt>
                <c:pt idx="8">
                  <c:v>1149.3959</c:v>
                </c:pt>
                <c:pt idx="9">
                  <c:v>1163.4627</c:v>
                </c:pt>
                <c:pt idx="10">
                  <c:v>1241.5650000000001</c:v>
                </c:pt>
                <c:pt idx="11">
                  <c:v>1242.26</c:v>
                </c:pt>
                <c:pt idx="12">
                  <c:v>1242.816</c:v>
                </c:pt>
                <c:pt idx="13">
                  <c:v>1252.4069999999999</c:v>
                </c:pt>
                <c:pt idx="14">
                  <c:v>1253.9359999999999</c:v>
                </c:pt>
                <c:pt idx="15">
                  <c:v>1256.299</c:v>
                </c:pt>
                <c:pt idx="16">
                  <c:v>1261.442</c:v>
                </c:pt>
                <c:pt idx="17">
                  <c:v>1261.8589999999999</c:v>
                </c:pt>
                <c:pt idx="18">
                  <c:v>1263.249</c:v>
                </c:pt>
                <c:pt idx="19">
                  <c:v>1391.5287000000001</c:v>
                </c:pt>
                <c:pt idx="20">
                  <c:v>1515.3449000000001</c:v>
                </c:pt>
                <c:pt idx="21">
                  <c:v>1526.3119999999999</c:v>
                </c:pt>
                <c:pt idx="22">
                  <c:v>1532.4697000000001</c:v>
                </c:pt>
                <c:pt idx="23">
                  <c:v>1534.3045</c:v>
                </c:pt>
                <c:pt idx="24">
                  <c:v>1607.5101</c:v>
                </c:pt>
                <c:pt idx="25">
                  <c:v>1615.7666999999999</c:v>
                </c:pt>
                <c:pt idx="26">
                  <c:v>1621.3402000000001</c:v>
                </c:pt>
                <c:pt idx="27">
                  <c:v>1621.8827000000001</c:v>
                </c:pt>
                <c:pt idx="28">
                  <c:v>1622.1885</c:v>
                </c:pt>
                <c:pt idx="29">
                  <c:v>1625.4337499999999</c:v>
                </c:pt>
                <c:pt idx="30">
                  <c:v>1627.2824499999999</c:v>
                </c:pt>
                <c:pt idx="31">
                  <c:v>1628.4709</c:v>
                </c:pt>
                <c:pt idx="32">
                  <c:v>1629.8335</c:v>
                </c:pt>
                <c:pt idx="33">
                  <c:v>1631.6683</c:v>
                </c:pt>
                <c:pt idx="34">
                  <c:v>1631.8212000000001</c:v>
                </c:pt>
                <c:pt idx="35">
                  <c:v>1632.0362500000001</c:v>
                </c:pt>
                <c:pt idx="36">
                  <c:v>1632.5644500000001</c:v>
                </c:pt>
                <c:pt idx="37">
                  <c:v>1633.0444</c:v>
                </c:pt>
                <c:pt idx="38">
                  <c:v>1633.9618</c:v>
                </c:pt>
                <c:pt idx="39">
                  <c:v>1634.5734</c:v>
                </c:pt>
                <c:pt idx="40">
                  <c:v>1635.7336499999999</c:v>
                </c:pt>
                <c:pt idx="41">
                  <c:v>1639.5631000000001</c:v>
                </c:pt>
                <c:pt idx="42">
                  <c:v>1646.4296999999999</c:v>
                </c:pt>
                <c:pt idx="43">
                  <c:v>1664.9996000000001</c:v>
                </c:pt>
                <c:pt idx="44">
                  <c:v>1674.6323</c:v>
                </c:pt>
                <c:pt idx="45">
                  <c:v>1682.597</c:v>
                </c:pt>
                <c:pt idx="46">
                  <c:v>1694.7963999999999</c:v>
                </c:pt>
                <c:pt idx="47">
                  <c:v>1702.4553000000001</c:v>
                </c:pt>
                <c:pt idx="48">
                  <c:v>1704.5681</c:v>
                </c:pt>
                <c:pt idx="49">
                  <c:v>1704.7001499999999</c:v>
                </c:pt>
                <c:pt idx="50">
                  <c:v>1705.6244999999999</c:v>
                </c:pt>
                <c:pt idx="51">
                  <c:v>1708.0014000000001</c:v>
                </c:pt>
                <c:pt idx="52">
                  <c:v>1708.9257500000001</c:v>
                </c:pt>
                <c:pt idx="53">
                  <c:v>1711.0268000000001</c:v>
                </c:pt>
                <c:pt idx="54">
                  <c:v>1712.2270000000001</c:v>
                </c:pt>
                <c:pt idx="55">
                  <c:v>1719.4363000000001</c:v>
                </c:pt>
                <c:pt idx="56">
                  <c:v>1720.3536999999999</c:v>
                </c:pt>
                <c:pt idx="57">
                  <c:v>1725.5523000000001</c:v>
                </c:pt>
                <c:pt idx="58">
                  <c:v>1727.54</c:v>
                </c:pt>
                <c:pt idx="59">
                  <c:v>1727.7850000000001</c:v>
                </c:pt>
                <c:pt idx="60">
                  <c:v>1728.8969999999999</c:v>
                </c:pt>
                <c:pt idx="61">
                  <c:v>1731.6769999999999</c:v>
                </c:pt>
                <c:pt idx="62">
                  <c:v>1737.376</c:v>
                </c:pt>
                <c:pt idx="63">
                  <c:v>1743.2139999999999</c:v>
                </c:pt>
                <c:pt idx="64">
                  <c:v>1744.4649999999999</c:v>
                </c:pt>
                <c:pt idx="65">
                  <c:v>1748.7739999999999</c:v>
                </c:pt>
                <c:pt idx="66">
                  <c:v>1759.338</c:v>
                </c:pt>
                <c:pt idx="67">
                  <c:v>1769.5316499999999</c:v>
                </c:pt>
                <c:pt idx="68">
                  <c:v>1815.8759</c:v>
                </c:pt>
                <c:pt idx="69">
                  <c:v>1824.2854</c:v>
                </c:pt>
                <c:pt idx="70">
                  <c:v>1826.8430000000001</c:v>
                </c:pt>
                <c:pt idx="71">
                  <c:v>1832.0940000000001</c:v>
                </c:pt>
                <c:pt idx="72">
                  <c:v>1837.2370000000001</c:v>
                </c:pt>
                <c:pt idx="73">
                  <c:v>1837.2819</c:v>
                </c:pt>
                <c:pt idx="74">
                  <c:v>1842.519</c:v>
                </c:pt>
                <c:pt idx="75">
                  <c:v>1875.3440000000001</c:v>
                </c:pt>
                <c:pt idx="76">
                  <c:v>1877.9294</c:v>
                </c:pt>
                <c:pt idx="77">
                  <c:v>1880.07</c:v>
                </c:pt>
                <c:pt idx="78">
                  <c:v>1880.4870000000001</c:v>
                </c:pt>
                <c:pt idx="79">
                  <c:v>1906.35825</c:v>
                </c:pt>
                <c:pt idx="80">
                  <c:v>1909.52745</c:v>
                </c:pt>
                <c:pt idx="81">
                  <c:v>1917.3184000000001</c:v>
                </c:pt>
                <c:pt idx="82">
                  <c:v>1964.78</c:v>
                </c:pt>
                <c:pt idx="83">
                  <c:v>1967.0227</c:v>
                </c:pt>
                <c:pt idx="84">
                  <c:v>1969.614</c:v>
                </c:pt>
                <c:pt idx="85">
                  <c:v>1972.95</c:v>
                </c:pt>
                <c:pt idx="86">
                  <c:v>1977.8150000000001</c:v>
                </c:pt>
                <c:pt idx="87">
                  <c:v>1980.07</c:v>
                </c:pt>
                <c:pt idx="88">
                  <c:v>1981.5818999999999</c:v>
                </c:pt>
                <c:pt idx="89">
                  <c:v>1984.4532999999999</c:v>
                </c:pt>
                <c:pt idx="90">
                  <c:v>1986.9333999999999</c:v>
                </c:pt>
                <c:pt idx="91">
                  <c:v>2007.9449999999999</c:v>
                </c:pt>
                <c:pt idx="92">
                  <c:v>2020.1769999999999</c:v>
                </c:pt>
                <c:pt idx="93">
                  <c:v>2020.5523000000001</c:v>
                </c:pt>
                <c:pt idx="94">
                  <c:v>2026.9740999999999</c:v>
                </c:pt>
                <c:pt idx="95">
                  <c:v>2045.68525</c:v>
                </c:pt>
                <c:pt idx="96">
                  <c:v>2055.3249000000001</c:v>
                </c:pt>
                <c:pt idx="97">
                  <c:v>2102.2647000000002</c:v>
                </c:pt>
                <c:pt idx="98">
                  <c:v>2103.08</c:v>
                </c:pt>
                <c:pt idx="99">
                  <c:v>2104.1134000000002</c:v>
                </c:pt>
                <c:pt idx="100">
                  <c:v>2117.3388500000001</c:v>
                </c:pt>
                <c:pt idx="101">
                  <c:v>2128.4310500000001</c:v>
                </c:pt>
                <c:pt idx="102">
                  <c:v>2130.6759000000002</c:v>
                </c:pt>
                <c:pt idx="103">
                  <c:v>2134.9014999999999</c:v>
                </c:pt>
                <c:pt idx="104">
                  <c:v>2136.8822500000001</c:v>
                </c:pt>
                <c:pt idx="105">
                  <c:v>2137.6536000000001</c:v>
                </c:pt>
                <c:pt idx="106">
                  <c:v>2138.0707000000002</c:v>
                </c:pt>
                <c:pt idx="107">
                  <c:v>2150.4690000000001</c:v>
                </c:pt>
                <c:pt idx="108">
                  <c:v>2154.3609999999999</c:v>
                </c:pt>
                <c:pt idx="109">
                  <c:v>2155.6815000000001</c:v>
                </c:pt>
                <c:pt idx="110">
                  <c:v>2156.7518</c:v>
                </c:pt>
                <c:pt idx="111">
                  <c:v>2166.732</c:v>
                </c:pt>
                <c:pt idx="112">
                  <c:v>2196.4731999999999</c:v>
                </c:pt>
                <c:pt idx="113">
                  <c:v>2198.1898500000002</c:v>
                </c:pt>
                <c:pt idx="114">
                  <c:v>2200.8308499999998</c:v>
                </c:pt>
                <c:pt idx="115">
                  <c:v>2201.0971</c:v>
                </c:pt>
                <c:pt idx="116">
                  <c:v>2203.4718499999999</c:v>
                </c:pt>
                <c:pt idx="117">
                  <c:v>2203.7359499999998</c:v>
                </c:pt>
                <c:pt idx="118">
                  <c:v>2205.9807999999998</c:v>
                </c:pt>
                <c:pt idx="119">
                  <c:v>2207.6974500000001</c:v>
                </c:pt>
                <c:pt idx="120">
                  <c:v>2211.1307499999998</c:v>
                </c:pt>
                <c:pt idx="121">
                  <c:v>2217.4691499999999</c:v>
                </c:pt>
                <c:pt idx="122">
                  <c:v>2217.6012000000001</c:v>
                </c:pt>
                <c:pt idx="123">
                  <c:v>2219.4450999999999</c:v>
                </c:pt>
                <c:pt idx="124">
                  <c:v>2221.5644499999999</c:v>
                </c:pt>
                <c:pt idx="125">
                  <c:v>2250.8352</c:v>
                </c:pt>
                <c:pt idx="126">
                  <c:v>2254.7966999999999</c:v>
                </c:pt>
                <c:pt idx="127">
                  <c:v>2257.47525</c:v>
                </c:pt>
                <c:pt idx="128">
                  <c:v>2261.5688</c:v>
                </c:pt>
                <c:pt idx="129">
                  <c:v>2302.3000000000002</c:v>
                </c:pt>
                <c:pt idx="130">
                  <c:v>2304.0021999999999</c:v>
                </c:pt>
                <c:pt idx="131">
                  <c:v>2322.6217999999999</c:v>
                </c:pt>
                <c:pt idx="132">
                  <c:v>2331.5189999999998</c:v>
                </c:pt>
                <c:pt idx="133">
                  <c:v>2352.9684499999998</c:v>
                </c:pt>
                <c:pt idx="134">
                  <c:v>2362.2290499999999</c:v>
                </c:pt>
                <c:pt idx="135">
                  <c:v>2395.17155</c:v>
                </c:pt>
                <c:pt idx="136">
                  <c:v>2396.0958999999998</c:v>
                </c:pt>
                <c:pt idx="137">
                  <c:v>2404.7338</c:v>
                </c:pt>
                <c:pt idx="138">
                  <c:v>2416.9549999999999</c:v>
                </c:pt>
                <c:pt idx="139">
                  <c:v>2438.0551999999998</c:v>
                </c:pt>
                <c:pt idx="140">
                  <c:v>2457.2111500000001</c:v>
                </c:pt>
                <c:pt idx="141">
                  <c:v>2457.502</c:v>
                </c:pt>
                <c:pt idx="142">
                  <c:v>2459.7201</c:v>
                </c:pt>
                <c:pt idx="143">
                  <c:v>2464.6188000000002</c:v>
                </c:pt>
                <c:pt idx="144">
                  <c:v>2473.3341</c:v>
                </c:pt>
                <c:pt idx="145">
                  <c:v>2480.9791</c:v>
                </c:pt>
                <c:pt idx="146">
                  <c:v>2483.7359999999999</c:v>
                </c:pt>
                <c:pt idx="147">
                  <c:v>2494.0219999999999</c:v>
                </c:pt>
                <c:pt idx="148">
                  <c:v>2497.0383000000002</c:v>
                </c:pt>
                <c:pt idx="149">
                  <c:v>2498.4144000000001</c:v>
                </c:pt>
                <c:pt idx="150">
                  <c:v>2523.1695</c:v>
                </c:pt>
                <c:pt idx="151">
                  <c:v>2527.8186500000002</c:v>
                </c:pt>
                <c:pt idx="152">
                  <c:v>2534.3937500000002</c:v>
                </c:pt>
                <c:pt idx="153">
                  <c:v>2566.4706999999999</c:v>
                </c:pt>
                <c:pt idx="154">
                  <c:v>2585.2689999999998</c:v>
                </c:pt>
                <c:pt idx="155">
                  <c:v>2585.8506499999999</c:v>
                </c:pt>
                <c:pt idx="156">
                  <c:v>2597.779</c:v>
                </c:pt>
                <c:pt idx="157">
                  <c:v>2632.9920000000002</c:v>
                </c:pt>
                <c:pt idx="158">
                  <c:v>2639.0428999999999</c:v>
                </c:pt>
                <c:pt idx="159">
                  <c:v>2643.2685000000001</c:v>
                </c:pt>
                <c:pt idx="160">
                  <c:v>2680.9493000000002</c:v>
                </c:pt>
                <c:pt idx="161">
                  <c:v>2689.4953999999998</c:v>
                </c:pt>
                <c:pt idx="162">
                  <c:v>2690.1138000000001</c:v>
                </c:pt>
                <c:pt idx="163">
                  <c:v>2699.56835</c:v>
                </c:pt>
                <c:pt idx="164">
                  <c:v>2709.1118999999999</c:v>
                </c:pt>
                <c:pt idx="165">
                  <c:v>2709.24395</c:v>
                </c:pt>
                <c:pt idx="166">
                  <c:v>2710.8285500000002</c:v>
                </c:pt>
                <c:pt idx="167">
                  <c:v>2719.2797500000001</c:v>
                </c:pt>
                <c:pt idx="168">
                  <c:v>2721.3208</c:v>
                </c:pt>
                <c:pt idx="169">
                  <c:v>2727.3951000000002</c:v>
                </c:pt>
                <c:pt idx="170">
                  <c:v>2730.1078499999999</c:v>
                </c:pt>
                <c:pt idx="171">
                  <c:v>2731.9122000000002</c:v>
                </c:pt>
                <c:pt idx="172">
                  <c:v>2741.9479999999999</c:v>
                </c:pt>
                <c:pt idx="173">
                  <c:v>2755.0209500000001</c:v>
                </c:pt>
                <c:pt idx="174">
                  <c:v>2775.1921499999999</c:v>
                </c:pt>
                <c:pt idx="175">
                  <c:v>2789.0574000000001</c:v>
                </c:pt>
                <c:pt idx="176">
                  <c:v>2801.2588000000001</c:v>
                </c:pt>
                <c:pt idx="177">
                  <c:v>2803.69785</c:v>
                </c:pt>
                <c:pt idx="178">
                  <c:v>2842.7607499999999</c:v>
                </c:pt>
                <c:pt idx="179">
                  <c:v>2850.6837500000001</c:v>
                </c:pt>
                <c:pt idx="180">
                  <c:v>2855.4375500000001</c:v>
                </c:pt>
                <c:pt idx="181">
                  <c:v>2866.0909999999999</c:v>
                </c:pt>
                <c:pt idx="182">
                  <c:v>2867.1196</c:v>
                </c:pt>
                <c:pt idx="183">
                  <c:v>2897.3235</c:v>
                </c:pt>
                <c:pt idx="184">
                  <c:v>2899.4893499999998</c:v>
                </c:pt>
                <c:pt idx="185">
                  <c:v>2902.9065000000001</c:v>
                </c:pt>
                <c:pt idx="186">
                  <c:v>2904.0880000000002</c:v>
                </c:pt>
                <c:pt idx="187">
                  <c:v>2913.569</c:v>
                </c:pt>
                <c:pt idx="188">
                  <c:v>2927.0646999999999</c:v>
                </c:pt>
                <c:pt idx="189">
                  <c:v>2974.1260000000002</c:v>
                </c:pt>
                <c:pt idx="190">
                  <c:v>3021.80915</c:v>
                </c:pt>
                <c:pt idx="191">
                  <c:v>3044.2132999999999</c:v>
                </c:pt>
                <c:pt idx="192">
                  <c:v>3046.0619999999999</c:v>
                </c:pt>
                <c:pt idx="193">
                  <c:v>3056.3881000000001</c:v>
                </c:pt>
                <c:pt idx="194">
                  <c:v>3062.5082499999999</c:v>
                </c:pt>
                <c:pt idx="195">
                  <c:v>3070.8087</c:v>
                </c:pt>
                <c:pt idx="196">
                  <c:v>3077.0954999999999</c:v>
                </c:pt>
                <c:pt idx="197">
                  <c:v>3161.4540000000002</c:v>
                </c:pt>
                <c:pt idx="198">
                  <c:v>3167.4558499999998</c:v>
                </c:pt>
                <c:pt idx="199">
                  <c:v>3171.6149</c:v>
                </c:pt>
                <c:pt idx="200">
                  <c:v>3172.018</c:v>
                </c:pt>
                <c:pt idx="201">
                  <c:v>3176.2876999999999</c:v>
                </c:pt>
                <c:pt idx="202">
                  <c:v>3176.8159000000001</c:v>
                </c:pt>
                <c:pt idx="203">
                  <c:v>3180.5101</c:v>
                </c:pt>
                <c:pt idx="204">
                  <c:v>3201.2451500000002</c:v>
                </c:pt>
                <c:pt idx="205">
                  <c:v>3206.4913499999998</c:v>
                </c:pt>
                <c:pt idx="206">
                  <c:v>3208.7869999999998</c:v>
                </c:pt>
                <c:pt idx="207">
                  <c:v>3213.6220499999999</c:v>
                </c:pt>
                <c:pt idx="208">
                  <c:v>3227.1210999999998</c:v>
                </c:pt>
                <c:pt idx="209">
                  <c:v>3238.4357</c:v>
                </c:pt>
                <c:pt idx="210">
                  <c:v>3260.1990000000001</c:v>
                </c:pt>
                <c:pt idx="211">
                  <c:v>3268.84665</c:v>
                </c:pt>
                <c:pt idx="212">
                  <c:v>3277.1610000000001</c:v>
                </c:pt>
                <c:pt idx="213">
                  <c:v>3279.8685500000001</c:v>
                </c:pt>
                <c:pt idx="214">
                  <c:v>3292.5298499999999</c:v>
                </c:pt>
                <c:pt idx="215">
                  <c:v>3309.7926000000002</c:v>
                </c:pt>
                <c:pt idx="216">
                  <c:v>3353.2840000000001</c:v>
                </c:pt>
                <c:pt idx="217">
                  <c:v>3353.4703</c:v>
                </c:pt>
                <c:pt idx="218">
                  <c:v>3366.6696999999999</c:v>
                </c:pt>
                <c:pt idx="219">
                  <c:v>3378.91</c:v>
                </c:pt>
                <c:pt idx="220">
                  <c:v>3385.3991500000002</c:v>
                </c:pt>
                <c:pt idx="221">
                  <c:v>3392.3652000000002</c:v>
                </c:pt>
                <c:pt idx="222">
                  <c:v>3392.9767999999999</c:v>
                </c:pt>
                <c:pt idx="223">
                  <c:v>3393.35635</c:v>
                </c:pt>
                <c:pt idx="224">
                  <c:v>3410.3240000000001</c:v>
                </c:pt>
                <c:pt idx="225">
                  <c:v>3443.0639999999999</c:v>
                </c:pt>
                <c:pt idx="226">
                  <c:v>3471.4096</c:v>
                </c:pt>
                <c:pt idx="227">
                  <c:v>3481.8679999999999</c:v>
                </c:pt>
                <c:pt idx="228">
                  <c:v>3484.3310000000001</c:v>
                </c:pt>
                <c:pt idx="229">
                  <c:v>3490.5491000000002</c:v>
                </c:pt>
                <c:pt idx="230">
                  <c:v>3500.6122999999998</c:v>
                </c:pt>
                <c:pt idx="231">
                  <c:v>3537.703</c:v>
                </c:pt>
                <c:pt idx="232">
                  <c:v>3554.203</c:v>
                </c:pt>
                <c:pt idx="233">
                  <c:v>3556.9223000000002</c:v>
                </c:pt>
                <c:pt idx="234">
                  <c:v>3558.6202499999999</c:v>
                </c:pt>
                <c:pt idx="235">
                  <c:v>3561.8888999999999</c:v>
                </c:pt>
                <c:pt idx="236">
                  <c:v>3577.9989999999998</c:v>
                </c:pt>
                <c:pt idx="237">
                  <c:v>3579.8287</c:v>
                </c:pt>
                <c:pt idx="238">
                  <c:v>3591.48</c:v>
                </c:pt>
                <c:pt idx="239">
                  <c:v>3594.17085</c:v>
                </c:pt>
                <c:pt idx="240">
                  <c:v>3597.596</c:v>
                </c:pt>
                <c:pt idx="241">
                  <c:v>3645.0893999999998</c:v>
                </c:pt>
                <c:pt idx="242">
                  <c:v>3659.346</c:v>
                </c:pt>
                <c:pt idx="243">
                  <c:v>3693.4279999999999</c:v>
                </c:pt>
                <c:pt idx="244">
                  <c:v>3704.3544999999999</c:v>
                </c:pt>
                <c:pt idx="245">
                  <c:v>3732.6251000000002</c:v>
                </c:pt>
                <c:pt idx="246">
                  <c:v>3736.4647</c:v>
                </c:pt>
                <c:pt idx="247">
                  <c:v>3756.6215999999999</c:v>
                </c:pt>
                <c:pt idx="248">
                  <c:v>3757.8447999999999</c:v>
                </c:pt>
                <c:pt idx="249">
                  <c:v>3761.2919999999999</c:v>
                </c:pt>
                <c:pt idx="250">
                  <c:v>3766.8838000000001</c:v>
                </c:pt>
                <c:pt idx="251">
                  <c:v>3847.674</c:v>
                </c:pt>
                <c:pt idx="252">
                  <c:v>3857.7592500000001</c:v>
                </c:pt>
                <c:pt idx="253">
                  <c:v>3861.2096499999998</c:v>
                </c:pt>
                <c:pt idx="254">
                  <c:v>3866.8552</c:v>
                </c:pt>
                <c:pt idx="255">
                  <c:v>3875.7341000000001</c:v>
                </c:pt>
                <c:pt idx="256">
                  <c:v>3877.3042500000001</c:v>
                </c:pt>
                <c:pt idx="257">
                  <c:v>3906.127</c:v>
                </c:pt>
                <c:pt idx="258">
                  <c:v>3925.7582000000002</c:v>
                </c:pt>
                <c:pt idx="259">
                  <c:v>3935.1799000000001</c:v>
                </c:pt>
                <c:pt idx="260">
                  <c:v>3943.5954000000002</c:v>
                </c:pt>
                <c:pt idx="261">
                  <c:v>3947.4131000000002</c:v>
                </c:pt>
                <c:pt idx="262">
                  <c:v>3956.0714499999999</c:v>
                </c:pt>
                <c:pt idx="263">
                  <c:v>3972.9247</c:v>
                </c:pt>
                <c:pt idx="264">
                  <c:v>3981.9767999999999</c:v>
                </c:pt>
                <c:pt idx="265">
                  <c:v>3987.9259999999999</c:v>
                </c:pt>
                <c:pt idx="266">
                  <c:v>3989.8409999999999</c:v>
                </c:pt>
                <c:pt idx="267">
                  <c:v>3994.1777999999999</c:v>
                </c:pt>
                <c:pt idx="268">
                  <c:v>4005.4225000000001</c:v>
                </c:pt>
                <c:pt idx="269">
                  <c:v>4032.2406999999998</c:v>
                </c:pt>
                <c:pt idx="270">
                  <c:v>4040.55825</c:v>
                </c:pt>
                <c:pt idx="271">
                  <c:v>4058.1161000000002</c:v>
                </c:pt>
                <c:pt idx="272">
                  <c:v>4058.71245</c:v>
                </c:pt>
                <c:pt idx="273">
                  <c:v>4074.4537</c:v>
                </c:pt>
                <c:pt idx="274">
                  <c:v>4076.4969999999998</c:v>
                </c:pt>
                <c:pt idx="275">
                  <c:v>4133.6416499999996</c:v>
                </c:pt>
                <c:pt idx="276">
                  <c:v>4134.0824499999999</c:v>
                </c:pt>
                <c:pt idx="277">
                  <c:v>4137.5227000000004</c:v>
                </c:pt>
                <c:pt idx="278">
                  <c:v>4149.7359999999999</c:v>
                </c:pt>
                <c:pt idx="279">
                  <c:v>4151.0286999999998</c:v>
                </c:pt>
                <c:pt idx="280">
                  <c:v>4185.0978999999998</c:v>
                </c:pt>
                <c:pt idx="281">
                  <c:v>4189.1130999999996</c:v>
                </c:pt>
                <c:pt idx="282">
                  <c:v>4234.9269999999997</c:v>
                </c:pt>
                <c:pt idx="283">
                  <c:v>4237.12655</c:v>
                </c:pt>
                <c:pt idx="284">
                  <c:v>4239.8926499999998</c:v>
                </c:pt>
                <c:pt idx="285">
                  <c:v>4243.5900499999998</c:v>
                </c:pt>
                <c:pt idx="286">
                  <c:v>4260.7439999999997</c:v>
                </c:pt>
                <c:pt idx="287">
                  <c:v>4266.1657999999998</c:v>
                </c:pt>
                <c:pt idx="288">
                  <c:v>4296.2712000000001</c:v>
                </c:pt>
                <c:pt idx="289">
                  <c:v>4320.4108500000002</c:v>
                </c:pt>
                <c:pt idx="290">
                  <c:v>4337.7352000000001</c:v>
                </c:pt>
                <c:pt idx="291">
                  <c:v>4340.4408999999996</c:v>
                </c:pt>
                <c:pt idx="292">
                  <c:v>4347.0233500000004</c:v>
                </c:pt>
                <c:pt idx="293">
                  <c:v>4349.4620000000004</c:v>
                </c:pt>
                <c:pt idx="294">
                  <c:v>4350.5144</c:v>
                </c:pt>
                <c:pt idx="295">
                  <c:v>4357.0436499999996</c:v>
                </c:pt>
                <c:pt idx="296">
                  <c:v>4391.652</c:v>
                </c:pt>
                <c:pt idx="297">
                  <c:v>4399.7309999999998</c:v>
                </c:pt>
                <c:pt idx="298">
                  <c:v>4402.2330000000002</c:v>
                </c:pt>
                <c:pt idx="299">
                  <c:v>4415.1588000000002</c:v>
                </c:pt>
                <c:pt idx="300">
                  <c:v>4428.8878500000001</c:v>
                </c:pt>
                <c:pt idx="301">
                  <c:v>4433.3877000000002</c:v>
                </c:pt>
                <c:pt idx="302">
                  <c:v>4433.9159</c:v>
                </c:pt>
                <c:pt idx="303">
                  <c:v>4435.0941999999995</c:v>
                </c:pt>
                <c:pt idx="304">
                  <c:v>4438.2633999999998</c:v>
                </c:pt>
                <c:pt idx="305">
                  <c:v>4441.2131499999996</c:v>
                </c:pt>
                <c:pt idx="306">
                  <c:v>4449.4620000000004</c:v>
                </c:pt>
                <c:pt idx="307">
                  <c:v>4454.40265</c:v>
                </c:pt>
                <c:pt idx="308">
                  <c:v>4462.7218000000003</c:v>
                </c:pt>
                <c:pt idx="309">
                  <c:v>4463.2051000000001</c:v>
                </c:pt>
                <c:pt idx="310">
                  <c:v>4466.6214</c:v>
                </c:pt>
                <c:pt idx="311">
                  <c:v>4500.33925</c:v>
                </c:pt>
                <c:pt idx="312">
                  <c:v>4504.6624000000002</c:v>
                </c:pt>
                <c:pt idx="313">
                  <c:v>4518.8262500000001</c:v>
                </c:pt>
                <c:pt idx="314">
                  <c:v>4527.1829500000003</c:v>
                </c:pt>
                <c:pt idx="315">
                  <c:v>4529.4769999999999</c:v>
                </c:pt>
                <c:pt idx="316">
                  <c:v>4536.259</c:v>
                </c:pt>
                <c:pt idx="317">
                  <c:v>4544.2348000000002</c:v>
                </c:pt>
                <c:pt idx="318">
                  <c:v>4561.1885000000002</c:v>
                </c:pt>
                <c:pt idx="319">
                  <c:v>4562.8420999999998</c:v>
                </c:pt>
                <c:pt idx="320">
                  <c:v>4564.1914500000003</c:v>
                </c:pt>
                <c:pt idx="321">
                  <c:v>4571.4130500000001</c:v>
                </c:pt>
                <c:pt idx="322">
                  <c:v>4618.0798999999997</c:v>
                </c:pt>
                <c:pt idx="323">
                  <c:v>4646.759</c:v>
                </c:pt>
                <c:pt idx="324">
                  <c:v>4661.2863500000003</c:v>
                </c:pt>
                <c:pt idx="325">
                  <c:v>4667.6076499999999</c:v>
                </c:pt>
                <c:pt idx="326">
                  <c:v>4670.6400000000003</c:v>
                </c:pt>
                <c:pt idx="327">
                  <c:v>4673.3922000000002</c:v>
                </c:pt>
                <c:pt idx="328">
                  <c:v>4686.3887000000004</c:v>
                </c:pt>
                <c:pt idx="329">
                  <c:v>4687.7969999999996</c:v>
                </c:pt>
                <c:pt idx="330">
                  <c:v>4718.2035500000002</c:v>
                </c:pt>
                <c:pt idx="331">
                  <c:v>4719.52405</c:v>
                </c:pt>
                <c:pt idx="332">
                  <c:v>4719.7365499999996</c:v>
                </c:pt>
                <c:pt idx="333">
                  <c:v>4738.2682000000004</c:v>
                </c:pt>
                <c:pt idx="334">
                  <c:v>4746.3440000000001</c:v>
                </c:pt>
                <c:pt idx="335">
                  <c:v>4747.0528999999997</c:v>
                </c:pt>
                <c:pt idx="336">
                  <c:v>4751.07</c:v>
                </c:pt>
                <c:pt idx="337">
                  <c:v>4753.6368000000002</c:v>
                </c:pt>
                <c:pt idx="338">
                  <c:v>4762.3289999999997</c:v>
                </c:pt>
                <c:pt idx="339">
                  <c:v>4766.0219999999999</c:v>
                </c:pt>
                <c:pt idx="340">
                  <c:v>4779.6022999999996</c:v>
                </c:pt>
                <c:pt idx="341">
                  <c:v>4795.6567999999997</c:v>
                </c:pt>
                <c:pt idx="342">
                  <c:v>4827.9049500000001</c:v>
                </c:pt>
                <c:pt idx="343">
                  <c:v>4830.63</c:v>
                </c:pt>
                <c:pt idx="344">
                  <c:v>4837.5823</c:v>
                </c:pt>
                <c:pt idx="345">
                  <c:v>4846.9201499999999</c:v>
                </c:pt>
                <c:pt idx="346">
                  <c:v>4877.9810500000003</c:v>
                </c:pt>
                <c:pt idx="347">
                  <c:v>4883.866</c:v>
                </c:pt>
                <c:pt idx="348">
                  <c:v>4889.0367999999999</c:v>
                </c:pt>
                <c:pt idx="349">
                  <c:v>4889.9994999999999</c:v>
                </c:pt>
                <c:pt idx="350">
                  <c:v>4894.7533000000003</c:v>
                </c:pt>
                <c:pt idx="351">
                  <c:v>4906.4096499999996</c:v>
                </c:pt>
                <c:pt idx="352">
                  <c:v>4915.0598499999996</c:v>
                </c:pt>
                <c:pt idx="353">
                  <c:v>4922.9159</c:v>
                </c:pt>
                <c:pt idx="354">
                  <c:v>4931.6469999999999</c:v>
                </c:pt>
                <c:pt idx="355">
                  <c:v>4934.7049999999999</c:v>
                </c:pt>
                <c:pt idx="356">
                  <c:v>4949.7587000000003</c:v>
                </c:pt>
                <c:pt idx="357">
                  <c:v>4992.3764000000001</c:v>
                </c:pt>
                <c:pt idx="358">
                  <c:v>5002.7826999999997</c:v>
                </c:pt>
                <c:pt idx="359">
                  <c:v>5003.8530000000001</c:v>
                </c:pt>
                <c:pt idx="360">
                  <c:v>5012.4709999999995</c:v>
                </c:pt>
                <c:pt idx="361">
                  <c:v>5028.1466</c:v>
                </c:pt>
                <c:pt idx="362">
                  <c:v>5031.26955</c:v>
                </c:pt>
                <c:pt idx="363">
                  <c:v>5080.0959999999995</c:v>
                </c:pt>
                <c:pt idx="364">
                  <c:v>5116.5003999999999</c:v>
                </c:pt>
                <c:pt idx="365">
                  <c:v>5124.1886999999997</c:v>
                </c:pt>
                <c:pt idx="366">
                  <c:v>5125.2156999999997</c:v>
                </c:pt>
                <c:pt idx="367">
                  <c:v>5138.2566999999999</c:v>
                </c:pt>
                <c:pt idx="368">
                  <c:v>5148.5526</c:v>
                </c:pt>
                <c:pt idx="369">
                  <c:v>5152.134</c:v>
                </c:pt>
                <c:pt idx="370">
                  <c:v>5209.5788499999999</c:v>
                </c:pt>
                <c:pt idx="371">
                  <c:v>5227.9887500000004</c:v>
                </c:pt>
                <c:pt idx="372">
                  <c:v>5240.7650000000003</c:v>
                </c:pt>
                <c:pt idx="373">
                  <c:v>5245.2268999999997</c:v>
                </c:pt>
                <c:pt idx="374">
                  <c:v>5246.0469999999996</c:v>
                </c:pt>
                <c:pt idx="375">
                  <c:v>5253.5240000000003</c:v>
                </c:pt>
                <c:pt idx="376">
                  <c:v>5257.5079500000002</c:v>
                </c:pt>
                <c:pt idx="377">
                  <c:v>5261.4694499999996</c:v>
                </c:pt>
                <c:pt idx="378">
                  <c:v>5266.3656000000001</c:v>
                </c:pt>
                <c:pt idx="379">
                  <c:v>5267.8181500000001</c:v>
                </c:pt>
                <c:pt idx="380">
                  <c:v>5272.1758</c:v>
                </c:pt>
                <c:pt idx="381">
                  <c:v>5312.1698500000002</c:v>
                </c:pt>
                <c:pt idx="382">
                  <c:v>5325.6509999999998</c:v>
                </c:pt>
                <c:pt idx="383">
                  <c:v>5327.4002499999997</c:v>
                </c:pt>
                <c:pt idx="384">
                  <c:v>5354.0746499999996</c:v>
                </c:pt>
                <c:pt idx="385">
                  <c:v>5373.3642499999996</c:v>
                </c:pt>
                <c:pt idx="386">
                  <c:v>5375.0379999999996</c:v>
                </c:pt>
                <c:pt idx="387">
                  <c:v>5377.4578000000001</c:v>
                </c:pt>
                <c:pt idx="388">
                  <c:v>5383.5360000000001</c:v>
                </c:pt>
                <c:pt idx="389">
                  <c:v>5385.3379000000004</c:v>
                </c:pt>
                <c:pt idx="390">
                  <c:v>5397.6166999999996</c:v>
                </c:pt>
                <c:pt idx="391">
                  <c:v>5400.9804999999997</c:v>
                </c:pt>
                <c:pt idx="392">
                  <c:v>5415.6611999999996</c:v>
                </c:pt>
                <c:pt idx="393">
                  <c:v>5425.0233500000004</c:v>
                </c:pt>
                <c:pt idx="394">
                  <c:v>5428.7277000000004</c:v>
                </c:pt>
                <c:pt idx="395">
                  <c:v>5438.7491</c:v>
                </c:pt>
                <c:pt idx="396">
                  <c:v>5458.0464499999998</c:v>
                </c:pt>
                <c:pt idx="397">
                  <c:v>5469.0065999999997</c:v>
                </c:pt>
                <c:pt idx="398">
                  <c:v>5472.4489999999996</c:v>
                </c:pt>
                <c:pt idx="399">
                  <c:v>5478.0367999999999</c:v>
                </c:pt>
                <c:pt idx="400">
                  <c:v>5484.4673000000003</c:v>
                </c:pt>
                <c:pt idx="401">
                  <c:v>5488.2619999999997</c:v>
                </c:pt>
                <c:pt idx="402">
                  <c:v>5584.3056999999999</c:v>
                </c:pt>
                <c:pt idx="403">
                  <c:v>5594.8455000000004</c:v>
                </c:pt>
                <c:pt idx="404">
                  <c:v>5615.3689999999997</c:v>
                </c:pt>
                <c:pt idx="405">
                  <c:v>5630.4578499999998</c:v>
                </c:pt>
                <c:pt idx="406">
                  <c:v>5649.7150000000001</c:v>
                </c:pt>
                <c:pt idx="407">
                  <c:v>5662.2250000000004</c:v>
                </c:pt>
                <c:pt idx="408">
                  <c:v>5693.4305000000004</c:v>
                </c:pt>
                <c:pt idx="409">
                  <c:v>5699.8374999999996</c:v>
                </c:pt>
                <c:pt idx="410">
                  <c:v>5708.8670000000002</c:v>
                </c:pt>
                <c:pt idx="411">
                  <c:v>5709.1643999999997</c:v>
                </c:pt>
                <c:pt idx="412">
                  <c:v>5729.0052999999998</c:v>
                </c:pt>
                <c:pt idx="413">
                  <c:v>5757.41345</c:v>
                </c:pt>
                <c:pt idx="414">
                  <c:v>5836.5204000000003</c:v>
                </c:pt>
                <c:pt idx="415">
                  <c:v>5846.9175999999998</c:v>
                </c:pt>
                <c:pt idx="416">
                  <c:v>5855.9025000000001</c:v>
                </c:pt>
                <c:pt idx="417">
                  <c:v>5910.9440000000004</c:v>
                </c:pt>
                <c:pt idx="418">
                  <c:v>5920.1040999999996</c:v>
                </c:pt>
                <c:pt idx="419">
                  <c:v>5926.8459999999995</c:v>
                </c:pt>
                <c:pt idx="420">
                  <c:v>5934.3797999999997</c:v>
                </c:pt>
                <c:pt idx="421">
                  <c:v>5966.8873999999996</c:v>
                </c:pt>
                <c:pt idx="422">
                  <c:v>5969.723</c:v>
                </c:pt>
                <c:pt idx="423">
                  <c:v>5972.3779999999997</c:v>
                </c:pt>
                <c:pt idx="424">
                  <c:v>5974.3846999999996</c:v>
                </c:pt>
                <c:pt idx="425">
                  <c:v>5976.8311000000003</c:v>
                </c:pt>
                <c:pt idx="426">
                  <c:v>5979.7309999999998</c:v>
                </c:pt>
                <c:pt idx="427">
                  <c:v>5989.5236500000001</c:v>
                </c:pt>
                <c:pt idx="428">
                  <c:v>6059.1729999999998</c:v>
                </c:pt>
                <c:pt idx="429">
                  <c:v>6067.1267500000004</c:v>
                </c:pt>
                <c:pt idx="430">
                  <c:v>6079.6715000000004</c:v>
                </c:pt>
                <c:pt idx="431">
                  <c:v>6082.4049999999997</c:v>
                </c:pt>
                <c:pt idx="432">
                  <c:v>6112.3529500000004</c:v>
                </c:pt>
                <c:pt idx="433">
                  <c:v>6113.2310500000003</c:v>
                </c:pt>
                <c:pt idx="434">
                  <c:v>6117.4944999999998</c:v>
                </c:pt>
                <c:pt idx="435">
                  <c:v>6123.5688</c:v>
                </c:pt>
                <c:pt idx="436">
                  <c:v>6128.79745</c:v>
                </c:pt>
                <c:pt idx="437">
                  <c:v>6184.2993999999999</c:v>
                </c:pt>
                <c:pt idx="438">
                  <c:v>6185.3208000000004</c:v>
                </c:pt>
                <c:pt idx="439">
                  <c:v>6186.1270000000004</c:v>
                </c:pt>
                <c:pt idx="440">
                  <c:v>6196.4480000000003</c:v>
                </c:pt>
                <c:pt idx="441">
                  <c:v>6198.7518</c:v>
                </c:pt>
                <c:pt idx="442">
                  <c:v>6203.90175</c:v>
                </c:pt>
                <c:pt idx="443">
                  <c:v>6238.2979999999998</c:v>
                </c:pt>
                <c:pt idx="444">
                  <c:v>6250.4350000000004</c:v>
                </c:pt>
                <c:pt idx="445">
                  <c:v>6272.4772000000003</c:v>
                </c:pt>
                <c:pt idx="446">
                  <c:v>6282.2349999999997</c:v>
                </c:pt>
                <c:pt idx="447">
                  <c:v>6289.7548999999999</c:v>
                </c:pt>
                <c:pt idx="448">
                  <c:v>6311.9520000000002</c:v>
                </c:pt>
                <c:pt idx="449">
                  <c:v>6313.759</c:v>
                </c:pt>
                <c:pt idx="450">
                  <c:v>6334.3435499999996</c:v>
                </c:pt>
                <c:pt idx="451">
                  <c:v>6338.0756000000001</c:v>
                </c:pt>
                <c:pt idx="452">
                  <c:v>6356.2707</c:v>
                </c:pt>
                <c:pt idx="453">
                  <c:v>6358.7764500000003</c:v>
                </c:pt>
                <c:pt idx="454">
                  <c:v>6360.9935999999998</c:v>
                </c:pt>
                <c:pt idx="455">
                  <c:v>6373.55735</c:v>
                </c:pt>
                <c:pt idx="456">
                  <c:v>6389.3778499999999</c:v>
                </c:pt>
                <c:pt idx="457">
                  <c:v>6393.6034499999996</c:v>
                </c:pt>
                <c:pt idx="458">
                  <c:v>6402.2913500000004</c:v>
                </c:pt>
                <c:pt idx="459">
                  <c:v>6406.4107000000004</c:v>
                </c:pt>
                <c:pt idx="460">
                  <c:v>6414.1779999999999</c:v>
                </c:pt>
                <c:pt idx="461">
                  <c:v>6435.6237000000001</c:v>
                </c:pt>
                <c:pt idx="462">
                  <c:v>6455.86265</c:v>
                </c:pt>
                <c:pt idx="463">
                  <c:v>6457.8433999999997</c:v>
                </c:pt>
                <c:pt idx="464">
                  <c:v>6474.0129999999999</c:v>
                </c:pt>
                <c:pt idx="465">
                  <c:v>6496.8860000000004</c:v>
                </c:pt>
                <c:pt idx="466">
                  <c:v>6500.2358999999997</c:v>
                </c:pt>
                <c:pt idx="467">
                  <c:v>6548.1950500000003</c:v>
                </c:pt>
                <c:pt idx="468">
                  <c:v>6551.7501000000002</c:v>
                </c:pt>
                <c:pt idx="469">
                  <c:v>6555.07035</c:v>
                </c:pt>
                <c:pt idx="470">
                  <c:v>6571.0243499999997</c:v>
                </c:pt>
                <c:pt idx="471">
                  <c:v>6571.5439999999999</c:v>
                </c:pt>
                <c:pt idx="472">
                  <c:v>6593.5083000000004</c:v>
                </c:pt>
                <c:pt idx="473">
                  <c:v>6600.2059499999996</c:v>
                </c:pt>
                <c:pt idx="474">
                  <c:v>6600.3609999999999</c:v>
                </c:pt>
                <c:pt idx="475">
                  <c:v>6610.1097</c:v>
                </c:pt>
                <c:pt idx="476">
                  <c:v>6640.5448500000002</c:v>
                </c:pt>
                <c:pt idx="477">
                  <c:v>6652.5288</c:v>
                </c:pt>
                <c:pt idx="478">
                  <c:v>6653.7885999999999</c:v>
                </c:pt>
                <c:pt idx="479">
                  <c:v>6664.68595</c:v>
                </c:pt>
                <c:pt idx="480">
                  <c:v>6666.2430000000004</c:v>
                </c:pt>
                <c:pt idx="481">
                  <c:v>6686.4313000000002</c:v>
                </c:pt>
                <c:pt idx="482">
                  <c:v>6710.1918999999998</c:v>
                </c:pt>
                <c:pt idx="483">
                  <c:v>6746.7425000000003</c:v>
                </c:pt>
                <c:pt idx="484">
                  <c:v>6748.5911999999998</c:v>
                </c:pt>
                <c:pt idx="485">
                  <c:v>6753.0379999999996</c:v>
                </c:pt>
                <c:pt idx="486">
                  <c:v>6770.1925000000001</c:v>
                </c:pt>
                <c:pt idx="487">
                  <c:v>6775.9610000000002</c:v>
                </c:pt>
                <c:pt idx="488">
                  <c:v>6781.3541999999998</c:v>
                </c:pt>
                <c:pt idx="489">
                  <c:v>6796.8632500000003</c:v>
                </c:pt>
                <c:pt idx="490">
                  <c:v>6799.4579999999996</c:v>
                </c:pt>
                <c:pt idx="491">
                  <c:v>6837.3687</c:v>
                </c:pt>
                <c:pt idx="492">
                  <c:v>6849.0259999999998</c:v>
                </c:pt>
                <c:pt idx="493">
                  <c:v>6858.4795999999997</c:v>
                </c:pt>
                <c:pt idx="494">
                  <c:v>6875.9610000000002</c:v>
                </c:pt>
                <c:pt idx="495">
                  <c:v>6877.9800999999998</c:v>
                </c:pt>
                <c:pt idx="496">
                  <c:v>6933.2422500000002</c:v>
                </c:pt>
                <c:pt idx="497">
                  <c:v>6940.90985</c:v>
                </c:pt>
                <c:pt idx="498">
                  <c:v>6948.7007999999996</c:v>
                </c:pt>
                <c:pt idx="499">
                  <c:v>6985.50695</c:v>
                </c:pt>
                <c:pt idx="500">
                  <c:v>6986.6970000000001</c:v>
                </c:pt>
                <c:pt idx="501">
                  <c:v>7045.4989999999998</c:v>
                </c:pt>
                <c:pt idx="502">
                  <c:v>7046.7222000000002</c:v>
                </c:pt>
                <c:pt idx="503">
                  <c:v>7050.0213000000003</c:v>
                </c:pt>
                <c:pt idx="504">
                  <c:v>7050.6419999999998</c:v>
                </c:pt>
                <c:pt idx="505">
                  <c:v>7077.1894000000002</c:v>
                </c:pt>
                <c:pt idx="506">
                  <c:v>7133.9025000000001</c:v>
                </c:pt>
                <c:pt idx="507">
                  <c:v>7144.86265</c:v>
                </c:pt>
                <c:pt idx="508">
                  <c:v>7147.1049999999996</c:v>
                </c:pt>
                <c:pt idx="509">
                  <c:v>7147.4727999999996</c:v>
                </c:pt>
                <c:pt idx="510">
                  <c:v>7151.0919999999996</c:v>
                </c:pt>
                <c:pt idx="511">
                  <c:v>7152.6714000000002</c:v>
                </c:pt>
                <c:pt idx="512">
                  <c:v>7153.5538999999999</c:v>
                </c:pt>
                <c:pt idx="513">
                  <c:v>7160.0940000000001</c:v>
                </c:pt>
                <c:pt idx="514">
                  <c:v>7160.3302999999996</c:v>
                </c:pt>
                <c:pt idx="515">
                  <c:v>7162.0122000000001</c:v>
                </c:pt>
                <c:pt idx="516">
                  <c:v>7173.35995</c:v>
                </c:pt>
                <c:pt idx="517">
                  <c:v>7196.8670000000002</c:v>
                </c:pt>
                <c:pt idx="518">
                  <c:v>7201.7008500000002</c:v>
                </c:pt>
                <c:pt idx="519">
                  <c:v>7209.4917999999998</c:v>
                </c:pt>
                <c:pt idx="520">
                  <c:v>7222.7862500000001</c:v>
                </c:pt>
                <c:pt idx="521">
                  <c:v>7228.2156500000001</c:v>
                </c:pt>
                <c:pt idx="522">
                  <c:v>7243.8136000000004</c:v>
                </c:pt>
                <c:pt idx="523">
                  <c:v>7256.7231000000002</c:v>
                </c:pt>
                <c:pt idx="524">
                  <c:v>7261.741</c:v>
                </c:pt>
                <c:pt idx="525">
                  <c:v>7265.7025000000003</c:v>
                </c:pt>
                <c:pt idx="526">
                  <c:v>7281.5056000000004</c:v>
                </c:pt>
                <c:pt idx="527">
                  <c:v>7323.7348190000002</c:v>
                </c:pt>
                <c:pt idx="528">
                  <c:v>7325.0482000000002</c:v>
                </c:pt>
                <c:pt idx="529">
                  <c:v>7337.7479999999996</c:v>
                </c:pt>
                <c:pt idx="530">
                  <c:v>7345.0839999999998</c:v>
                </c:pt>
                <c:pt idx="531">
                  <c:v>7345.7266</c:v>
                </c:pt>
                <c:pt idx="532">
                  <c:v>7348.1419999999998</c:v>
                </c:pt>
                <c:pt idx="533">
                  <c:v>7358.1756500000001</c:v>
                </c:pt>
                <c:pt idx="534">
                  <c:v>7371.7719999999999</c:v>
                </c:pt>
                <c:pt idx="535">
                  <c:v>7418.5219999999999</c:v>
                </c:pt>
                <c:pt idx="536">
                  <c:v>7419.4778999999999</c:v>
                </c:pt>
                <c:pt idx="537">
                  <c:v>7421.1945500000002</c:v>
                </c:pt>
                <c:pt idx="538">
                  <c:v>7441.0529999999999</c:v>
                </c:pt>
                <c:pt idx="539">
                  <c:v>7441.5010000000002</c:v>
                </c:pt>
                <c:pt idx="540">
                  <c:v>7443.6430499999997</c:v>
                </c:pt>
                <c:pt idx="541">
                  <c:v>7445.9179999999997</c:v>
                </c:pt>
                <c:pt idx="542">
                  <c:v>7448.4039499999999</c:v>
                </c:pt>
                <c:pt idx="543">
                  <c:v>7512.2669999999998</c:v>
                </c:pt>
                <c:pt idx="544">
                  <c:v>7518.0253499999999</c:v>
                </c:pt>
                <c:pt idx="545">
                  <c:v>7526.7064499999997</c:v>
                </c:pt>
                <c:pt idx="546">
                  <c:v>7537.1638999999996</c:v>
                </c:pt>
                <c:pt idx="547">
                  <c:v>7623.518</c:v>
                </c:pt>
                <c:pt idx="548">
                  <c:v>7624.63</c:v>
                </c:pt>
                <c:pt idx="549">
                  <c:v>7626.9930000000004</c:v>
                </c:pt>
                <c:pt idx="550">
                  <c:v>7633.7205999999996</c:v>
                </c:pt>
                <c:pt idx="551">
                  <c:v>7639.4174499999999</c:v>
                </c:pt>
                <c:pt idx="552">
                  <c:v>7640.3091999999997</c:v>
                </c:pt>
                <c:pt idx="553">
                  <c:v>7650.7737500000003</c:v>
                </c:pt>
                <c:pt idx="554">
                  <c:v>7682.67</c:v>
                </c:pt>
                <c:pt idx="555">
                  <c:v>7726.8540000000003</c:v>
                </c:pt>
                <c:pt idx="556">
                  <c:v>7727.2532000000001</c:v>
                </c:pt>
                <c:pt idx="557">
                  <c:v>7729.6457499999997</c:v>
                </c:pt>
                <c:pt idx="558">
                  <c:v>7731.4270999999999</c:v>
                </c:pt>
                <c:pt idx="559">
                  <c:v>7731.8578500000003</c:v>
                </c:pt>
                <c:pt idx="560">
                  <c:v>7740.3370000000004</c:v>
                </c:pt>
                <c:pt idx="561">
                  <c:v>7742.1098000000002</c:v>
                </c:pt>
                <c:pt idx="562">
                  <c:v>7749.1563999999998</c:v>
                </c:pt>
                <c:pt idx="563">
                  <c:v>7789.6350000000002</c:v>
                </c:pt>
                <c:pt idx="564">
                  <c:v>7804.1605</c:v>
                </c:pt>
                <c:pt idx="565">
                  <c:v>7935.29115</c:v>
                </c:pt>
                <c:pt idx="566">
                  <c:v>7954.5169999999998</c:v>
                </c:pt>
                <c:pt idx="567">
                  <c:v>7985.8149999999996</c:v>
                </c:pt>
                <c:pt idx="568">
                  <c:v>7986.4752500000004</c:v>
                </c:pt>
                <c:pt idx="569">
                  <c:v>8017.0611500000005</c:v>
                </c:pt>
                <c:pt idx="570">
                  <c:v>8023.1354499999998</c:v>
                </c:pt>
                <c:pt idx="571">
                  <c:v>8026.6665999999996</c:v>
                </c:pt>
                <c:pt idx="572">
                  <c:v>8027.9679999999998</c:v>
                </c:pt>
                <c:pt idx="573">
                  <c:v>8059.6791000000003</c:v>
                </c:pt>
                <c:pt idx="574">
                  <c:v>8062.7640000000001</c:v>
                </c:pt>
                <c:pt idx="575">
                  <c:v>8068.1850000000004</c:v>
                </c:pt>
                <c:pt idx="576">
                  <c:v>8083.9197999999997</c:v>
                </c:pt>
                <c:pt idx="577">
                  <c:v>8116.2688500000004</c:v>
                </c:pt>
                <c:pt idx="578">
                  <c:v>8116.68</c:v>
                </c:pt>
                <c:pt idx="579">
                  <c:v>8124.4084000000003</c:v>
                </c:pt>
                <c:pt idx="580">
                  <c:v>8125.7844999999998</c:v>
                </c:pt>
                <c:pt idx="581">
                  <c:v>8162.7162500000004</c:v>
                </c:pt>
                <c:pt idx="582">
                  <c:v>8211.1002000000008</c:v>
                </c:pt>
                <c:pt idx="583">
                  <c:v>8219.2039000000004</c:v>
                </c:pt>
                <c:pt idx="584">
                  <c:v>8232.6388000000006</c:v>
                </c:pt>
                <c:pt idx="585">
                  <c:v>8233.0974999999999</c:v>
                </c:pt>
                <c:pt idx="586">
                  <c:v>8240.5895999999993</c:v>
                </c:pt>
                <c:pt idx="587">
                  <c:v>8252.2842999999993</c:v>
                </c:pt>
                <c:pt idx="588">
                  <c:v>8269.0439999999999</c:v>
                </c:pt>
                <c:pt idx="589">
                  <c:v>8277.5229999999992</c:v>
                </c:pt>
                <c:pt idx="590">
                  <c:v>8280.6226999999999</c:v>
                </c:pt>
                <c:pt idx="591">
                  <c:v>8283.6807000000008</c:v>
                </c:pt>
                <c:pt idx="592">
                  <c:v>8302.5356499999998</c:v>
                </c:pt>
                <c:pt idx="593">
                  <c:v>8310.8391499999998</c:v>
                </c:pt>
                <c:pt idx="594">
                  <c:v>8334.4575499999992</c:v>
                </c:pt>
                <c:pt idx="595">
                  <c:v>8334.5895999999993</c:v>
                </c:pt>
                <c:pt idx="596">
                  <c:v>8342.9087500000005</c:v>
                </c:pt>
                <c:pt idx="597">
                  <c:v>8347.1643000000004</c:v>
                </c:pt>
                <c:pt idx="598">
                  <c:v>8410.0468500000006</c:v>
                </c:pt>
                <c:pt idx="599">
                  <c:v>8413.4630500000003</c:v>
                </c:pt>
                <c:pt idx="600">
                  <c:v>8428.0692999999992</c:v>
                </c:pt>
                <c:pt idx="601">
                  <c:v>8442.6669999999995</c:v>
                </c:pt>
                <c:pt idx="602">
                  <c:v>8444.4740000000002</c:v>
                </c:pt>
                <c:pt idx="603">
                  <c:v>8457.8179999999993</c:v>
                </c:pt>
                <c:pt idx="604">
                  <c:v>8515.7587000000003</c:v>
                </c:pt>
                <c:pt idx="605">
                  <c:v>8516.8289999999997</c:v>
                </c:pt>
                <c:pt idx="606">
                  <c:v>8520.0259999999998</c:v>
                </c:pt>
                <c:pt idx="607">
                  <c:v>8522.0030000000006</c:v>
                </c:pt>
                <c:pt idx="608">
                  <c:v>8527.5319999999992</c:v>
                </c:pt>
                <c:pt idx="609">
                  <c:v>8534.6718000000001</c:v>
                </c:pt>
                <c:pt idx="610">
                  <c:v>8538.28845</c:v>
                </c:pt>
                <c:pt idx="611">
                  <c:v>8539.6710000000003</c:v>
                </c:pt>
                <c:pt idx="612">
                  <c:v>8547.6913000000004</c:v>
                </c:pt>
                <c:pt idx="613">
                  <c:v>8551.3469999999998</c:v>
                </c:pt>
                <c:pt idx="614">
                  <c:v>8556.9069999999992</c:v>
                </c:pt>
                <c:pt idx="615">
                  <c:v>8569.8618000000006</c:v>
                </c:pt>
                <c:pt idx="616">
                  <c:v>8582.3022999999994</c:v>
                </c:pt>
                <c:pt idx="617">
                  <c:v>8596.8277999999991</c:v>
                </c:pt>
                <c:pt idx="618">
                  <c:v>8601.3292999999994</c:v>
                </c:pt>
                <c:pt idx="619">
                  <c:v>8603.8233999999993</c:v>
                </c:pt>
                <c:pt idx="620">
                  <c:v>8604.4836500000001</c:v>
                </c:pt>
                <c:pt idx="621">
                  <c:v>8605.3615000000009</c:v>
                </c:pt>
                <c:pt idx="622">
                  <c:v>8606.2173999999995</c:v>
                </c:pt>
                <c:pt idx="623">
                  <c:v>8615.2999999999993</c:v>
                </c:pt>
                <c:pt idx="624">
                  <c:v>8627.5411000000004</c:v>
                </c:pt>
                <c:pt idx="625">
                  <c:v>8671.1912499999999</c:v>
                </c:pt>
                <c:pt idx="626">
                  <c:v>8688.8588500000005</c:v>
                </c:pt>
                <c:pt idx="627">
                  <c:v>8703.4560000000001</c:v>
                </c:pt>
                <c:pt idx="628">
                  <c:v>8733.2292500000003</c:v>
                </c:pt>
                <c:pt idx="629">
                  <c:v>8765.2489999999998</c:v>
                </c:pt>
                <c:pt idx="630">
                  <c:v>8782.4689999999991</c:v>
                </c:pt>
                <c:pt idx="631">
                  <c:v>8798.5930000000008</c:v>
                </c:pt>
                <c:pt idx="632">
                  <c:v>8823.2790000000005</c:v>
                </c:pt>
                <c:pt idx="633">
                  <c:v>8823.9857499999998</c:v>
                </c:pt>
                <c:pt idx="634">
                  <c:v>8825.0859999999993</c:v>
                </c:pt>
                <c:pt idx="635">
                  <c:v>8827.2098999999998</c:v>
                </c:pt>
                <c:pt idx="636">
                  <c:v>8835.2649500000007</c:v>
                </c:pt>
                <c:pt idx="637">
                  <c:v>8871.1517000000003</c:v>
                </c:pt>
                <c:pt idx="638">
                  <c:v>8891.1394999999993</c:v>
                </c:pt>
                <c:pt idx="639">
                  <c:v>8930.9345499999999</c:v>
                </c:pt>
                <c:pt idx="640">
                  <c:v>8932.0840000000007</c:v>
                </c:pt>
                <c:pt idx="641">
                  <c:v>8944.1151000000009</c:v>
                </c:pt>
                <c:pt idx="642">
                  <c:v>8964.0605500000001</c:v>
                </c:pt>
                <c:pt idx="643">
                  <c:v>8965.7957499999993</c:v>
                </c:pt>
                <c:pt idx="644">
                  <c:v>8968.33</c:v>
                </c:pt>
                <c:pt idx="645">
                  <c:v>8978.1851000000006</c:v>
                </c:pt>
                <c:pt idx="646">
                  <c:v>8988.1587500000005</c:v>
                </c:pt>
                <c:pt idx="647">
                  <c:v>9048.0272999999997</c:v>
                </c:pt>
                <c:pt idx="648">
                  <c:v>9058.7302999999993</c:v>
                </c:pt>
                <c:pt idx="649">
                  <c:v>9095.0682500000003</c:v>
                </c:pt>
                <c:pt idx="650">
                  <c:v>9101.7980000000007</c:v>
                </c:pt>
                <c:pt idx="651">
                  <c:v>9140.9509999999991</c:v>
                </c:pt>
                <c:pt idx="652">
                  <c:v>9144.5650000000005</c:v>
                </c:pt>
                <c:pt idx="653">
                  <c:v>9174.1356500000002</c:v>
                </c:pt>
                <c:pt idx="654">
                  <c:v>9182.17</c:v>
                </c:pt>
                <c:pt idx="655">
                  <c:v>9193.8384999999998</c:v>
                </c:pt>
                <c:pt idx="656">
                  <c:v>9222.4025999999994</c:v>
                </c:pt>
                <c:pt idx="657">
                  <c:v>9225.2564000000002</c:v>
                </c:pt>
                <c:pt idx="658">
                  <c:v>9249.4951999999994</c:v>
                </c:pt>
                <c:pt idx="659">
                  <c:v>9264.7970000000005</c:v>
                </c:pt>
                <c:pt idx="660">
                  <c:v>9282.4806000000008</c:v>
                </c:pt>
                <c:pt idx="661">
                  <c:v>9283.5619999999999</c:v>
                </c:pt>
                <c:pt idx="662">
                  <c:v>9288.0267000000003</c:v>
                </c:pt>
                <c:pt idx="663">
                  <c:v>9290.1394999999993</c:v>
                </c:pt>
                <c:pt idx="664">
                  <c:v>9301.8935500000007</c:v>
                </c:pt>
                <c:pt idx="665">
                  <c:v>9304.7019</c:v>
                </c:pt>
                <c:pt idx="666">
                  <c:v>9361.3268000000007</c:v>
                </c:pt>
                <c:pt idx="667">
                  <c:v>9377.9046999999991</c:v>
                </c:pt>
                <c:pt idx="668">
                  <c:v>9386.1612999999998</c:v>
                </c:pt>
                <c:pt idx="669">
                  <c:v>9391.3459999999995</c:v>
                </c:pt>
                <c:pt idx="670">
                  <c:v>9411.0049999999992</c:v>
                </c:pt>
                <c:pt idx="671">
                  <c:v>9414.92</c:v>
                </c:pt>
                <c:pt idx="672">
                  <c:v>9432.9253000000008</c:v>
                </c:pt>
                <c:pt idx="673">
                  <c:v>9447.2503500000003</c:v>
                </c:pt>
                <c:pt idx="674">
                  <c:v>9447.3824000000004</c:v>
                </c:pt>
                <c:pt idx="675">
                  <c:v>9487.6442000000006</c:v>
                </c:pt>
                <c:pt idx="676">
                  <c:v>9500.5730500000009</c:v>
                </c:pt>
                <c:pt idx="677">
                  <c:v>9504.3102999999992</c:v>
                </c:pt>
                <c:pt idx="678">
                  <c:v>9541.6955500000004</c:v>
                </c:pt>
                <c:pt idx="679">
                  <c:v>9549.5650999999998</c:v>
                </c:pt>
                <c:pt idx="680">
                  <c:v>9563.0290000000005</c:v>
                </c:pt>
                <c:pt idx="681">
                  <c:v>9566.9909000000007</c:v>
                </c:pt>
                <c:pt idx="682">
                  <c:v>9583.8932999999997</c:v>
                </c:pt>
                <c:pt idx="683">
                  <c:v>9617.6624499999998</c:v>
                </c:pt>
                <c:pt idx="684">
                  <c:v>9620.3307000000004</c:v>
                </c:pt>
                <c:pt idx="685">
                  <c:v>9625.92</c:v>
                </c:pt>
                <c:pt idx="686">
                  <c:v>9630.3970000000008</c:v>
                </c:pt>
                <c:pt idx="687">
                  <c:v>9634.5380000000005</c:v>
                </c:pt>
                <c:pt idx="688">
                  <c:v>9644.2525000000005</c:v>
                </c:pt>
                <c:pt idx="689">
                  <c:v>9704.6680500000002</c:v>
                </c:pt>
                <c:pt idx="690">
                  <c:v>9715.8410000000003</c:v>
                </c:pt>
                <c:pt idx="691">
                  <c:v>9722.7695000000003</c:v>
                </c:pt>
                <c:pt idx="692">
                  <c:v>9724.5300000000007</c:v>
                </c:pt>
                <c:pt idx="693">
                  <c:v>9748.9105999999992</c:v>
                </c:pt>
                <c:pt idx="694">
                  <c:v>9778.3472000000002</c:v>
                </c:pt>
                <c:pt idx="695">
                  <c:v>9788.8659000000007</c:v>
                </c:pt>
                <c:pt idx="696">
                  <c:v>9800.8881999999994</c:v>
                </c:pt>
                <c:pt idx="697">
                  <c:v>9850.4320000000007</c:v>
                </c:pt>
                <c:pt idx="698">
                  <c:v>9855.1314000000002</c:v>
                </c:pt>
                <c:pt idx="699">
                  <c:v>9861.0249999999996</c:v>
                </c:pt>
                <c:pt idx="700">
                  <c:v>9863.4717999999993</c:v>
                </c:pt>
                <c:pt idx="701">
                  <c:v>9866.3048500000004</c:v>
                </c:pt>
                <c:pt idx="702">
                  <c:v>9869.8101999999999</c:v>
                </c:pt>
                <c:pt idx="703">
                  <c:v>9872.7009999999991</c:v>
                </c:pt>
                <c:pt idx="704">
                  <c:v>9875.6803999999993</c:v>
                </c:pt>
                <c:pt idx="705">
                  <c:v>9877.6077000000005</c:v>
                </c:pt>
                <c:pt idx="706">
                  <c:v>9880.0679999999993</c:v>
                </c:pt>
                <c:pt idx="707">
                  <c:v>9910.3598500000007</c:v>
                </c:pt>
                <c:pt idx="708">
                  <c:v>9957.7216000000008</c:v>
                </c:pt>
                <c:pt idx="709">
                  <c:v>9964.06</c:v>
                </c:pt>
                <c:pt idx="710">
                  <c:v>9991.0376500000002</c:v>
                </c:pt>
                <c:pt idx="711">
                  <c:v>10043.249</c:v>
                </c:pt>
                <c:pt idx="712">
                  <c:v>10065.413</c:v>
                </c:pt>
                <c:pt idx="713">
                  <c:v>10072.055050000001</c:v>
                </c:pt>
                <c:pt idx="714">
                  <c:v>10085.846</c:v>
                </c:pt>
                <c:pt idx="715">
                  <c:v>10096.969999999999</c:v>
                </c:pt>
                <c:pt idx="716">
                  <c:v>10106.134249999999</c:v>
                </c:pt>
                <c:pt idx="717">
                  <c:v>10107.220600000001</c:v>
                </c:pt>
                <c:pt idx="718">
                  <c:v>10115.00885</c:v>
                </c:pt>
                <c:pt idx="719">
                  <c:v>10118.424000000001</c:v>
                </c:pt>
                <c:pt idx="720">
                  <c:v>10141.136200000001</c:v>
                </c:pt>
                <c:pt idx="721">
                  <c:v>10156.7832</c:v>
                </c:pt>
                <c:pt idx="722">
                  <c:v>10197.772199999999</c:v>
                </c:pt>
                <c:pt idx="723">
                  <c:v>10214.636</c:v>
                </c:pt>
                <c:pt idx="724">
                  <c:v>10226.2842</c:v>
                </c:pt>
                <c:pt idx="725">
                  <c:v>10231.499900000001</c:v>
                </c:pt>
                <c:pt idx="726">
                  <c:v>10264.4421</c:v>
                </c:pt>
                <c:pt idx="727">
                  <c:v>10269.459999999999</c:v>
                </c:pt>
                <c:pt idx="728">
                  <c:v>10325.206</c:v>
                </c:pt>
                <c:pt idx="729">
                  <c:v>10338.9316</c:v>
                </c:pt>
                <c:pt idx="730">
                  <c:v>10355.641</c:v>
                </c:pt>
                <c:pt idx="731">
                  <c:v>10370.912549999999</c:v>
                </c:pt>
                <c:pt idx="732">
                  <c:v>10381.4787</c:v>
                </c:pt>
                <c:pt idx="733">
                  <c:v>10407.085849999999</c:v>
                </c:pt>
                <c:pt idx="734">
                  <c:v>10422.916649999999</c:v>
                </c:pt>
                <c:pt idx="735">
                  <c:v>10435.06525</c:v>
                </c:pt>
                <c:pt idx="736">
                  <c:v>10436.096</c:v>
                </c:pt>
                <c:pt idx="737">
                  <c:v>10450.552</c:v>
                </c:pt>
                <c:pt idx="738">
                  <c:v>10461.9794</c:v>
                </c:pt>
                <c:pt idx="739">
                  <c:v>10493.9458</c:v>
                </c:pt>
                <c:pt idx="740">
                  <c:v>10560.4917</c:v>
                </c:pt>
                <c:pt idx="741">
                  <c:v>10564.8845</c:v>
                </c:pt>
                <c:pt idx="742">
                  <c:v>10577.087</c:v>
                </c:pt>
                <c:pt idx="743">
                  <c:v>10579.710999999999</c:v>
                </c:pt>
                <c:pt idx="744">
                  <c:v>10594.225700000001</c:v>
                </c:pt>
                <c:pt idx="745">
                  <c:v>10594.501550000001</c:v>
                </c:pt>
                <c:pt idx="746">
                  <c:v>10600.5483</c:v>
                </c:pt>
                <c:pt idx="747">
                  <c:v>10601.412</c:v>
                </c:pt>
                <c:pt idx="748">
                  <c:v>10601.632250000001</c:v>
                </c:pt>
                <c:pt idx="749">
                  <c:v>10602.385</c:v>
                </c:pt>
                <c:pt idx="750">
                  <c:v>10702.642400000001</c:v>
                </c:pt>
                <c:pt idx="751">
                  <c:v>10704.47</c:v>
                </c:pt>
                <c:pt idx="752">
                  <c:v>10713.644</c:v>
                </c:pt>
                <c:pt idx="753">
                  <c:v>10736.87075</c:v>
                </c:pt>
                <c:pt idx="754">
                  <c:v>10791.96</c:v>
                </c:pt>
                <c:pt idx="755">
                  <c:v>10795.937330000001</c:v>
                </c:pt>
                <c:pt idx="756">
                  <c:v>10796.35025</c:v>
                </c:pt>
                <c:pt idx="757">
                  <c:v>10797.3362</c:v>
                </c:pt>
                <c:pt idx="758">
                  <c:v>10806.839</c:v>
                </c:pt>
                <c:pt idx="759">
                  <c:v>10807.4863</c:v>
                </c:pt>
                <c:pt idx="760">
                  <c:v>10825.253699999999</c:v>
                </c:pt>
                <c:pt idx="761">
                  <c:v>10848.1343</c:v>
                </c:pt>
                <c:pt idx="762">
                  <c:v>10923.933199999999</c:v>
                </c:pt>
                <c:pt idx="763">
                  <c:v>10928.849</c:v>
                </c:pt>
                <c:pt idx="764">
                  <c:v>10942.13205</c:v>
                </c:pt>
                <c:pt idx="765">
                  <c:v>10959.33</c:v>
                </c:pt>
                <c:pt idx="766">
                  <c:v>10959.6947</c:v>
                </c:pt>
                <c:pt idx="767">
                  <c:v>10965.446</c:v>
                </c:pt>
                <c:pt idx="768">
                  <c:v>10976.24575</c:v>
                </c:pt>
                <c:pt idx="769">
                  <c:v>10977.2063</c:v>
                </c:pt>
                <c:pt idx="770">
                  <c:v>10982.5013</c:v>
                </c:pt>
                <c:pt idx="771">
                  <c:v>11013.7119</c:v>
                </c:pt>
                <c:pt idx="772">
                  <c:v>11015.1747</c:v>
                </c:pt>
                <c:pt idx="773">
                  <c:v>11033.661700000001</c:v>
                </c:pt>
                <c:pt idx="774">
                  <c:v>11070.535</c:v>
                </c:pt>
                <c:pt idx="775">
                  <c:v>11073.175999999999</c:v>
                </c:pt>
                <c:pt idx="776">
                  <c:v>11082.5772</c:v>
                </c:pt>
                <c:pt idx="777">
                  <c:v>11085.586799999999</c:v>
                </c:pt>
                <c:pt idx="778">
                  <c:v>11090.7178</c:v>
                </c:pt>
                <c:pt idx="779">
                  <c:v>11093.6229</c:v>
                </c:pt>
                <c:pt idx="780">
                  <c:v>11150.78</c:v>
                </c:pt>
                <c:pt idx="781">
                  <c:v>11163.567999999999</c:v>
                </c:pt>
                <c:pt idx="782">
                  <c:v>11165.417649999999</c:v>
                </c:pt>
                <c:pt idx="783">
                  <c:v>11187.6567</c:v>
                </c:pt>
                <c:pt idx="784">
                  <c:v>11244.376899999999</c:v>
                </c:pt>
                <c:pt idx="785">
                  <c:v>11253.421</c:v>
                </c:pt>
                <c:pt idx="786">
                  <c:v>11264.540999999999</c:v>
                </c:pt>
                <c:pt idx="787">
                  <c:v>11272.331389999999</c:v>
                </c:pt>
                <c:pt idx="788">
                  <c:v>11286.538699999999</c:v>
                </c:pt>
                <c:pt idx="789">
                  <c:v>11289.10925</c:v>
                </c:pt>
                <c:pt idx="790">
                  <c:v>11299.343000000001</c:v>
                </c:pt>
                <c:pt idx="791">
                  <c:v>11305.93455</c:v>
                </c:pt>
                <c:pt idx="792">
                  <c:v>11326.71487</c:v>
                </c:pt>
                <c:pt idx="793">
                  <c:v>11345.519</c:v>
                </c:pt>
                <c:pt idx="794">
                  <c:v>11353.2276</c:v>
                </c:pt>
                <c:pt idx="795">
                  <c:v>11356.660900000001</c:v>
                </c:pt>
                <c:pt idx="796">
                  <c:v>11362.754999999999</c:v>
                </c:pt>
                <c:pt idx="797">
                  <c:v>11363.2832</c:v>
                </c:pt>
                <c:pt idx="798">
                  <c:v>11365.951999999999</c:v>
                </c:pt>
                <c:pt idx="799">
                  <c:v>11381.3254</c:v>
                </c:pt>
                <c:pt idx="800">
                  <c:v>11394.065549999999</c:v>
                </c:pt>
                <c:pt idx="801">
                  <c:v>11396.9002</c:v>
                </c:pt>
                <c:pt idx="802">
                  <c:v>11411.684999999999</c:v>
                </c:pt>
                <c:pt idx="803">
                  <c:v>11436.738149999999</c:v>
                </c:pt>
                <c:pt idx="804">
                  <c:v>11454.021500000001</c:v>
                </c:pt>
                <c:pt idx="805">
                  <c:v>11455.28</c:v>
                </c:pt>
                <c:pt idx="806">
                  <c:v>11482.63485</c:v>
                </c:pt>
                <c:pt idx="807">
                  <c:v>11488.31695</c:v>
                </c:pt>
                <c:pt idx="808">
                  <c:v>11512.405000000001</c:v>
                </c:pt>
                <c:pt idx="809">
                  <c:v>11520.099850000001</c:v>
                </c:pt>
                <c:pt idx="810">
                  <c:v>11534.872649999999</c:v>
                </c:pt>
                <c:pt idx="811">
                  <c:v>11538.421</c:v>
                </c:pt>
                <c:pt idx="812">
                  <c:v>11552.904</c:v>
                </c:pt>
                <c:pt idx="813">
                  <c:v>11554.223599999999</c:v>
                </c:pt>
                <c:pt idx="814">
                  <c:v>11566.30055</c:v>
                </c:pt>
                <c:pt idx="815">
                  <c:v>11576.13</c:v>
                </c:pt>
                <c:pt idx="816">
                  <c:v>11657.7189</c:v>
                </c:pt>
                <c:pt idx="817">
                  <c:v>11658.11505</c:v>
                </c:pt>
                <c:pt idx="818">
                  <c:v>11658.379150000001</c:v>
                </c:pt>
                <c:pt idx="819">
                  <c:v>11674.13</c:v>
                </c:pt>
                <c:pt idx="820">
                  <c:v>11729.6795</c:v>
                </c:pt>
                <c:pt idx="821">
                  <c:v>11735.87905</c:v>
                </c:pt>
                <c:pt idx="822">
                  <c:v>11737.848840000001</c:v>
                </c:pt>
                <c:pt idx="823">
                  <c:v>11741.726000000001</c:v>
                </c:pt>
                <c:pt idx="824">
                  <c:v>11743.299000000001</c:v>
                </c:pt>
                <c:pt idx="825">
                  <c:v>11743.9341</c:v>
                </c:pt>
                <c:pt idx="826">
                  <c:v>11763.000899999999</c:v>
                </c:pt>
                <c:pt idx="827">
                  <c:v>11830.6072</c:v>
                </c:pt>
                <c:pt idx="828">
                  <c:v>11833.782300000001</c:v>
                </c:pt>
                <c:pt idx="829">
                  <c:v>11837.16</c:v>
                </c:pt>
                <c:pt idx="830">
                  <c:v>11840.77505</c:v>
                </c:pt>
                <c:pt idx="831">
                  <c:v>11842.441999999999</c:v>
                </c:pt>
                <c:pt idx="832">
                  <c:v>11842.623750000001</c:v>
                </c:pt>
                <c:pt idx="833">
                  <c:v>11848.141</c:v>
                </c:pt>
                <c:pt idx="834">
                  <c:v>11856.4115</c:v>
                </c:pt>
                <c:pt idx="835">
                  <c:v>11879.10405</c:v>
                </c:pt>
                <c:pt idx="836">
                  <c:v>11881.358</c:v>
                </c:pt>
                <c:pt idx="837">
                  <c:v>11881.9696</c:v>
                </c:pt>
                <c:pt idx="838">
                  <c:v>11884.048580000001</c:v>
                </c:pt>
                <c:pt idx="839">
                  <c:v>11931.125249999999</c:v>
                </c:pt>
                <c:pt idx="840">
                  <c:v>11938.255950000001</c:v>
                </c:pt>
                <c:pt idx="841">
                  <c:v>11944.594349999999</c:v>
                </c:pt>
                <c:pt idx="842">
                  <c:v>11945.1327</c:v>
                </c:pt>
                <c:pt idx="843">
                  <c:v>11946.625899999999</c:v>
                </c:pt>
                <c:pt idx="844">
                  <c:v>11987.1682</c:v>
                </c:pt>
                <c:pt idx="845">
                  <c:v>12029.286700000001</c:v>
                </c:pt>
                <c:pt idx="846">
                  <c:v>12032.325999999999</c:v>
                </c:pt>
                <c:pt idx="847">
                  <c:v>12044.342000000001</c:v>
                </c:pt>
                <c:pt idx="848">
                  <c:v>12094.477999999999</c:v>
                </c:pt>
                <c:pt idx="849">
                  <c:v>12096.6512</c:v>
                </c:pt>
                <c:pt idx="850">
                  <c:v>12105.32</c:v>
                </c:pt>
                <c:pt idx="851">
                  <c:v>12124.992399999999</c:v>
                </c:pt>
                <c:pt idx="852">
                  <c:v>12129.614149999999</c:v>
                </c:pt>
                <c:pt idx="853">
                  <c:v>12142.578600000001</c:v>
                </c:pt>
                <c:pt idx="854">
                  <c:v>12146.971</c:v>
                </c:pt>
                <c:pt idx="855">
                  <c:v>12222.898300000001</c:v>
                </c:pt>
                <c:pt idx="856">
                  <c:v>12224.350850000001</c:v>
                </c:pt>
                <c:pt idx="857">
                  <c:v>12231.613600000001</c:v>
                </c:pt>
                <c:pt idx="858">
                  <c:v>12233.828</c:v>
                </c:pt>
                <c:pt idx="859">
                  <c:v>12235.8392</c:v>
                </c:pt>
                <c:pt idx="860">
                  <c:v>12244.531000000001</c:v>
                </c:pt>
                <c:pt idx="861">
                  <c:v>12265.5069</c:v>
                </c:pt>
                <c:pt idx="862">
                  <c:v>12268.632250000001</c:v>
                </c:pt>
                <c:pt idx="863">
                  <c:v>12269.68865</c:v>
                </c:pt>
                <c:pt idx="864">
                  <c:v>12323.936</c:v>
                </c:pt>
                <c:pt idx="865">
                  <c:v>12333.828</c:v>
                </c:pt>
                <c:pt idx="866">
                  <c:v>12347.172</c:v>
                </c:pt>
                <c:pt idx="867">
                  <c:v>12363.547</c:v>
                </c:pt>
                <c:pt idx="868">
                  <c:v>12404.8791</c:v>
                </c:pt>
                <c:pt idx="869">
                  <c:v>12430.95335</c:v>
                </c:pt>
                <c:pt idx="870">
                  <c:v>12475.3513</c:v>
                </c:pt>
                <c:pt idx="871">
                  <c:v>12479.70895</c:v>
                </c:pt>
                <c:pt idx="872">
                  <c:v>12485.8009</c:v>
                </c:pt>
                <c:pt idx="873">
                  <c:v>12495.290849999999</c:v>
                </c:pt>
                <c:pt idx="874">
                  <c:v>12523.604799999999</c:v>
                </c:pt>
                <c:pt idx="875">
                  <c:v>12557.605299999999</c:v>
                </c:pt>
                <c:pt idx="876">
                  <c:v>12574.049000000001</c:v>
                </c:pt>
                <c:pt idx="877">
                  <c:v>12592.5345</c:v>
                </c:pt>
                <c:pt idx="878">
                  <c:v>12609.88702</c:v>
                </c:pt>
                <c:pt idx="879">
                  <c:v>12622.1795</c:v>
                </c:pt>
                <c:pt idx="880">
                  <c:v>12629.1656</c:v>
                </c:pt>
                <c:pt idx="881">
                  <c:v>12629.896699999999</c:v>
                </c:pt>
                <c:pt idx="882">
                  <c:v>12638.195</c:v>
                </c:pt>
                <c:pt idx="883">
                  <c:v>12643.3778</c:v>
                </c:pt>
                <c:pt idx="884">
                  <c:v>12644.589</c:v>
                </c:pt>
                <c:pt idx="885">
                  <c:v>12646.207</c:v>
                </c:pt>
                <c:pt idx="886">
                  <c:v>12648.7034</c:v>
                </c:pt>
                <c:pt idx="887">
                  <c:v>12730.999599999999</c:v>
                </c:pt>
                <c:pt idx="888">
                  <c:v>12741.167450000001</c:v>
                </c:pt>
                <c:pt idx="889">
                  <c:v>12797.20962</c:v>
                </c:pt>
                <c:pt idx="890">
                  <c:v>12815.444949999999</c:v>
                </c:pt>
                <c:pt idx="891">
                  <c:v>12829.455099999999</c:v>
                </c:pt>
                <c:pt idx="892">
                  <c:v>12890.057650000001</c:v>
                </c:pt>
                <c:pt idx="893">
                  <c:v>12913.992399999999</c:v>
                </c:pt>
                <c:pt idx="894">
                  <c:v>12925.886</c:v>
                </c:pt>
                <c:pt idx="895">
                  <c:v>12928.7911</c:v>
                </c:pt>
                <c:pt idx="896">
                  <c:v>12949.1554</c:v>
                </c:pt>
                <c:pt idx="897">
                  <c:v>12950.0712</c:v>
                </c:pt>
                <c:pt idx="898">
                  <c:v>12957.118</c:v>
                </c:pt>
                <c:pt idx="899">
                  <c:v>12979.358</c:v>
                </c:pt>
                <c:pt idx="900">
                  <c:v>12981.3457</c:v>
                </c:pt>
                <c:pt idx="901">
                  <c:v>12982.8747</c:v>
                </c:pt>
                <c:pt idx="902">
                  <c:v>13012.20865</c:v>
                </c:pt>
                <c:pt idx="903">
                  <c:v>13019.161050000001</c:v>
                </c:pt>
                <c:pt idx="904">
                  <c:v>13041.921</c:v>
                </c:pt>
                <c:pt idx="905">
                  <c:v>13047.332350000001</c:v>
                </c:pt>
                <c:pt idx="906">
                  <c:v>13063.883</c:v>
                </c:pt>
                <c:pt idx="907">
                  <c:v>13112.604799999999</c:v>
                </c:pt>
                <c:pt idx="908">
                  <c:v>13126.677449999999</c:v>
                </c:pt>
                <c:pt idx="909">
                  <c:v>13129.603450000001</c:v>
                </c:pt>
                <c:pt idx="910">
                  <c:v>13143.336649999999</c:v>
                </c:pt>
                <c:pt idx="911">
                  <c:v>13143.86485</c:v>
                </c:pt>
                <c:pt idx="912">
                  <c:v>13204.28565</c:v>
                </c:pt>
                <c:pt idx="913">
                  <c:v>13217.094499999999</c:v>
                </c:pt>
                <c:pt idx="914">
                  <c:v>13224.057049999999</c:v>
                </c:pt>
                <c:pt idx="915">
                  <c:v>13224.692999999999</c:v>
                </c:pt>
                <c:pt idx="916">
                  <c:v>13228.846949999999</c:v>
                </c:pt>
                <c:pt idx="917">
                  <c:v>13352.0998</c:v>
                </c:pt>
                <c:pt idx="918">
                  <c:v>13390.558999999999</c:v>
                </c:pt>
                <c:pt idx="919">
                  <c:v>13393.755999999999</c:v>
                </c:pt>
                <c:pt idx="920">
                  <c:v>13405.390299999999</c:v>
                </c:pt>
                <c:pt idx="921">
                  <c:v>13415.0381</c:v>
                </c:pt>
                <c:pt idx="922">
                  <c:v>13429.035400000001</c:v>
                </c:pt>
                <c:pt idx="923">
                  <c:v>13430.264999999999</c:v>
                </c:pt>
                <c:pt idx="924">
                  <c:v>13451.121999999999</c:v>
                </c:pt>
                <c:pt idx="925">
                  <c:v>13457.960800000001</c:v>
                </c:pt>
                <c:pt idx="926">
                  <c:v>13462.52</c:v>
                </c:pt>
                <c:pt idx="927">
                  <c:v>13470.804400000001</c:v>
                </c:pt>
                <c:pt idx="928">
                  <c:v>13470.86</c:v>
                </c:pt>
                <c:pt idx="929">
                  <c:v>13555.0049</c:v>
                </c:pt>
                <c:pt idx="930">
                  <c:v>13607.36875</c:v>
                </c:pt>
                <c:pt idx="931">
                  <c:v>13616.3586</c:v>
                </c:pt>
                <c:pt idx="932">
                  <c:v>13635.6379</c:v>
                </c:pt>
                <c:pt idx="933">
                  <c:v>13725.47184</c:v>
                </c:pt>
                <c:pt idx="934">
                  <c:v>13747.87235</c:v>
                </c:pt>
                <c:pt idx="935">
                  <c:v>13770.097900000001</c:v>
                </c:pt>
                <c:pt idx="936">
                  <c:v>13822.803</c:v>
                </c:pt>
                <c:pt idx="937">
                  <c:v>13831.1152</c:v>
                </c:pt>
                <c:pt idx="938">
                  <c:v>13844.505999999999</c:v>
                </c:pt>
                <c:pt idx="939">
                  <c:v>13844.797200000001</c:v>
                </c:pt>
                <c:pt idx="940">
                  <c:v>13880.949000000001</c:v>
                </c:pt>
                <c:pt idx="941">
                  <c:v>13887.204</c:v>
                </c:pt>
                <c:pt idx="942">
                  <c:v>13887.968500000001</c:v>
                </c:pt>
                <c:pt idx="943">
                  <c:v>13919.822899999999</c:v>
                </c:pt>
                <c:pt idx="944">
                  <c:v>13937.666499999999</c:v>
                </c:pt>
                <c:pt idx="945">
                  <c:v>13974.455550000001</c:v>
                </c:pt>
                <c:pt idx="946">
                  <c:v>13981.850350000001</c:v>
                </c:pt>
                <c:pt idx="947">
                  <c:v>14001.1338</c:v>
                </c:pt>
                <c:pt idx="948">
                  <c:v>14001.286700000001</c:v>
                </c:pt>
                <c:pt idx="949">
                  <c:v>14007.222</c:v>
                </c:pt>
                <c:pt idx="950">
                  <c:v>14043.476699999999</c:v>
                </c:pt>
                <c:pt idx="951">
                  <c:v>14119.62</c:v>
                </c:pt>
                <c:pt idx="952">
                  <c:v>14133.03775</c:v>
                </c:pt>
                <c:pt idx="953">
                  <c:v>14210.53595</c:v>
                </c:pt>
                <c:pt idx="954">
                  <c:v>14235.072</c:v>
                </c:pt>
                <c:pt idx="955">
                  <c:v>14254.608200000001</c:v>
                </c:pt>
                <c:pt idx="956">
                  <c:v>14256.192800000001</c:v>
                </c:pt>
                <c:pt idx="957">
                  <c:v>14283.4594</c:v>
                </c:pt>
                <c:pt idx="958">
                  <c:v>14313.846299999999</c:v>
                </c:pt>
                <c:pt idx="959">
                  <c:v>14319.031000000001</c:v>
                </c:pt>
                <c:pt idx="960">
                  <c:v>14349.8544</c:v>
                </c:pt>
                <c:pt idx="961">
                  <c:v>14358.364369999999</c:v>
                </c:pt>
                <c:pt idx="962">
                  <c:v>14382.709049999999</c:v>
                </c:pt>
                <c:pt idx="963">
                  <c:v>14394.398150000001</c:v>
                </c:pt>
                <c:pt idx="964">
                  <c:v>14394.5579</c:v>
                </c:pt>
                <c:pt idx="965">
                  <c:v>14410.9321</c:v>
                </c:pt>
                <c:pt idx="966">
                  <c:v>14418.2804</c:v>
                </c:pt>
                <c:pt idx="967">
                  <c:v>14426.073850000001</c:v>
                </c:pt>
                <c:pt idx="968">
                  <c:v>14449.8544</c:v>
                </c:pt>
                <c:pt idx="969">
                  <c:v>14451.835150000001</c:v>
                </c:pt>
                <c:pt idx="970">
                  <c:v>14455.644050000001</c:v>
                </c:pt>
                <c:pt idx="971">
                  <c:v>14474.674999999999</c:v>
                </c:pt>
                <c:pt idx="972">
                  <c:v>14478.33015</c:v>
                </c:pt>
                <c:pt idx="973">
                  <c:v>14571.890799999999</c:v>
                </c:pt>
                <c:pt idx="974">
                  <c:v>14590.63205</c:v>
                </c:pt>
                <c:pt idx="975">
                  <c:v>14692.66935</c:v>
                </c:pt>
                <c:pt idx="976">
                  <c:v>14711.7438</c:v>
                </c:pt>
                <c:pt idx="977">
                  <c:v>14901.5167</c:v>
                </c:pt>
                <c:pt idx="978">
                  <c:v>14988.432000000001</c:v>
                </c:pt>
                <c:pt idx="979">
                  <c:v>15006.579449999999</c:v>
                </c:pt>
                <c:pt idx="980">
                  <c:v>15019.760050000001</c:v>
                </c:pt>
                <c:pt idx="981">
                  <c:v>15161.5344</c:v>
                </c:pt>
                <c:pt idx="982">
                  <c:v>15170.069</c:v>
                </c:pt>
                <c:pt idx="983">
                  <c:v>15230.324049999999</c:v>
                </c:pt>
                <c:pt idx="984">
                  <c:v>15359.104499999999</c:v>
                </c:pt>
                <c:pt idx="985">
                  <c:v>15518.180249999999</c:v>
                </c:pt>
                <c:pt idx="986">
                  <c:v>15555.188749999999</c:v>
                </c:pt>
                <c:pt idx="987">
                  <c:v>15612.19335</c:v>
                </c:pt>
                <c:pt idx="988">
                  <c:v>15817.985699999999</c:v>
                </c:pt>
                <c:pt idx="989">
                  <c:v>15820.699000000001</c:v>
                </c:pt>
                <c:pt idx="990">
                  <c:v>15828.82173</c:v>
                </c:pt>
                <c:pt idx="991">
                  <c:v>16069.08475</c:v>
                </c:pt>
                <c:pt idx="992">
                  <c:v>16085.127500000001</c:v>
                </c:pt>
                <c:pt idx="993">
                  <c:v>16115.3045</c:v>
                </c:pt>
                <c:pt idx="994">
                  <c:v>16138.762049999999</c:v>
                </c:pt>
                <c:pt idx="995">
                  <c:v>16232.847</c:v>
                </c:pt>
                <c:pt idx="996">
                  <c:v>16297.846</c:v>
                </c:pt>
                <c:pt idx="997">
                  <c:v>16420.494549999999</c:v>
                </c:pt>
                <c:pt idx="998">
                  <c:v>16450.894700000001</c:v>
                </c:pt>
                <c:pt idx="999">
                  <c:v>16455.707849999999</c:v>
                </c:pt>
                <c:pt idx="1000">
                  <c:v>16577.779500000001</c:v>
                </c:pt>
                <c:pt idx="1001">
                  <c:v>16586.49771</c:v>
                </c:pt>
                <c:pt idx="1002">
                  <c:v>16657.71745</c:v>
                </c:pt>
                <c:pt idx="1003">
                  <c:v>16776.304049999999</c:v>
                </c:pt>
                <c:pt idx="1004">
                  <c:v>16796.411940000002</c:v>
                </c:pt>
                <c:pt idx="1005">
                  <c:v>16884.923999999999</c:v>
                </c:pt>
                <c:pt idx="1006">
                  <c:v>17043.341400000001</c:v>
                </c:pt>
                <c:pt idx="1007">
                  <c:v>17081.080000000002</c:v>
                </c:pt>
                <c:pt idx="1008">
                  <c:v>17085.267599999999</c:v>
                </c:pt>
                <c:pt idx="1009">
                  <c:v>17128.426080000001</c:v>
                </c:pt>
                <c:pt idx="1010">
                  <c:v>17178.682400000002</c:v>
                </c:pt>
                <c:pt idx="1011">
                  <c:v>17179.522000000001</c:v>
                </c:pt>
                <c:pt idx="1012">
                  <c:v>17352.6803</c:v>
                </c:pt>
                <c:pt idx="1013">
                  <c:v>17361.766100000001</c:v>
                </c:pt>
                <c:pt idx="1014">
                  <c:v>17468.983899999999</c:v>
                </c:pt>
                <c:pt idx="1015">
                  <c:v>17496.306</c:v>
                </c:pt>
                <c:pt idx="1016">
                  <c:v>17560.37975</c:v>
                </c:pt>
                <c:pt idx="1017">
                  <c:v>17626.239509999999</c:v>
                </c:pt>
                <c:pt idx="1018">
                  <c:v>17663.144199999999</c:v>
                </c:pt>
                <c:pt idx="1019">
                  <c:v>17748.5062</c:v>
                </c:pt>
                <c:pt idx="1020">
                  <c:v>17878.900679999999</c:v>
                </c:pt>
                <c:pt idx="1021">
                  <c:v>17904.527050000001</c:v>
                </c:pt>
                <c:pt idx="1022">
                  <c:v>17929.303370000001</c:v>
                </c:pt>
                <c:pt idx="1023">
                  <c:v>17942.106</c:v>
                </c:pt>
                <c:pt idx="1024">
                  <c:v>18033.9679</c:v>
                </c:pt>
                <c:pt idx="1025">
                  <c:v>18157.876</c:v>
                </c:pt>
                <c:pt idx="1026">
                  <c:v>18218.161390000001</c:v>
                </c:pt>
                <c:pt idx="1027">
                  <c:v>18223.4512</c:v>
                </c:pt>
                <c:pt idx="1028">
                  <c:v>18246.495500000001</c:v>
                </c:pt>
                <c:pt idx="1029">
                  <c:v>18259.216</c:v>
                </c:pt>
                <c:pt idx="1030">
                  <c:v>18310.741999999998</c:v>
                </c:pt>
                <c:pt idx="1031">
                  <c:v>18328.238099999999</c:v>
                </c:pt>
                <c:pt idx="1032">
                  <c:v>18608.261999999999</c:v>
                </c:pt>
                <c:pt idx="1033">
                  <c:v>18648.421699999999</c:v>
                </c:pt>
                <c:pt idx="1034">
                  <c:v>18765.87545</c:v>
                </c:pt>
                <c:pt idx="1035">
                  <c:v>18767.737700000001</c:v>
                </c:pt>
                <c:pt idx="1036">
                  <c:v>18804.752400000001</c:v>
                </c:pt>
                <c:pt idx="1037">
                  <c:v>18806.145469999999</c:v>
                </c:pt>
                <c:pt idx="1038">
                  <c:v>18838.703659999999</c:v>
                </c:pt>
                <c:pt idx="1039">
                  <c:v>18903.491409999999</c:v>
                </c:pt>
                <c:pt idx="1040">
                  <c:v>18955.220170000001</c:v>
                </c:pt>
                <c:pt idx="1041">
                  <c:v>18963.171920000001</c:v>
                </c:pt>
                <c:pt idx="1042">
                  <c:v>18972.494999999999</c:v>
                </c:pt>
                <c:pt idx="1043">
                  <c:v>19023.259999999998</c:v>
                </c:pt>
                <c:pt idx="1044">
                  <c:v>19040.876</c:v>
                </c:pt>
                <c:pt idx="1045">
                  <c:v>19107.779600000002</c:v>
                </c:pt>
                <c:pt idx="1046">
                  <c:v>19144.576519999999</c:v>
                </c:pt>
                <c:pt idx="1047">
                  <c:v>19199.944</c:v>
                </c:pt>
                <c:pt idx="1048">
                  <c:v>19214.705529999999</c:v>
                </c:pt>
                <c:pt idx="1049">
                  <c:v>19350.368900000001</c:v>
                </c:pt>
                <c:pt idx="1050">
                  <c:v>19361.998800000001</c:v>
                </c:pt>
                <c:pt idx="1051">
                  <c:v>19442.353500000001</c:v>
                </c:pt>
                <c:pt idx="1052">
                  <c:v>19444.265800000001</c:v>
                </c:pt>
                <c:pt idx="1053">
                  <c:v>19496.71917</c:v>
                </c:pt>
                <c:pt idx="1054">
                  <c:v>19515.5416</c:v>
                </c:pt>
                <c:pt idx="1055">
                  <c:v>19521.968199999999</c:v>
                </c:pt>
                <c:pt idx="1056">
                  <c:v>19539.242999999999</c:v>
                </c:pt>
                <c:pt idx="1057">
                  <c:v>19594.809649999999</c:v>
                </c:pt>
                <c:pt idx="1058">
                  <c:v>19673.335729999999</c:v>
                </c:pt>
                <c:pt idx="1059">
                  <c:v>19719.6947</c:v>
                </c:pt>
                <c:pt idx="1060">
                  <c:v>19749.383379999999</c:v>
                </c:pt>
                <c:pt idx="1061">
                  <c:v>19798.054550000001</c:v>
                </c:pt>
                <c:pt idx="1062">
                  <c:v>19933.457999999999</c:v>
                </c:pt>
                <c:pt idx="1063">
                  <c:v>19964.746299999999</c:v>
                </c:pt>
                <c:pt idx="1064">
                  <c:v>20009.63365</c:v>
                </c:pt>
                <c:pt idx="1065">
                  <c:v>20149.322899999999</c:v>
                </c:pt>
                <c:pt idx="1066">
                  <c:v>20167.336029999999</c:v>
                </c:pt>
                <c:pt idx="1067">
                  <c:v>20177.671129999999</c:v>
                </c:pt>
                <c:pt idx="1068">
                  <c:v>20234.854749999999</c:v>
                </c:pt>
                <c:pt idx="1069">
                  <c:v>20277.807509999999</c:v>
                </c:pt>
                <c:pt idx="1070">
                  <c:v>20296.863450000001</c:v>
                </c:pt>
                <c:pt idx="1071">
                  <c:v>20420.604650000001</c:v>
                </c:pt>
                <c:pt idx="1072">
                  <c:v>20462.997660000001</c:v>
                </c:pt>
                <c:pt idx="1073">
                  <c:v>20630.283510000001</c:v>
                </c:pt>
                <c:pt idx="1074">
                  <c:v>20709.020339999999</c:v>
                </c:pt>
                <c:pt idx="1075">
                  <c:v>20745.989099999999</c:v>
                </c:pt>
                <c:pt idx="1076">
                  <c:v>20773.62775</c:v>
                </c:pt>
                <c:pt idx="1077">
                  <c:v>20781.48892</c:v>
                </c:pt>
                <c:pt idx="1078">
                  <c:v>20878.78443</c:v>
                </c:pt>
                <c:pt idx="1079">
                  <c:v>20984.0936</c:v>
                </c:pt>
                <c:pt idx="1080">
                  <c:v>21082.16</c:v>
                </c:pt>
                <c:pt idx="1081">
                  <c:v>21098.554049999999</c:v>
                </c:pt>
                <c:pt idx="1082">
                  <c:v>21195.817999999999</c:v>
                </c:pt>
                <c:pt idx="1083">
                  <c:v>21223.675800000001</c:v>
                </c:pt>
                <c:pt idx="1084">
                  <c:v>21232.182260000001</c:v>
                </c:pt>
                <c:pt idx="1085">
                  <c:v>21259.377949999998</c:v>
                </c:pt>
                <c:pt idx="1086">
                  <c:v>21344.846699999998</c:v>
                </c:pt>
                <c:pt idx="1087">
                  <c:v>21348.705999999998</c:v>
                </c:pt>
                <c:pt idx="1088">
                  <c:v>21472.478800000001</c:v>
                </c:pt>
                <c:pt idx="1089">
                  <c:v>21595.382290000001</c:v>
                </c:pt>
                <c:pt idx="1090">
                  <c:v>21659.930100000001</c:v>
                </c:pt>
                <c:pt idx="1091">
                  <c:v>21677.283449999999</c:v>
                </c:pt>
                <c:pt idx="1092">
                  <c:v>21771.3423</c:v>
                </c:pt>
                <c:pt idx="1093">
                  <c:v>21774.32215</c:v>
                </c:pt>
                <c:pt idx="1094">
                  <c:v>21797.000400000001</c:v>
                </c:pt>
                <c:pt idx="1095">
                  <c:v>21880.82</c:v>
                </c:pt>
                <c:pt idx="1096">
                  <c:v>21978.676899999999</c:v>
                </c:pt>
                <c:pt idx="1097">
                  <c:v>21984.47061</c:v>
                </c:pt>
                <c:pt idx="1098">
                  <c:v>22144.031999999999</c:v>
                </c:pt>
                <c:pt idx="1099">
                  <c:v>22192.437109999999</c:v>
                </c:pt>
                <c:pt idx="1100">
                  <c:v>22218.1149</c:v>
                </c:pt>
                <c:pt idx="1101">
                  <c:v>22331.566800000001</c:v>
                </c:pt>
                <c:pt idx="1102">
                  <c:v>22395.74424</c:v>
                </c:pt>
                <c:pt idx="1103">
                  <c:v>22412.648499999999</c:v>
                </c:pt>
                <c:pt idx="1104">
                  <c:v>22462.043750000001</c:v>
                </c:pt>
                <c:pt idx="1105">
                  <c:v>22478.6</c:v>
                </c:pt>
                <c:pt idx="1106">
                  <c:v>22493.659640000002</c:v>
                </c:pt>
                <c:pt idx="1107">
                  <c:v>23045.566159999998</c:v>
                </c:pt>
                <c:pt idx="1108">
                  <c:v>23065.420699999999</c:v>
                </c:pt>
                <c:pt idx="1109">
                  <c:v>23082.955330000001</c:v>
                </c:pt>
                <c:pt idx="1110">
                  <c:v>23241.47453</c:v>
                </c:pt>
                <c:pt idx="1111">
                  <c:v>23244.790199999999</c:v>
                </c:pt>
                <c:pt idx="1112">
                  <c:v>23288.928400000001</c:v>
                </c:pt>
                <c:pt idx="1113">
                  <c:v>23306.546999999999</c:v>
                </c:pt>
                <c:pt idx="1114">
                  <c:v>23401.30575</c:v>
                </c:pt>
                <c:pt idx="1115">
                  <c:v>23563.016179999999</c:v>
                </c:pt>
                <c:pt idx="1116">
                  <c:v>23568.272000000001</c:v>
                </c:pt>
                <c:pt idx="1117">
                  <c:v>23807.240600000001</c:v>
                </c:pt>
                <c:pt idx="1118">
                  <c:v>23887.662700000001</c:v>
                </c:pt>
                <c:pt idx="1119">
                  <c:v>23967.38305</c:v>
                </c:pt>
                <c:pt idx="1120">
                  <c:v>24059.680189999999</c:v>
                </c:pt>
                <c:pt idx="1121">
                  <c:v>24106.912550000001</c:v>
                </c:pt>
                <c:pt idx="1122">
                  <c:v>24180.933499999999</c:v>
                </c:pt>
                <c:pt idx="1123">
                  <c:v>24227.337240000001</c:v>
                </c:pt>
                <c:pt idx="1124">
                  <c:v>24393.6224</c:v>
                </c:pt>
                <c:pt idx="1125">
                  <c:v>24476.478510000001</c:v>
                </c:pt>
                <c:pt idx="1126">
                  <c:v>24513.091260000001</c:v>
                </c:pt>
                <c:pt idx="1127">
                  <c:v>24520.263999999999</c:v>
                </c:pt>
                <c:pt idx="1128">
                  <c:v>24535.698550000001</c:v>
                </c:pt>
                <c:pt idx="1129">
                  <c:v>24603.04837</c:v>
                </c:pt>
                <c:pt idx="1130">
                  <c:v>24667.419000000002</c:v>
                </c:pt>
                <c:pt idx="1131">
                  <c:v>24671.663339999999</c:v>
                </c:pt>
                <c:pt idx="1132">
                  <c:v>24869.836800000001</c:v>
                </c:pt>
                <c:pt idx="1133">
                  <c:v>24873.384900000001</c:v>
                </c:pt>
                <c:pt idx="1134">
                  <c:v>24915.046259999999</c:v>
                </c:pt>
                <c:pt idx="1135">
                  <c:v>24915.220850000002</c:v>
                </c:pt>
                <c:pt idx="1136">
                  <c:v>25081.76784</c:v>
                </c:pt>
                <c:pt idx="1137">
                  <c:v>25309.489000000001</c:v>
                </c:pt>
                <c:pt idx="1138">
                  <c:v>25333.332839999999</c:v>
                </c:pt>
                <c:pt idx="1139">
                  <c:v>25382.296999999999</c:v>
                </c:pt>
                <c:pt idx="1140">
                  <c:v>25517.11363</c:v>
                </c:pt>
                <c:pt idx="1141">
                  <c:v>25656.575260000001</c:v>
                </c:pt>
                <c:pt idx="1142">
                  <c:v>25678.778450000002</c:v>
                </c:pt>
                <c:pt idx="1143">
                  <c:v>25992.821039999999</c:v>
                </c:pt>
                <c:pt idx="1144">
                  <c:v>26018.950519999999</c:v>
                </c:pt>
                <c:pt idx="1145">
                  <c:v>26109.32905</c:v>
                </c:pt>
                <c:pt idx="1146">
                  <c:v>26125.674770000001</c:v>
                </c:pt>
                <c:pt idx="1147">
                  <c:v>26140.3603</c:v>
                </c:pt>
                <c:pt idx="1148">
                  <c:v>26236.579969999999</c:v>
                </c:pt>
                <c:pt idx="1149">
                  <c:v>26392.260289999998</c:v>
                </c:pt>
                <c:pt idx="1150">
                  <c:v>26467.09737</c:v>
                </c:pt>
                <c:pt idx="1151">
                  <c:v>26926.5144</c:v>
                </c:pt>
                <c:pt idx="1152">
                  <c:v>27000.98473</c:v>
                </c:pt>
                <c:pt idx="1153">
                  <c:v>27037.914100000002</c:v>
                </c:pt>
                <c:pt idx="1154">
                  <c:v>27117.993780000001</c:v>
                </c:pt>
                <c:pt idx="1155">
                  <c:v>27218.437249999999</c:v>
                </c:pt>
                <c:pt idx="1156">
                  <c:v>27322.73386</c:v>
                </c:pt>
                <c:pt idx="1157">
                  <c:v>27346.04207</c:v>
                </c:pt>
                <c:pt idx="1158">
                  <c:v>27375.904780000001</c:v>
                </c:pt>
                <c:pt idx="1159">
                  <c:v>27533.912899999999</c:v>
                </c:pt>
                <c:pt idx="1160">
                  <c:v>27724.28875</c:v>
                </c:pt>
                <c:pt idx="1161">
                  <c:v>27808.7251</c:v>
                </c:pt>
                <c:pt idx="1162">
                  <c:v>27941.28758</c:v>
                </c:pt>
                <c:pt idx="1163">
                  <c:v>28101.333050000001</c:v>
                </c:pt>
                <c:pt idx="1164">
                  <c:v>28287.897659999999</c:v>
                </c:pt>
                <c:pt idx="1165">
                  <c:v>28340.188849999999</c:v>
                </c:pt>
                <c:pt idx="1166">
                  <c:v>28468.919010000001</c:v>
                </c:pt>
                <c:pt idx="1167">
                  <c:v>28476.734990000001</c:v>
                </c:pt>
                <c:pt idx="1168">
                  <c:v>28868.6639</c:v>
                </c:pt>
                <c:pt idx="1169">
                  <c:v>28923.136920000001</c:v>
                </c:pt>
                <c:pt idx="1170">
                  <c:v>28950.4692</c:v>
                </c:pt>
                <c:pt idx="1171">
                  <c:v>29141.3603</c:v>
                </c:pt>
                <c:pt idx="1172">
                  <c:v>29186.482360000002</c:v>
                </c:pt>
                <c:pt idx="1173">
                  <c:v>29330.98315</c:v>
                </c:pt>
                <c:pt idx="1174">
                  <c:v>29523.1656</c:v>
                </c:pt>
                <c:pt idx="1175">
                  <c:v>30063.580549999999</c:v>
                </c:pt>
                <c:pt idx="1176">
                  <c:v>30166.618170000002</c:v>
                </c:pt>
                <c:pt idx="1177">
                  <c:v>30184.936699999998</c:v>
                </c:pt>
                <c:pt idx="1178">
                  <c:v>30259.995559999999</c:v>
                </c:pt>
                <c:pt idx="1179">
                  <c:v>30284.642940000002</c:v>
                </c:pt>
                <c:pt idx="1180">
                  <c:v>30942.191800000001</c:v>
                </c:pt>
                <c:pt idx="1181">
                  <c:v>31620.001059999999</c:v>
                </c:pt>
                <c:pt idx="1182">
                  <c:v>32108.662820000001</c:v>
                </c:pt>
                <c:pt idx="1183">
                  <c:v>32548.340499999998</c:v>
                </c:pt>
                <c:pt idx="1184">
                  <c:v>32734.186300000001</c:v>
                </c:pt>
                <c:pt idx="1185">
                  <c:v>32787.458590000002</c:v>
                </c:pt>
                <c:pt idx="1186">
                  <c:v>33307.550799999997</c:v>
                </c:pt>
                <c:pt idx="1187">
                  <c:v>33471.971890000001</c:v>
                </c:pt>
                <c:pt idx="1188">
                  <c:v>33475.817150000003</c:v>
                </c:pt>
                <c:pt idx="1189">
                  <c:v>33732.686699999998</c:v>
                </c:pt>
                <c:pt idx="1190">
                  <c:v>33750.291799999999</c:v>
                </c:pt>
                <c:pt idx="1191">
                  <c:v>33900.652999999998</c:v>
                </c:pt>
                <c:pt idx="1192">
                  <c:v>33907.548000000003</c:v>
                </c:pt>
                <c:pt idx="1193">
                  <c:v>34166.273000000001</c:v>
                </c:pt>
                <c:pt idx="1194">
                  <c:v>34254.053350000002</c:v>
                </c:pt>
                <c:pt idx="1195">
                  <c:v>34303.167200000004</c:v>
                </c:pt>
                <c:pt idx="1196">
                  <c:v>34439.855900000002</c:v>
                </c:pt>
                <c:pt idx="1197">
                  <c:v>34472.841</c:v>
                </c:pt>
                <c:pt idx="1198">
                  <c:v>34617.840649999998</c:v>
                </c:pt>
                <c:pt idx="1199">
                  <c:v>34672.147199999999</c:v>
                </c:pt>
                <c:pt idx="1200">
                  <c:v>34779.614999999998</c:v>
                </c:pt>
                <c:pt idx="1201">
                  <c:v>34806.467700000001</c:v>
                </c:pt>
                <c:pt idx="1202">
                  <c:v>34828.654000000002</c:v>
                </c:pt>
                <c:pt idx="1203">
                  <c:v>34838.873</c:v>
                </c:pt>
                <c:pt idx="1204">
                  <c:v>35069.374519999998</c:v>
                </c:pt>
                <c:pt idx="1205">
                  <c:v>35147.528480000001</c:v>
                </c:pt>
                <c:pt idx="1206">
                  <c:v>35160.134570000002</c:v>
                </c:pt>
                <c:pt idx="1207">
                  <c:v>35491.64</c:v>
                </c:pt>
                <c:pt idx="1208">
                  <c:v>35585.576000000001</c:v>
                </c:pt>
                <c:pt idx="1209">
                  <c:v>35595.589800000002</c:v>
                </c:pt>
                <c:pt idx="1210">
                  <c:v>36021.011200000001</c:v>
                </c:pt>
                <c:pt idx="1211">
                  <c:v>36085.218999999997</c:v>
                </c:pt>
                <c:pt idx="1212">
                  <c:v>36124.573700000001</c:v>
                </c:pt>
                <c:pt idx="1213">
                  <c:v>36149.483500000002</c:v>
                </c:pt>
                <c:pt idx="1214">
                  <c:v>36189.101699999999</c:v>
                </c:pt>
                <c:pt idx="1215">
                  <c:v>36197.699000000001</c:v>
                </c:pt>
                <c:pt idx="1216">
                  <c:v>36219.405449999998</c:v>
                </c:pt>
                <c:pt idx="1217">
                  <c:v>36307.798300000002</c:v>
                </c:pt>
                <c:pt idx="1218">
                  <c:v>36397.576000000001</c:v>
                </c:pt>
                <c:pt idx="1219">
                  <c:v>36580.282160000002</c:v>
                </c:pt>
                <c:pt idx="1220">
                  <c:v>36837.466999999997</c:v>
                </c:pt>
                <c:pt idx="1221">
                  <c:v>36898.733079999998</c:v>
                </c:pt>
                <c:pt idx="1222">
                  <c:v>36910.608030000003</c:v>
                </c:pt>
                <c:pt idx="1223">
                  <c:v>36950.256699999998</c:v>
                </c:pt>
                <c:pt idx="1224">
                  <c:v>37079.372000000003</c:v>
                </c:pt>
                <c:pt idx="1225">
                  <c:v>37133.898200000003</c:v>
                </c:pt>
                <c:pt idx="1226">
                  <c:v>37165.163800000002</c:v>
                </c:pt>
                <c:pt idx="1227">
                  <c:v>37270.1512</c:v>
                </c:pt>
                <c:pt idx="1228">
                  <c:v>37465.34375</c:v>
                </c:pt>
                <c:pt idx="1229">
                  <c:v>37484.4493</c:v>
                </c:pt>
                <c:pt idx="1230">
                  <c:v>37607.527699999999</c:v>
                </c:pt>
                <c:pt idx="1231">
                  <c:v>37701.876799999998</c:v>
                </c:pt>
                <c:pt idx="1232">
                  <c:v>37742.575700000001</c:v>
                </c:pt>
                <c:pt idx="1233">
                  <c:v>37829.724199999997</c:v>
                </c:pt>
                <c:pt idx="1234">
                  <c:v>38126.246500000001</c:v>
                </c:pt>
                <c:pt idx="1235">
                  <c:v>38245.593269999998</c:v>
                </c:pt>
                <c:pt idx="1236">
                  <c:v>38282.749499999998</c:v>
                </c:pt>
                <c:pt idx="1237">
                  <c:v>38344.565999999999</c:v>
                </c:pt>
                <c:pt idx="1238">
                  <c:v>38415.474000000002</c:v>
                </c:pt>
                <c:pt idx="1239">
                  <c:v>38511.628299999997</c:v>
                </c:pt>
                <c:pt idx="1240">
                  <c:v>38709.175999999999</c:v>
                </c:pt>
                <c:pt idx="1241">
                  <c:v>38711</c:v>
                </c:pt>
                <c:pt idx="1242">
                  <c:v>38746.355100000001</c:v>
                </c:pt>
                <c:pt idx="1243">
                  <c:v>38792.685599999997</c:v>
                </c:pt>
                <c:pt idx="1244">
                  <c:v>38998.546000000002</c:v>
                </c:pt>
                <c:pt idx="1245">
                  <c:v>39047.285000000003</c:v>
                </c:pt>
                <c:pt idx="1246">
                  <c:v>39125.332249999999</c:v>
                </c:pt>
                <c:pt idx="1247">
                  <c:v>39241.442000000003</c:v>
                </c:pt>
                <c:pt idx="1248">
                  <c:v>39556.494500000001</c:v>
                </c:pt>
                <c:pt idx="1249">
                  <c:v>39597.407200000001</c:v>
                </c:pt>
                <c:pt idx="1250">
                  <c:v>39611.757700000002</c:v>
                </c:pt>
                <c:pt idx="1251">
                  <c:v>39722.746200000001</c:v>
                </c:pt>
                <c:pt idx="1252">
                  <c:v>39725.518049999999</c:v>
                </c:pt>
                <c:pt idx="1253">
                  <c:v>39727.614000000001</c:v>
                </c:pt>
                <c:pt idx="1254">
                  <c:v>39774.276299999998</c:v>
                </c:pt>
                <c:pt idx="1255">
                  <c:v>39836.519</c:v>
                </c:pt>
                <c:pt idx="1256">
                  <c:v>39871.704299999998</c:v>
                </c:pt>
                <c:pt idx="1257">
                  <c:v>39983.425949999997</c:v>
                </c:pt>
                <c:pt idx="1258">
                  <c:v>40003.332249999999</c:v>
                </c:pt>
                <c:pt idx="1259">
                  <c:v>40103.89</c:v>
                </c:pt>
                <c:pt idx="1260">
                  <c:v>40182.245999999999</c:v>
                </c:pt>
                <c:pt idx="1261">
                  <c:v>40273.645499999999</c:v>
                </c:pt>
                <c:pt idx="1262">
                  <c:v>40419.019099999998</c:v>
                </c:pt>
                <c:pt idx="1263">
                  <c:v>40720.551050000002</c:v>
                </c:pt>
                <c:pt idx="1264">
                  <c:v>40904.199500000002</c:v>
                </c:pt>
                <c:pt idx="1265">
                  <c:v>40932.429499999998</c:v>
                </c:pt>
                <c:pt idx="1266">
                  <c:v>40941.285400000001</c:v>
                </c:pt>
                <c:pt idx="1267">
                  <c:v>40974.164900000003</c:v>
                </c:pt>
                <c:pt idx="1268">
                  <c:v>41034.221400000002</c:v>
                </c:pt>
                <c:pt idx="1269">
                  <c:v>41097.161749999999</c:v>
                </c:pt>
                <c:pt idx="1270">
                  <c:v>41661.601999999999</c:v>
                </c:pt>
                <c:pt idx="1271">
                  <c:v>41676.081100000003</c:v>
                </c:pt>
                <c:pt idx="1272">
                  <c:v>41919.097000000002</c:v>
                </c:pt>
                <c:pt idx="1273">
                  <c:v>41949.244100000004</c:v>
                </c:pt>
                <c:pt idx="1274">
                  <c:v>41999.519999999997</c:v>
                </c:pt>
                <c:pt idx="1275">
                  <c:v>42111.664700000001</c:v>
                </c:pt>
                <c:pt idx="1276">
                  <c:v>42112.2356</c:v>
                </c:pt>
                <c:pt idx="1277">
                  <c:v>42124.515299999999</c:v>
                </c:pt>
                <c:pt idx="1278">
                  <c:v>42211.138200000001</c:v>
                </c:pt>
                <c:pt idx="1279">
                  <c:v>42303.692150000003</c:v>
                </c:pt>
                <c:pt idx="1280">
                  <c:v>42560.430399999997</c:v>
                </c:pt>
                <c:pt idx="1281">
                  <c:v>42760.502200000003</c:v>
                </c:pt>
                <c:pt idx="1282">
                  <c:v>42856.838000000003</c:v>
                </c:pt>
                <c:pt idx="1283">
                  <c:v>42969.852700000003</c:v>
                </c:pt>
                <c:pt idx="1284">
                  <c:v>42983.458500000001</c:v>
                </c:pt>
                <c:pt idx="1285">
                  <c:v>43254.417950000003</c:v>
                </c:pt>
                <c:pt idx="1286">
                  <c:v>43578.939400000003</c:v>
                </c:pt>
                <c:pt idx="1287">
                  <c:v>43753.337050000002</c:v>
                </c:pt>
                <c:pt idx="1288">
                  <c:v>43813.866099999999</c:v>
                </c:pt>
                <c:pt idx="1289">
                  <c:v>43896.376300000004</c:v>
                </c:pt>
                <c:pt idx="1290">
                  <c:v>43921.183700000001</c:v>
                </c:pt>
                <c:pt idx="1291">
                  <c:v>43943.876100000001</c:v>
                </c:pt>
                <c:pt idx="1292">
                  <c:v>44202.653599999998</c:v>
                </c:pt>
                <c:pt idx="1293">
                  <c:v>44260.749900000003</c:v>
                </c:pt>
                <c:pt idx="1294">
                  <c:v>44400.4064</c:v>
                </c:pt>
                <c:pt idx="1295">
                  <c:v>44423.803</c:v>
                </c:pt>
                <c:pt idx="1296">
                  <c:v>44501.398200000003</c:v>
                </c:pt>
                <c:pt idx="1297">
                  <c:v>44585.455869999998</c:v>
                </c:pt>
                <c:pt idx="1298">
                  <c:v>44641.197399999997</c:v>
                </c:pt>
                <c:pt idx="1299">
                  <c:v>45008.955499999996</c:v>
                </c:pt>
                <c:pt idx="1300">
                  <c:v>45702.022349999999</c:v>
                </c:pt>
                <c:pt idx="1301">
                  <c:v>45710.207849999999</c:v>
                </c:pt>
                <c:pt idx="1302">
                  <c:v>45863.205000000002</c:v>
                </c:pt>
                <c:pt idx="1303">
                  <c:v>46113.510999999999</c:v>
                </c:pt>
                <c:pt idx="1304">
                  <c:v>46130.5265</c:v>
                </c:pt>
                <c:pt idx="1305">
                  <c:v>46151.124499999998</c:v>
                </c:pt>
                <c:pt idx="1306">
                  <c:v>46200.985099999998</c:v>
                </c:pt>
                <c:pt idx="1307">
                  <c:v>46255.112500000003</c:v>
                </c:pt>
                <c:pt idx="1308">
                  <c:v>46599.108399999997</c:v>
                </c:pt>
                <c:pt idx="1309">
                  <c:v>46661.4424</c:v>
                </c:pt>
                <c:pt idx="1310">
                  <c:v>46718.163249999998</c:v>
                </c:pt>
                <c:pt idx="1311">
                  <c:v>46889.261200000001</c:v>
                </c:pt>
                <c:pt idx="1312">
                  <c:v>47055.532099999997</c:v>
                </c:pt>
                <c:pt idx="1313">
                  <c:v>47269.853999999999</c:v>
                </c:pt>
                <c:pt idx="1314">
                  <c:v>47291.055</c:v>
                </c:pt>
                <c:pt idx="1315">
                  <c:v>47305.305</c:v>
                </c:pt>
                <c:pt idx="1316">
                  <c:v>47403.88</c:v>
                </c:pt>
                <c:pt idx="1317">
                  <c:v>47462.894</c:v>
                </c:pt>
                <c:pt idx="1318">
                  <c:v>47496.494449999998</c:v>
                </c:pt>
                <c:pt idx="1319">
                  <c:v>47896.79135</c:v>
                </c:pt>
                <c:pt idx="1320">
                  <c:v>47928.03</c:v>
                </c:pt>
                <c:pt idx="1321">
                  <c:v>48173.360999999997</c:v>
                </c:pt>
                <c:pt idx="1322">
                  <c:v>48517.563150000002</c:v>
                </c:pt>
                <c:pt idx="1323">
                  <c:v>48549.178350000002</c:v>
                </c:pt>
                <c:pt idx="1324">
                  <c:v>48673.558799999999</c:v>
                </c:pt>
                <c:pt idx="1325">
                  <c:v>48675.517699999997</c:v>
                </c:pt>
                <c:pt idx="1326">
                  <c:v>48824.45</c:v>
                </c:pt>
                <c:pt idx="1327">
                  <c:v>48885.135609999998</c:v>
                </c:pt>
                <c:pt idx="1328">
                  <c:v>48970.247600000002</c:v>
                </c:pt>
                <c:pt idx="1329">
                  <c:v>49577.662400000001</c:v>
                </c:pt>
                <c:pt idx="1330">
                  <c:v>51194.559139999998</c:v>
                </c:pt>
                <c:pt idx="1331">
                  <c:v>52590.829389999999</c:v>
                </c:pt>
                <c:pt idx="1332">
                  <c:v>55135.402090000003</c:v>
                </c:pt>
                <c:pt idx="1333">
                  <c:v>58571.074480000003</c:v>
                </c:pt>
                <c:pt idx="1334">
                  <c:v>60021.398970000002</c:v>
                </c:pt>
                <c:pt idx="1335">
                  <c:v>62592.873090000001</c:v>
                </c:pt>
                <c:pt idx="1336">
                  <c:v>63770.428010000003</c:v>
                </c:pt>
              </c:numCache>
            </c:numRef>
          </c:yVal>
          <c:smooth val="1"/>
          <c:extLst>
            <c:ext xmlns:c16="http://schemas.microsoft.com/office/drawing/2014/chart" uri="{C3380CC4-5D6E-409C-BE32-E72D297353CC}">
              <c16:uniqueId val="{00000000-279B-4276-995D-9390E55B8B6E}"/>
            </c:ext>
          </c:extLst>
        </c:ser>
        <c:dLbls>
          <c:showLegendKey val="0"/>
          <c:showVal val="0"/>
          <c:showCatName val="0"/>
          <c:showSerName val="0"/>
          <c:showPercent val="0"/>
          <c:showBubbleSize val="0"/>
        </c:dLbls>
        <c:axId val="848718159"/>
        <c:axId val="848724399"/>
      </c:scatterChart>
      <c:valAx>
        <c:axId val="848718159"/>
        <c:scaling>
          <c:orientation val="minMax"/>
          <c:max val="7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lgn="ctr" rtl="0">
                  <a:defRPr lang="en-US" sz="1200" b="0" i="0" u="none" strike="noStrike" kern="1200" spc="0" baseline="0">
                    <a:solidFill>
                      <a:srgbClr val="0070C0"/>
                    </a:solidFill>
                    <a:latin typeface="Times New Roman" panose="02020603050405020304" pitchFamily="18" charset="0"/>
                    <a:ea typeface="+mn-ea"/>
                    <a:cs typeface="Times New Roman" panose="02020603050405020304" pitchFamily="18" charset="0"/>
                  </a:defRPr>
                </a:pPr>
                <a:r>
                  <a:rPr lang="en-IN"/>
                  <a:t>Age</a:t>
                </a:r>
              </a:p>
            </c:rich>
          </c:tx>
          <c:overlay val="0"/>
          <c:spPr>
            <a:noFill/>
            <a:ln>
              <a:noFill/>
            </a:ln>
            <a:effectLst/>
          </c:spPr>
          <c:txPr>
            <a:bodyPr rot="0" spcFirstLastPara="1" vertOverflow="ellipsis" vert="horz" wrap="square" anchor="ctr" anchorCtr="1"/>
            <a:lstStyle/>
            <a:p>
              <a:pPr algn="ctr" rtl="0">
                <a:defRPr lang="en-US" sz="1200" b="0" i="0" u="none" strike="noStrike" kern="1200" spc="0" baseline="0">
                  <a:solidFill>
                    <a:srgbClr val="0070C0"/>
                  </a:solidFill>
                  <a:latin typeface="Times New Roman" panose="02020603050405020304" pitchFamily="18" charset="0"/>
                  <a:ea typeface="+mn-ea"/>
                  <a:cs typeface="Times New Roman" panose="02020603050405020304" pitchFamily="18" charset="0"/>
                </a:defRPr>
              </a:pPr>
              <a:endParaRPr lang="en-US"/>
            </a:p>
          </c:txPr>
        </c:title>
        <c:numFmt formatCode="General"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en-US" sz="1200" b="0" i="0" u="none" strike="noStrike" kern="1200" spc="0" baseline="0">
                <a:solidFill>
                  <a:srgbClr val="0070C0"/>
                </a:solidFill>
                <a:latin typeface="Times New Roman" panose="02020603050405020304" pitchFamily="18" charset="0"/>
                <a:ea typeface="+mn-ea"/>
                <a:cs typeface="Times New Roman" panose="02020603050405020304" pitchFamily="18" charset="0"/>
              </a:defRPr>
            </a:pPr>
            <a:endParaRPr lang="en-US"/>
          </a:p>
        </c:txPr>
        <c:crossAx val="848724399"/>
        <c:crosses val="autoZero"/>
        <c:crossBetween val="midCat"/>
      </c:valAx>
      <c:valAx>
        <c:axId val="848724399"/>
        <c:scaling>
          <c:orientation val="minMax"/>
          <c:max val="65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lang="en-US" sz="1200" b="0" i="0" u="none" strike="noStrike" kern="1200" spc="0" baseline="0">
                    <a:solidFill>
                      <a:srgbClr val="0070C0"/>
                    </a:solidFill>
                    <a:latin typeface="Times New Roman" panose="02020603050405020304" pitchFamily="18" charset="0"/>
                    <a:ea typeface="+mn-ea"/>
                    <a:cs typeface="Times New Roman" panose="02020603050405020304" pitchFamily="18" charset="0"/>
                  </a:defRPr>
                </a:pPr>
                <a:r>
                  <a:rPr lang="en-IN"/>
                  <a:t>Charges($)</a:t>
                </a:r>
              </a:p>
            </c:rich>
          </c:tx>
          <c:overlay val="0"/>
          <c:spPr>
            <a:noFill/>
            <a:ln>
              <a:noFill/>
            </a:ln>
            <a:effectLst/>
          </c:spPr>
          <c:txPr>
            <a:bodyPr rot="-5400000" spcFirstLastPara="1" vertOverflow="ellipsis" vert="horz" wrap="square" anchor="ctr" anchorCtr="1"/>
            <a:lstStyle/>
            <a:p>
              <a:pPr algn="ctr" rtl="0">
                <a:defRPr lang="en-US" sz="1200" b="0" i="0" u="none" strike="noStrike" kern="1200" spc="0" baseline="0">
                  <a:solidFill>
                    <a:srgbClr val="0070C0"/>
                  </a:solidFill>
                  <a:latin typeface="Times New Roman" panose="02020603050405020304" pitchFamily="18" charset="0"/>
                  <a:ea typeface="+mn-ea"/>
                  <a:cs typeface="Times New Roman" panose="02020603050405020304" pitchFamily="18" charset="0"/>
                </a:defRPr>
              </a:pPr>
              <a:endParaRPr lang="en-US"/>
            </a:p>
          </c:txPr>
        </c:title>
        <c:numFmt formatCode="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lgn="ctr">
              <a:defRPr lang="en-US" sz="1200" b="0" i="0" u="none" strike="noStrike" kern="1200" spc="0" baseline="0">
                <a:solidFill>
                  <a:srgbClr val="0070C0"/>
                </a:solidFill>
                <a:latin typeface="Times New Roman" panose="02020603050405020304" pitchFamily="18" charset="0"/>
                <a:ea typeface="+mn-ea"/>
                <a:cs typeface="Times New Roman" panose="02020603050405020304" pitchFamily="18" charset="0"/>
              </a:defRPr>
            </a:pPr>
            <a:endParaRPr lang="en-US"/>
          </a:p>
        </c:txPr>
        <c:crossAx val="84871815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rtl="0">
        <a:defRPr lang="en-US" sz="1200" b="0" i="0" u="none" strike="noStrike" kern="1200" spc="0" baseline="0">
          <a:solidFill>
            <a:srgbClr val="0070C0"/>
          </a:solidFill>
          <a:latin typeface="Times New Roman" panose="02020603050405020304" pitchFamily="18" charset="0"/>
          <a:ea typeface="+mn-ea"/>
          <a:cs typeface="Times New Roman" panose="02020603050405020304" pitchFamily="18" charset="0"/>
        </a:defRPr>
      </a:pPr>
      <a:endParaRPr lang="en-US"/>
    </a:p>
  </c:txPr>
  <c:printSettings>
    <c:headerFooter/>
    <c:pageMargins b="0.75" l="0.7" r="0.7" t="0.75" header="0.3" footer="0.3"/>
    <c:pageSetup paperSize="9"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3.xml"/><Relationship Id="rId18" Type="http://schemas.openxmlformats.org/officeDocument/2006/relationships/image" Target="../media/image12.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2.xml"/><Relationship Id="rId17" Type="http://schemas.openxmlformats.org/officeDocument/2006/relationships/image" Target="../media/image11.png"/><Relationship Id="rId2" Type="http://schemas.openxmlformats.org/officeDocument/2006/relationships/image" Target="../media/image2.svg"/><Relationship Id="rId16" Type="http://schemas.openxmlformats.org/officeDocument/2006/relationships/chart" Target="../charts/chart1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1.xml"/><Relationship Id="rId5" Type="http://schemas.openxmlformats.org/officeDocument/2006/relationships/image" Target="../media/image5.png"/><Relationship Id="rId15" Type="http://schemas.openxmlformats.org/officeDocument/2006/relationships/chart" Target="../charts/chart1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556260</xdr:colOff>
      <xdr:row>2</xdr:row>
      <xdr:rowOff>137160</xdr:rowOff>
    </xdr:from>
    <xdr:to>
      <xdr:col>7</xdr:col>
      <xdr:colOff>243840</xdr:colOff>
      <xdr:row>17</xdr:row>
      <xdr:rowOff>83820</xdr:rowOff>
    </xdr:to>
    <xdr:graphicFrame macro="">
      <xdr:nvGraphicFramePr>
        <xdr:cNvPr id="2" name="Chart 1">
          <a:extLst>
            <a:ext uri="{FF2B5EF4-FFF2-40B4-BE49-F238E27FC236}">
              <a16:creationId xmlns:a16="http://schemas.microsoft.com/office/drawing/2014/main" id="{82B10249-0E04-43FB-96EC-EAC84414A3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19</xdr:row>
      <xdr:rowOff>0</xdr:rowOff>
    </xdr:from>
    <xdr:to>
      <xdr:col>4</xdr:col>
      <xdr:colOff>312420</xdr:colOff>
      <xdr:row>32</xdr:row>
      <xdr:rowOff>152400</xdr:rowOff>
    </xdr:to>
    <xdr:graphicFrame macro="">
      <xdr:nvGraphicFramePr>
        <xdr:cNvPr id="3" name="Chart 2">
          <a:extLst>
            <a:ext uri="{FF2B5EF4-FFF2-40B4-BE49-F238E27FC236}">
              <a16:creationId xmlns:a16="http://schemas.microsoft.com/office/drawing/2014/main" id="{22EE367A-7D60-4CEC-AE8A-32305B6ECC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144780</xdr:colOff>
      <xdr:row>2</xdr:row>
      <xdr:rowOff>114300</xdr:rowOff>
    </xdr:from>
    <xdr:to>
      <xdr:col>14</xdr:col>
      <xdr:colOff>160020</xdr:colOff>
      <xdr:row>17</xdr:row>
      <xdr:rowOff>114300</xdr:rowOff>
    </xdr:to>
    <xdr:graphicFrame macro="">
      <xdr:nvGraphicFramePr>
        <xdr:cNvPr id="4" name="Chart 3">
          <a:extLst>
            <a:ext uri="{FF2B5EF4-FFF2-40B4-BE49-F238E27FC236}">
              <a16:creationId xmlns:a16="http://schemas.microsoft.com/office/drawing/2014/main" id="{7459A4BC-E4E3-4DF2-AAA4-E8ADBF8100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419100</xdr:colOff>
      <xdr:row>1</xdr:row>
      <xdr:rowOff>129540</xdr:rowOff>
    </xdr:from>
    <xdr:to>
      <xdr:col>22</xdr:col>
      <xdr:colOff>114300</xdr:colOff>
      <xdr:row>16</xdr:row>
      <xdr:rowOff>129540</xdr:rowOff>
    </xdr:to>
    <xdr:graphicFrame macro="">
      <xdr:nvGraphicFramePr>
        <xdr:cNvPr id="5" name="Chart 4">
          <a:extLst>
            <a:ext uri="{FF2B5EF4-FFF2-40B4-BE49-F238E27FC236}">
              <a16:creationId xmlns:a16="http://schemas.microsoft.com/office/drawing/2014/main" id="{B6052915-8884-4E61-91A4-35C244F819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0</xdr:colOff>
      <xdr:row>21</xdr:row>
      <xdr:rowOff>0</xdr:rowOff>
    </xdr:from>
    <xdr:to>
      <xdr:col>13</xdr:col>
      <xdr:colOff>304800</xdr:colOff>
      <xdr:row>36</xdr:row>
      <xdr:rowOff>0</xdr:rowOff>
    </xdr:to>
    <xdr:graphicFrame macro="">
      <xdr:nvGraphicFramePr>
        <xdr:cNvPr id="6" name="Chart 5">
          <a:extLst>
            <a:ext uri="{FF2B5EF4-FFF2-40B4-BE49-F238E27FC236}">
              <a16:creationId xmlns:a16="http://schemas.microsoft.com/office/drawing/2014/main" id="{FE0140EF-61D8-4FD3-9E2C-83A28DB54E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0</xdr:colOff>
      <xdr:row>19</xdr:row>
      <xdr:rowOff>0</xdr:rowOff>
    </xdr:from>
    <xdr:to>
      <xdr:col>21</xdr:col>
      <xdr:colOff>304800</xdr:colOff>
      <xdr:row>34</xdr:row>
      <xdr:rowOff>0</xdr:rowOff>
    </xdr:to>
    <xdr:graphicFrame macro="">
      <xdr:nvGraphicFramePr>
        <xdr:cNvPr id="7" name="Chart 6">
          <a:extLst>
            <a:ext uri="{FF2B5EF4-FFF2-40B4-BE49-F238E27FC236}">
              <a16:creationId xmlns:a16="http://schemas.microsoft.com/office/drawing/2014/main" id="{CC69D817-DADA-449A-B51B-CAE3701440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35</xdr:row>
      <xdr:rowOff>0</xdr:rowOff>
    </xdr:from>
    <xdr:to>
      <xdr:col>6</xdr:col>
      <xdr:colOff>160020</xdr:colOff>
      <xdr:row>50</xdr:row>
      <xdr:rowOff>0</xdr:rowOff>
    </xdr:to>
    <xdr:graphicFrame macro="">
      <xdr:nvGraphicFramePr>
        <xdr:cNvPr id="8" name="Chart 7">
          <a:extLst>
            <a:ext uri="{FF2B5EF4-FFF2-40B4-BE49-F238E27FC236}">
              <a16:creationId xmlns:a16="http://schemas.microsoft.com/office/drawing/2014/main" id="{749B118D-7F3D-4ECF-9EE0-1FFB69D1AD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60960</xdr:colOff>
      <xdr:row>6</xdr:row>
      <xdr:rowOff>41910</xdr:rowOff>
    </xdr:from>
    <xdr:to>
      <xdr:col>11</xdr:col>
      <xdr:colOff>365760</xdr:colOff>
      <xdr:row>21</xdr:row>
      <xdr:rowOff>41910</xdr:rowOff>
    </xdr:to>
    <xdr:graphicFrame macro="">
      <xdr:nvGraphicFramePr>
        <xdr:cNvPr id="3" name="Chart 2">
          <a:extLst>
            <a:ext uri="{FF2B5EF4-FFF2-40B4-BE49-F238E27FC236}">
              <a16:creationId xmlns:a16="http://schemas.microsoft.com/office/drawing/2014/main" id="{5FF8C8E6-844A-0293-E96C-A46340345A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541020</xdr:colOff>
      <xdr:row>6</xdr:row>
      <xdr:rowOff>95250</xdr:rowOff>
    </xdr:from>
    <xdr:to>
      <xdr:col>11</xdr:col>
      <xdr:colOff>236220</xdr:colOff>
      <xdr:row>21</xdr:row>
      <xdr:rowOff>95250</xdr:rowOff>
    </xdr:to>
    <xdr:graphicFrame macro="">
      <xdr:nvGraphicFramePr>
        <xdr:cNvPr id="4" name="Chart 3">
          <a:extLst>
            <a:ext uri="{FF2B5EF4-FFF2-40B4-BE49-F238E27FC236}">
              <a16:creationId xmlns:a16="http://schemas.microsoft.com/office/drawing/2014/main" id="{CE20F899-6A34-0122-0664-7C1A31D758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190500</xdr:colOff>
      <xdr:row>2</xdr:row>
      <xdr:rowOff>179070</xdr:rowOff>
    </xdr:from>
    <xdr:to>
      <xdr:col>18</xdr:col>
      <xdr:colOff>495300</xdr:colOff>
      <xdr:row>17</xdr:row>
      <xdr:rowOff>179070</xdr:rowOff>
    </xdr:to>
    <xdr:graphicFrame macro="">
      <xdr:nvGraphicFramePr>
        <xdr:cNvPr id="5" name="Chart 4">
          <a:extLst>
            <a:ext uri="{FF2B5EF4-FFF2-40B4-BE49-F238E27FC236}">
              <a16:creationId xmlns:a16="http://schemas.microsoft.com/office/drawing/2014/main" id="{11FFE5EC-797A-56E7-BED9-0344612157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124096</xdr:colOff>
      <xdr:row>1</xdr:row>
      <xdr:rowOff>14152</xdr:rowOff>
    </xdr:from>
    <xdr:to>
      <xdr:col>1</xdr:col>
      <xdr:colOff>459376</xdr:colOff>
      <xdr:row>3</xdr:row>
      <xdr:rowOff>332014</xdr:rowOff>
    </xdr:to>
    <xdr:pic>
      <xdr:nvPicPr>
        <xdr:cNvPr id="5" name="Graphic 4" descr="User with solid fill">
          <a:extLst>
            <a:ext uri="{FF2B5EF4-FFF2-40B4-BE49-F238E27FC236}">
              <a16:creationId xmlns:a16="http://schemas.microsoft.com/office/drawing/2014/main" id="{A3FA235F-EECD-8354-B83E-7CE2242FF4B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46610" y="416923"/>
          <a:ext cx="335280" cy="339634"/>
        </a:xfrm>
        <a:prstGeom prst="rect">
          <a:avLst/>
        </a:prstGeom>
      </xdr:spPr>
    </xdr:pic>
    <xdr:clientData/>
  </xdr:twoCellAnchor>
  <xdr:twoCellAnchor editAs="oneCell">
    <xdr:from>
      <xdr:col>3</xdr:col>
      <xdr:colOff>11974</xdr:colOff>
      <xdr:row>1</xdr:row>
      <xdr:rowOff>16331</xdr:rowOff>
    </xdr:from>
    <xdr:to>
      <xdr:col>3</xdr:col>
      <xdr:colOff>484414</xdr:colOff>
      <xdr:row>4</xdr:row>
      <xdr:rowOff>26128</xdr:rowOff>
    </xdr:to>
    <xdr:pic>
      <xdr:nvPicPr>
        <xdr:cNvPr id="7" name="Graphic 6" descr="Piggy Bank with solid fill">
          <a:extLst>
            <a:ext uri="{FF2B5EF4-FFF2-40B4-BE49-F238E27FC236}">
              <a16:creationId xmlns:a16="http://schemas.microsoft.com/office/drawing/2014/main" id="{9D41E929-1634-41D7-85A9-8F47E974742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756660" y="419102"/>
          <a:ext cx="472440" cy="477883"/>
        </a:xfrm>
        <a:prstGeom prst="rect">
          <a:avLst/>
        </a:prstGeom>
      </xdr:spPr>
    </xdr:pic>
    <xdr:clientData/>
  </xdr:twoCellAnchor>
  <xdr:twoCellAnchor editAs="oneCell">
    <xdr:from>
      <xdr:col>3</xdr:col>
      <xdr:colOff>121920</xdr:colOff>
      <xdr:row>3</xdr:row>
      <xdr:rowOff>188323</xdr:rowOff>
    </xdr:from>
    <xdr:to>
      <xdr:col>3</xdr:col>
      <xdr:colOff>304800</xdr:colOff>
      <xdr:row>3</xdr:row>
      <xdr:rowOff>371203</xdr:rowOff>
    </xdr:to>
    <xdr:pic>
      <xdr:nvPicPr>
        <xdr:cNvPr id="9" name="Graphic 8" descr="Dollar outline">
          <a:extLst>
            <a:ext uri="{FF2B5EF4-FFF2-40B4-BE49-F238E27FC236}">
              <a16:creationId xmlns:a16="http://schemas.microsoft.com/office/drawing/2014/main" id="{D79D47C3-1BC9-9C35-BFAD-7F88E4863B5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866606" y="612866"/>
          <a:ext cx="182880" cy="182880"/>
        </a:xfrm>
        <a:prstGeom prst="rect">
          <a:avLst/>
        </a:prstGeom>
      </xdr:spPr>
    </xdr:pic>
    <xdr:clientData/>
  </xdr:twoCellAnchor>
  <xdr:twoCellAnchor editAs="oneCell">
    <xdr:from>
      <xdr:col>5</xdr:col>
      <xdr:colOff>2035629</xdr:colOff>
      <xdr:row>1</xdr:row>
      <xdr:rowOff>15241</xdr:rowOff>
    </xdr:from>
    <xdr:to>
      <xdr:col>5</xdr:col>
      <xdr:colOff>2386149</xdr:colOff>
      <xdr:row>3</xdr:row>
      <xdr:rowOff>348343</xdr:rowOff>
    </xdr:to>
    <xdr:pic>
      <xdr:nvPicPr>
        <xdr:cNvPr id="11" name="Graphic 10" descr="Signal with solid fill">
          <a:extLst>
            <a:ext uri="{FF2B5EF4-FFF2-40B4-BE49-F238E27FC236}">
              <a16:creationId xmlns:a16="http://schemas.microsoft.com/office/drawing/2014/main" id="{8B6B9BD2-1EB8-CF47-06E1-92A3E84F0B7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512629" y="418012"/>
          <a:ext cx="350520" cy="354874"/>
        </a:xfrm>
        <a:prstGeom prst="rect">
          <a:avLst/>
        </a:prstGeom>
      </xdr:spPr>
    </xdr:pic>
    <xdr:clientData/>
  </xdr:twoCellAnchor>
  <xdr:twoCellAnchor editAs="oneCell">
    <xdr:from>
      <xdr:col>7</xdr:col>
      <xdr:colOff>980803</xdr:colOff>
      <xdr:row>0</xdr:row>
      <xdr:rowOff>399506</xdr:rowOff>
    </xdr:from>
    <xdr:to>
      <xdr:col>7</xdr:col>
      <xdr:colOff>1399903</xdr:colOff>
      <xdr:row>3</xdr:row>
      <xdr:rowOff>395152</xdr:rowOff>
    </xdr:to>
    <xdr:pic>
      <xdr:nvPicPr>
        <xdr:cNvPr id="13" name="Graphic 12" descr="Smoking with solid fill">
          <a:extLst>
            <a:ext uri="{FF2B5EF4-FFF2-40B4-BE49-F238E27FC236}">
              <a16:creationId xmlns:a16="http://schemas.microsoft.com/office/drawing/2014/main" id="{9BA28AD8-BA36-6B8D-3B3B-D843075691F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516689" y="399506"/>
          <a:ext cx="419100" cy="420189"/>
        </a:xfrm>
        <a:prstGeom prst="rect">
          <a:avLst/>
        </a:prstGeom>
      </xdr:spPr>
    </xdr:pic>
    <xdr:clientData/>
  </xdr:twoCellAnchor>
  <xdr:twoCellAnchor>
    <xdr:from>
      <xdr:col>3</xdr:col>
      <xdr:colOff>706120</xdr:colOff>
      <xdr:row>5</xdr:row>
      <xdr:rowOff>121920</xdr:rowOff>
    </xdr:from>
    <xdr:to>
      <xdr:col>5</xdr:col>
      <xdr:colOff>1916520</xdr:colOff>
      <xdr:row>19</xdr:row>
      <xdr:rowOff>119743</xdr:rowOff>
    </xdr:to>
    <xdr:graphicFrame macro="">
      <xdr:nvGraphicFramePr>
        <xdr:cNvPr id="4" name="Chart 3">
          <a:extLst>
            <a:ext uri="{FF2B5EF4-FFF2-40B4-BE49-F238E27FC236}">
              <a16:creationId xmlns:a16="http://schemas.microsoft.com/office/drawing/2014/main" id="{BD367B28-5A7C-4B01-9BAB-7532E9D1C2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38100</xdr:colOff>
      <xdr:row>5</xdr:row>
      <xdr:rowOff>91440</xdr:rowOff>
    </xdr:from>
    <xdr:to>
      <xdr:col>3</xdr:col>
      <xdr:colOff>669380</xdr:colOff>
      <xdr:row>19</xdr:row>
      <xdr:rowOff>123120</xdr:rowOff>
    </xdr:to>
    <xdr:graphicFrame macro="">
      <xdr:nvGraphicFramePr>
        <xdr:cNvPr id="6" name="Chart 5">
          <a:extLst>
            <a:ext uri="{FF2B5EF4-FFF2-40B4-BE49-F238E27FC236}">
              <a16:creationId xmlns:a16="http://schemas.microsoft.com/office/drawing/2014/main" id="{883D6B8D-6F24-4BF5-B41E-A006C8D5B7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1986280</xdr:colOff>
      <xdr:row>5</xdr:row>
      <xdr:rowOff>121918</xdr:rowOff>
    </xdr:from>
    <xdr:to>
      <xdr:col>8</xdr:col>
      <xdr:colOff>280760</xdr:colOff>
      <xdr:row>19</xdr:row>
      <xdr:rowOff>153598</xdr:rowOff>
    </xdr:to>
    <xdr:graphicFrame macro="">
      <xdr:nvGraphicFramePr>
        <xdr:cNvPr id="8" name="Chart 7">
          <a:extLst>
            <a:ext uri="{FF2B5EF4-FFF2-40B4-BE49-F238E27FC236}">
              <a16:creationId xmlns:a16="http://schemas.microsoft.com/office/drawing/2014/main" id="{E703029F-084D-495A-81BF-C3BE9A03E8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50800</xdr:colOff>
      <xdr:row>20</xdr:row>
      <xdr:rowOff>32658</xdr:rowOff>
    </xdr:from>
    <xdr:to>
      <xdr:col>3</xdr:col>
      <xdr:colOff>653143</xdr:colOff>
      <xdr:row>23</xdr:row>
      <xdr:rowOff>1036084</xdr:rowOff>
    </xdr:to>
    <xdr:graphicFrame macro="">
      <xdr:nvGraphicFramePr>
        <xdr:cNvPr id="10" name="Chart 9">
          <a:extLst>
            <a:ext uri="{FF2B5EF4-FFF2-40B4-BE49-F238E27FC236}">
              <a16:creationId xmlns:a16="http://schemas.microsoft.com/office/drawing/2014/main" id="{01CC0A12-5FC7-4456-BDE2-B7BD4D39B5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751841</xdr:colOff>
      <xdr:row>20</xdr:row>
      <xdr:rowOff>10886</xdr:rowOff>
    </xdr:from>
    <xdr:to>
      <xdr:col>5</xdr:col>
      <xdr:colOff>1962241</xdr:colOff>
      <xdr:row>23</xdr:row>
      <xdr:rowOff>1031667</xdr:rowOff>
    </xdr:to>
    <xdr:graphicFrame macro="">
      <xdr:nvGraphicFramePr>
        <xdr:cNvPr id="12" name="Chart 11">
          <a:extLst>
            <a:ext uri="{FF2B5EF4-FFF2-40B4-BE49-F238E27FC236}">
              <a16:creationId xmlns:a16="http://schemas.microsoft.com/office/drawing/2014/main" id="{997333F4-F95E-41F4-AF36-F887956009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xdr:col>
      <xdr:colOff>2009915</xdr:colOff>
      <xdr:row>20</xdr:row>
      <xdr:rowOff>60958</xdr:rowOff>
    </xdr:from>
    <xdr:to>
      <xdr:col>8</xdr:col>
      <xdr:colOff>304395</xdr:colOff>
      <xdr:row>23</xdr:row>
      <xdr:rowOff>1017198</xdr:rowOff>
    </xdr:to>
    <xdr:graphicFrame macro="">
      <xdr:nvGraphicFramePr>
        <xdr:cNvPr id="14" name="Chart 13">
          <a:extLst>
            <a:ext uri="{FF2B5EF4-FFF2-40B4-BE49-F238E27FC236}">
              <a16:creationId xmlns:a16="http://schemas.microsoft.com/office/drawing/2014/main" id="{BA7810DD-833D-48BE-B1FE-6E8015A2D2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8</xdr:col>
      <xdr:colOff>372292</xdr:colOff>
      <xdr:row>8</xdr:row>
      <xdr:rowOff>98290</xdr:rowOff>
    </xdr:from>
    <xdr:to>
      <xdr:col>8</xdr:col>
      <xdr:colOff>2133600</xdr:colOff>
      <xdr:row>13</xdr:row>
      <xdr:rowOff>55471</xdr:rowOff>
    </xdr:to>
    <mc:AlternateContent xmlns:mc="http://schemas.openxmlformats.org/markup-compatibility/2006" xmlns:a14="http://schemas.microsoft.com/office/drawing/2010/main">
      <mc:Choice Requires="a14">
        <xdr:graphicFrame macro="">
          <xdr:nvGraphicFramePr>
            <xdr:cNvPr id="16" name="smoker 1">
              <a:extLst>
                <a:ext uri="{FF2B5EF4-FFF2-40B4-BE49-F238E27FC236}">
                  <a16:creationId xmlns:a16="http://schemas.microsoft.com/office/drawing/2014/main" id="{3DA68176-BE35-FFB9-376A-F4A81A4BB8EB}"/>
                </a:ext>
              </a:extLst>
            </xdr:cNvPr>
            <xdr:cNvGraphicFramePr/>
          </xdr:nvGraphicFramePr>
          <xdr:xfrm>
            <a:off x="0" y="0"/>
            <a:ext cx="0" cy="0"/>
          </xdr:xfrm>
          <a:graphic>
            <a:graphicData uri="http://schemas.microsoft.com/office/drawing/2010/slicer">
              <sle:slicer xmlns:sle="http://schemas.microsoft.com/office/drawing/2010/slicer" name="smoker 1"/>
            </a:graphicData>
          </a:graphic>
        </xdr:graphicFrame>
      </mc:Choice>
      <mc:Fallback xmlns="">
        <xdr:sp macro="" textlink="">
          <xdr:nvSpPr>
            <xdr:cNvPr id="0" name=""/>
            <xdr:cNvSpPr>
              <a:spLocks noTextEdit="1"/>
            </xdr:cNvSpPr>
          </xdr:nvSpPr>
          <xdr:spPr>
            <a:xfrm>
              <a:off x="12466321" y="1894433"/>
              <a:ext cx="1761308" cy="8824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371565</xdr:colOff>
      <xdr:row>2</xdr:row>
      <xdr:rowOff>10886</xdr:rowOff>
    </xdr:from>
    <xdr:to>
      <xdr:col>8</xdr:col>
      <xdr:colOff>2133600</xdr:colOff>
      <xdr:row>7</xdr:row>
      <xdr:rowOff>119743</xdr:rowOff>
    </xdr:to>
    <mc:AlternateContent xmlns:mc="http://schemas.openxmlformats.org/markup-compatibility/2006" xmlns:a14="http://schemas.microsoft.com/office/drawing/2010/main">
      <mc:Choice Requires="a14">
        <xdr:graphicFrame macro="">
          <xdr:nvGraphicFramePr>
            <xdr:cNvPr id="17" name="region 1">
              <a:extLst>
                <a:ext uri="{FF2B5EF4-FFF2-40B4-BE49-F238E27FC236}">
                  <a16:creationId xmlns:a16="http://schemas.microsoft.com/office/drawing/2014/main" id="{A47174F2-C9E6-C56D-9B0E-1AF0CFF34C5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465594" y="424543"/>
              <a:ext cx="1762035" cy="13062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380274</xdr:colOff>
      <xdr:row>19</xdr:row>
      <xdr:rowOff>146823</xdr:rowOff>
    </xdr:from>
    <xdr:to>
      <xdr:col>9</xdr:col>
      <xdr:colOff>0</xdr:colOff>
      <xdr:row>22</xdr:row>
      <xdr:rowOff>667340</xdr:rowOff>
    </xdr:to>
    <mc:AlternateContent xmlns:mc="http://schemas.openxmlformats.org/markup-compatibility/2006" xmlns:a14="http://schemas.microsoft.com/office/drawing/2010/main">
      <mc:Choice Requires="a14">
        <xdr:graphicFrame macro="">
          <xdr:nvGraphicFramePr>
            <xdr:cNvPr id="18" name="Age group(Broad) 1">
              <a:extLst>
                <a:ext uri="{FF2B5EF4-FFF2-40B4-BE49-F238E27FC236}">
                  <a16:creationId xmlns:a16="http://schemas.microsoft.com/office/drawing/2014/main" id="{61A22040-117F-2B63-D1C2-A0B55D764352}"/>
                </a:ext>
              </a:extLst>
            </xdr:cNvPr>
            <xdr:cNvGraphicFramePr/>
          </xdr:nvGraphicFramePr>
          <xdr:xfrm>
            <a:off x="0" y="0"/>
            <a:ext cx="0" cy="0"/>
          </xdr:xfrm>
          <a:graphic>
            <a:graphicData uri="http://schemas.microsoft.com/office/drawing/2010/slicer">
              <sle:slicer xmlns:sle="http://schemas.microsoft.com/office/drawing/2010/slicer" name="Age group(Broad) 1"/>
            </a:graphicData>
          </a:graphic>
        </xdr:graphicFrame>
      </mc:Choice>
      <mc:Fallback xmlns="">
        <xdr:sp macro="" textlink="">
          <xdr:nvSpPr>
            <xdr:cNvPr id="0" name=""/>
            <xdr:cNvSpPr>
              <a:spLocks noTextEdit="1"/>
            </xdr:cNvSpPr>
          </xdr:nvSpPr>
          <xdr:spPr>
            <a:xfrm>
              <a:off x="12474303" y="3978594"/>
              <a:ext cx="1818640" cy="10756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400594</xdr:colOff>
      <xdr:row>22</xdr:row>
      <xdr:rowOff>830943</xdr:rowOff>
    </xdr:from>
    <xdr:to>
      <xdr:col>9</xdr:col>
      <xdr:colOff>12700</xdr:colOff>
      <xdr:row>23</xdr:row>
      <xdr:rowOff>800463</xdr:rowOff>
    </xdr:to>
    <mc:AlternateContent xmlns:mc="http://schemas.openxmlformats.org/markup-compatibility/2006" xmlns:a14="http://schemas.microsoft.com/office/drawing/2010/main">
      <mc:Choice Requires="a14">
        <xdr:graphicFrame macro="">
          <xdr:nvGraphicFramePr>
            <xdr:cNvPr id="20" name="BMI category  1">
              <a:extLst>
                <a:ext uri="{FF2B5EF4-FFF2-40B4-BE49-F238E27FC236}">
                  <a16:creationId xmlns:a16="http://schemas.microsoft.com/office/drawing/2014/main" id="{17E8745C-6218-445F-96E6-01A269B4DCA0}"/>
                </a:ext>
              </a:extLst>
            </xdr:cNvPr>
            <xdr:cNvGraphicFramePr/>
          </xdr:nvGraphicFramePr>
          <xdr:xfrm>
            <a:off x="0" y="0"/>
            <a:ext cx="0" cy="0"/>
          </xdr:xfrm>
          <a:graphic>
            <a:graphicData uri="http://schemas.microsoft.com/office/drawing/2010/slicer">
              <sle:slicer xmlns:sle="http://schemas.microsoft.com/office/drawing/2010/slicer" name="BMI category  1"/>
            </a:graphicData>
          </a:graphic>
        </xdr:graphicFrame>
      </mc:Choice>
      <mc:Fallback xmlns="">
        <xdr:sp macro="" textlink="">
          <xdr:nvSpPr>
            <xdr:cNvPr id="0" name=""/>
            <xdr:cNvSpPr>
              <a:spLocks noTextEdit="1"/>
            </xdr:cNvSpPr>
          </xdr:nvSpPr>
          <xdr:spPr>
            <a:xfrm>
              <a:off x="12494623" y="5217886"/>
              <a:ext cx="1811020" cy="12322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393338</xdr:colOff>
      <xdr:row>14</xdr:row>
      <xdr:rowOff>34018</xdr:rowOff>
    </xdr:from>
    <xdr:to>
      <xdr:col>8</xdr:col>
      <xdr:colOff>2133600</xdr:colOff>
      <xdr:row>18</xdr:row>
      <xdr:rowOff>168276</xdr:rowOff>
    </xdr:to>
    <mc:AlternateContent xmlns:mc="http://schemas.openxmlformats.org/markup-compatibility/2006" xmlns:a14="http://schemas.microsoft.com/office/drawing/2010/main">
      <mc:Choice Requires="a14">
        <xdr:graphicFrame macro="">
          <xdr:nvGraphicFramePr>
            <xdr:cNvPr id="21" name="sex 1">
              <a:extLst>
                <a:ext uri="{FF2B5EF4-FFF2-40B4-BE49-F238E27FC236}">
                  <a16:creationId xmlns:a16="http://schemas.microsoft.com/office/drawing/2014/main" id="{CB0E7D64-042E-4DA6-8F94-A1776E9CFCF5}"/>
                </a:ext>
              </a:extLst>
            </xdr:cNvPr>
            <xdr:cNvGraphicFramePr/>
          </xdr:nvGraphicFramePr>
          <xdr:xfrm>
            <a:off x="0" y="0"/>
            <a:ext cx="0" cy="0"/>
          </xdr:xfrm>
          <a:graphic>
            <a:graphicData uri="http://schemas.microsoft.com/office/drawing/2010/slicer">
              <sle:slicer xmlns:sle="http://schemas.microsoft.com/office/drawing/2010/slicer" name="sex 1"/>
            </a:graphicData>
          </a:graphic>
        </xdr:graphicFrame>
      </mc:Choice>
      <mc:Fallback xmlns="">
        <xdr:sp macro="" textlink="">
          <xdr:nvSpPr>
            <xdr:cNvPr id="0" name=""/>
            <xdr:cNvSpPr>
              <a:spLocks noTextEdit="1"/>
            </xdr:cNvSpPr>
          </xdr:nvSpPr>
          <xdr:spPr>
            <a:xfrm>
              <a:off x="12487367" y="2940504"/>
              <a:ext cx="1740262" cy="8744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76201</xdr:colOff>
      <xdr:row>23</xdr:row>
      <xdr:rowOff>1143000</xdr:rowOff>
    </xdr:from>
    <xdr:ext cx="13585371" cy="1436914"/>
    <xdr:sp macro="" textlink="">
      <xdr:nvSpPr>
        <xdr:cNvPr id="2" name="Rectangle 1">
          <a:extLst>
            <a:ext uri="{FF2B5EF4-FFF2-40B4-BE49-F238E27FC236}">
              <a16:creationId xmlns:a16="http://schemas.microsoft.com/office/drawing/2014/main" id="{5A248888-7A66-5578-199D-40C55830D660}"/>
            </a:ext>
          </a:extLst>
        </xdr:cNvPr>
        <xdr:cNvSpPr/>
      </xdr:nvSpPr>
      <xdr:spPr>
        <a:xfrm>
          <a:off x="598715" y="6792686"/>
          <a:ext cx="13585371" cy="1436914"/>
        </a:xfrm>
        <a:prstGeom prst="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noAutofit/>
        </a:bodyPr>
        <a:lstStyle/>
        <a:p>
          <a:r>
            <a:rPr lang="en-IN" sz="1200" b="1">
              <a:solidFill>
                <a:schemeClr val="tx1"/>
              </a:solidFill>
            </a:rPr>
            <a:t>    Key Insights</a:t>
          </a:r>
        </a:p>
        <a:p>
          <a:r>
            <a:rPr lang="en-IN" sz="1200" b="1">
              <a:solidFill>
                <a:schemeClr val="tx1"/>
              </a:solidFill>
            </a:rPr>
            <a:t>BMI</a:t>
          </a:r>
          <a:r>
            <a:rPr lang="en-IN" sz="1200">
              <a:solidFill>
                <a:schemeClr val="tx1"/>
              </a:solidFill>
            </a:rPr>
            <a:t> is the biggest cost driver: People in the </a:t>
          </a:r>
          <a:r>
            <a:rPr lang="en-IN" sz="1200" b="1">
              <a:solidFill>
                <a:schemeClr val="tx1"/>
              </a:solidFill>
            </a:rPr>
            <a:t>Obese BMI category</a:t>
          </a:r>
          <a:r>
            <a:rPr lang="en-IN" sz="1200">
              <a:solidFill>
                <a:schemeClr val="tx1"/>
              </a:solidFill>
            </a:rPr>
            <a:t> pay much higher insurance charges than those with </a:t>
          </a:r>
          <a:r>
            <a:rPr lang="en-IN" sz="1200" b="1">
              <a:solidFill>
                <a:schemeClr val="tx1"/>
              </a:solidFill>
            </a:rPr>
            <a:t>Normal BMI</a:t>
          </a:r>
          <a:r>
            <a:rPr lang="en-IN" sz="1200">
              <a:solidFill>
                <a:schemeClr val="tx1"/>
              </a:solidFill>
            </a:rPr>
            <a:t>. </a:t>
          </a:r>
        </a:p>
        <a:p>
          <a:r>
            <a:rPr lang="en-IN" sz="1200" b="1">
              <a:solidFill>
                <a:schemeClr val="tx1"/>
              </a:solidFill>
            </a:rPr>
            <a:t>Age group</a:t>
          </a:r>
          <a:r>
            <a:rPr lang="en-IN" sz="1200">
              <a:solidFill>
                <a:schemeClr val="tx1"/>
              </a:solidFill>
            </a:rPr>
            <a:t> has a strong impact on costs: The </a:t>
          </a:r>
          <a:r>
            <a:rPr lang="en-IN" sz="1200" b="1">
              <a:solidFill>
                <a:schemeClr val="tx1"/>
              </a:solidFill>
            </a:rPr>
            <a:t>Older age group</a:t>
          </a:r>
          <a:r>
            <a:rPr lang="en-IN" sz="1200">
              <a:solidFill>
                <a:schemeClr val="tx1"/>
              </a:solidFill>
            </a:rPr>
            <a:t> pays much more than </a:t>
          </a:r>
          <a:r>
            <a:rPr lang="en-IN" sz="1200" b="1">
              <a:solidFill>
                <a:schemeClr val="tx1"/>
              </a:solidFill>
            </a:rPr>
            <a:t>Youth</a:t>
          </a:r>
          <a:r>
            <a:rPr lang="en-IN" sz="1200">
              <a:solidFill>
                <a:schemeClr val="tx1"/>
              </a:solidFill>
            </a:rPr>
            <a:t>, with charges rising sharply after age 40. </a:t>
          </a:r>
        </a:p>
        <a:p>
          <a:r>
            <a:rPr lang="en-IN" sz="1200" b="1">
              <a:solidFill>
                <a:schemeClr val="tx1"/>
              </a:solidFill>
            </a:rPr>
            <a:t>Children</a:t>
          </a:r>
          <a:r>
            <a:rPr lang="en-IN" sz="1200">
              <a:solidFill>
                <a:schemeClr val="tx1"/>
              </a:solidFill>
            </a:rPr>
            <a:t> increase insurance charges: Costs go up significantly as the </a:t>
          </a:r>
          <a:r>
            <a:rPr lang="en-IN" sz="1200" b="1">
              <a:solidFill>
                <a:schemeClr val="tx1"/>
              </a:solidFill>
            </a:rPr>
            <a:t>number of children</a:t>
          </a:r>
          <a:r>
            <a:rPr lang="en-IN" sz="1200">
              <a:solidFill>
                <a:schemeClr val="tx1"/>
              </a:solidFill>
            </a:rPr>
            <a:t> increases. </a:t>
          </a:r>
        </a:p>
        <a:p>
          <a:r>
            <a:rPr lang="en-IN" sz="1200" b="1">
              <a:solidFill>
                <a:schemeClr val="tx1"/>
              </a:solidFill>
            </a:rPr>
            <a:t>Smoking status</a:t>
          </a:r>
          <a:r>
            <a:rPr lang="en-IN" sz="1200">
              <a:solidFill>
                <a:schemeClr val="tx1"/>
              </a:solidFill>
            </a:rPr>
            <a:t> shows only a small difference in average insurance charges in this dataset. </a:t>
          </a:r>
        </a:p>
        <a:p>
          <a:r>
            <a:rPr lang="en-IN" sz="1200" b="1">
              <a:solidFill>
                <a:schemeClr val="tx1"/>
              </a:solidFill>
            </a:rPr>
            <a:t>Region</a:t>
          </a:r>
          <a:r>
            <a:rPr lang="en-IN" sz="1200">
              <a:solidFill>
                <a:schemeClr val="tx1"/>
              </a:solidFill>
            </a:rPr>
            <a:t> has very little impact on insurance charges compared to BMI and Age group. </a:t>
          </a:r>
        </a:p>
        <a:p>
          <a:r>
            <a:rPr lang="en-IN" sz="1200">
              <a:solidFill>
                <a:schemeClr val="tx1"/>
              </a:solidFill>
            </a:rPr>
            <a:t>Overall, </a:t>
          </a:r>
          <a:r>
            <a:rPr lang="en-IN" sz="1200" b="1">
              <a:solidFill>
                <a:schemeClr val="tx1"/>
              </a:solidFill>
            </a:rPr>
            <a:t>BMI and Age group</a:t>
          </a:r>
          <a:r>
            <a:rPr lang="en-IN" sz="1200">
              <a:solidFill>
                <a:schemeClr val="tx1"/>
              </a:solidFill>
            </a:rPr>
            <a:t> affect insurance charges more than </a:t>
          </a:r>
          <a:r>
            <a:rPr lang="en-IN" sz="1200" b="1">
              <a:solidFill>
                <a:schemeClr val="tx1"/>
              </a:solidFill>
            </a:rPr>
            <a:t>Smoking status or Region</a:t>
          </a:r>
          <a:r>
            <a:rPr lang="en-IN" sz="1200">
              <a:solidFill>
                <a:schemeClr val="tx1"/>
              </a:solidFill>
            </a:rPr>
            <a:t>.</a:t>
          </a:r>
          <a:endParaRPr lang="en-IN" sz="1200">
            <a:solidFill>
              <a:schemeClr val="tx1"/>
            </a:solidFill>
            <a:latin typeface="Arial" panose="020B0604020202020204" pitchFamily="34" charset="0"/>
            <a:cs typeface="Arial" panose="020B0604020202020204" pitchFamily="34" charset="0"/>
          </a:endParaRPr>
        </a:p>
      </xdr:txBody>
    </xdr:sp>
    <xdr:clientData/>
  </xdr:oneCellAnchor>
  <xdr:twoCellAnchor editAs="oneCell">
    <xdr:from>
      <xdr:col>1</xdr:col>
      <xdr:colOff>76200</xdr:colOff>
      <xdr:row>23</xdr:row>
      <xdr:rowOff>1142999</xdr:rowOff>
    </xdr:from>
    <xdr:to>
      <xdr:col>1</xdr:col>
      <xdr:colOff>315685</xdr:colOff>
      <xdr:row>24</xdr:row>
      <xdr:rowOff>119741</xdr:rowOff>
    </xdr:to>
    <xdr:pic>
      <xdr:nvPicPr>
        <xdr:cNvPr id="15" name="Graphic 14" descr="Lightbulb with solid fill">
          <a:extLst>
            <a:ext uri="{FF2B5EF4-FFF2-40B4-BE49-F238E27FC236}">
              <a16:creationId xmlns:a16="http://schemas.microsoft.com/office/drawing/2014/main" id="{F51C6A54-0DC0-47DF-B433-3873C39197EC}"/>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598714" y="6836228"/>
          <a:ext cx="239485" cy="239485"/>
        </a:xfrm>
        <a:prstGeom prst="rect">
          <a:avLst/>
        </a:prstGeom>
      </xdr:spPr>
    </xdr:pic>
    <xdr:clientData/>
  </xdr:twoCellAnchor>
  <xdr:twoCellAnchor editAs="oneCell">
    <xdr:from>
      <xdr:col>1</xdr:col>
      <xdr:colOff>228600</xdr:colOff>
      <xdr:row>3</xdr:row>
      <xdr:rowOff>32657</xdr:rowOff>
    </xdr:from>
    <xdr:to>
      <xdr:col>1</xdr:col>
      <xdr:colOff>563880</xdr:colOff>
      <xdr:row>3</xdr:row>
      <xdr:rowOff>372291</xdr:rowOff>
    </xdr:to>
    <xdr:pic>
      <xdr:nvPicPr>
        <xdr:cNvPr id="19" name="Graphic 18" descr="User with solid fill">
          <a:extLst>
            <a:ext uri="{FF2B5EF4-FFF2-40B4-BE49-F238E27FC236}">
              <a16:creationId xmlns:a16="http://schemas.microsoft.com/office/drawing/2014/main" id="{C8458E44-2CAB-483B-8234-4A5795AE43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1114" y="457200"/>
          <a:ext cx="335280" cy="33963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hosh thota" refreshedDate="46162.487352199074" createdVersion="8" refreshedVersion="8" minRefreshableVersion="3" recordCount="1342" xr:uid="{644C8CE7-6E28-48F5-847A-D777C2A1CE70}">
  <cacheSource type="worksheet">
    <worksheetSource name="Table1"/>
  </cacheSource>
  <cacheFields count="11">
    <cacheField name="age" numFmtId="0">
      <sharedItems containsString="0" containsBlank="1" containsNumber="1" containsInteger="1" minValue="18" maxValue="64" count="48">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m/>
      </sharedItems>
    </cacheField>
    <cacheField name="sex" numFmtId="49">
      <sharedItems containsBlank="1" count="3">
        <s v="Female"/>
        <s v="Male"/>
        <m/>
      </sharedItems>
    </cacheField>
    <cacheField name="bmi" numFmtId="0">
      <sharedItems containsString="0" containsBlank="1" containsNumber="1" minValue="15.96" maxValue="53.13"/>
    </cacheField>
    <cacheField name="children" numFmtId="0">
      <sharedItems containsString="0" containsBlank="1" containsNumber="1" containsInteger="1" minValue="0" maxValue="5" count="7">
        <n v="0"/>
        <n v="1"/>
        <n v="2"/>
        <n v="3"/>
        <n v="4"/>
        <n v="5"/>
        <m/>
      </sharedItems>
    </cacheField>
    <cacheField name="smoker" numFmtId="0">
      <sharedItems containsBlank="1" count="3">
        <s v="Yes"/>
        <s v="No"/>
        <m/>
      </sharedItems>
    </cacheField>
    <cacheField name="region" numFmtId="0">
      <sharedItems containsBlank="1" count="5">
        <s v="Southwest"/>
        <s v="Southeast"/>
        <s v="Northwest"/>
        <s v="Northeast"/>
        <m/>
      </sharedItems>
    </cacheField>
    <cacheField name="charges" numFmtId="164">
      <sharedItems containsString="0" containsBlank="1" containsNumber="1" minValue="1121.8739" maxValue="63770.428010000003" count="1338">
        <n v="1121.8739"/>
        <n v="1131.5065999999999"/>
        <n v="1135.9407000000001"/>
        <n v="1136.3994"/>
        <n v="1137.011"/>
        <n v="1137.4697000000001"/>
        <n v="1141.4450999999999"/>
        <n v="1146.7965999999999"/>
        <n v="1149.3959"/>
        <n v="1163.4627"/>
        <n v="1241.5650000000001"/>
        <n v="1242.26"/>
        <n v="1242.816"/>
        <n v="1252.4069999999999"/>
        <n v="1253.9359999999999"/>
        <n v="1256.299"/>
        <n v="1261.442"/>
        <n v="1261.8589999999999"/>
        <n v="1263.249"/>
        <n v="1391.5287000000001"/>
        <n v="1515.3449000000001"/>
        <n v="1526.3119999999999"/>
        <n v="1532.4697000000001"/>
        <n v="1534.3045"/>
        <n v="1607.5101"/>
        <n v="1615.7666999999999"/>
        <n v="1621.3402000000001"/>
        <n v="1621.8827000000001"/>
        <n v="1622.1885"/>
        <n v="1625.4337499999999"/>
        <n v="1627.2824499999999"/>
        <n v="1628.4709"/>
        <n v="1629.8335"/>
        <n v="1631.6683"/>
        <n v="1631.8212000000001"/>
        <n v="1632.0362500000001"/>
        <n v="1632.5644500000001"/>
        <n v="1633.0444"/>
        <n v="1633.9618"/>
        <n v="1634.5734"/>
        <n v="1635.7336499999999"/>
        <n v="1639.5631000000001"/>
        <n v="1646.4296999999999"/>
        <n v="1664.9996000000001"/>
        <n v="1674.6323"/>
        <n v="1682.597"/>
        <n v="1694.7963999999999"/>
        <n v="1702.4553000000001"/>
        <n v="1704.5681"/>
        <n v="1704.7001499999999"/>
        <n v="1705.6244999999999"/>
        <n v="1708.0014000000001"/>
        <n v="1708.9257500000001"/>
        <n v="1711.0268000000001"/>
        <n v="1712.2270000000001"/>
        <n v="1719.4363000000001"/>
        <n v="1720.3536999999999"/>
        <n v="1725.5523000000001"/>
        <n v="1727.54"/>
        <n v="1727.7850000000001"/>
        <n v="1728.8969999999999"/>
        <n v="1731.6769999999999"/>
        <n v="1737.376"/>
        <n v="1743.2139999999999"/>
        <n v="1744.4649999999999"/>
        <n v="1748.7739999999999"/>
        <n v="1759.338"/>
        <n v="1769.5316499999999"/>
        <n v="1815.8759"/>
        <n v="1824.2854"/>
        <n v="1826.8430000000001"/>
        <n v="1832.0940000000001"/>
        <n v="1837.2370000000001"/>
        <n v="1837.2819"/>
        <n v="1842.519"/>
        <n v="1875.3440000000001"/>
        <n v="1877.9294"/>
        <n v="1880.07"/>
        <n v="1880.4870000000001"/>
        <n v="1906.35825"/>
        <n v="1909.52745"/>
        <n v="1917.3184000000001"/>
        <n v="1964.78"/>
        <n v="1967.0227"/>
        <n v="1969.614"/>
        <n v="1972.95"/>
        <n v="1977.8150000000001"/>
        <n v="1980.07"/>
        <n v="1981.5818999999999"/>
        <n v="1984.4532999999999"/>
        <n v="1986.9333999999999"/>
        <n v="2007.9449999999999"/>
        <n v="2020.1769999999999"/>
        <n v="2020.5523000000001"/>
        <n v="2026.9740999999999"/>
        <n v="2045.68525"/>
        <n v="2055.3249000000001"/>
        <n v="2102.2647000000002"/>
        <n v="2103.08"/>
        <n v="2104.1134000000002"/>
        <n v="2117.3388500000001"/>
        <n v="2128.4310500000001"/>
        <n v="2130.6759000000002"/>
        <n v="2134.9014999999999"/>
        <n v="2136.8822500000001"/>
        <n v="2137.6536000000001"/>
        <n v="2138.0707000000002"/>
        <n v="2150.4690000000001"/>
        <n v="2154.3609999999999"/>
        <n v="2155.6815000000001"/>
        <n v="2156.7518"/>
        <n v="2166.732"/>
        <n v="2196.4731999999999"/>
        <n v="2198.1898500000002"/>
        <n v="2200.8308499999998"/>
        <n v="2201.0971"/>
        <n v="2203.4718499999999"/>
        <n v="2203.7359499999998"/>
        <n v="2205.9807999999998"/>
        <n v="2207.6974500000001"/>
        <n v="2211.1307499999998"/>
        <n v="2217.4691499999999"/>
        <n v="2217.6012000000001"/>
        <n v="2219.4450999999999"/>
        <n v="2221.5644499999999"/>
        <n v="2250.8352"/>
        <n v="2254.7966999999999"/>
        <n v="2257.47525"/>
        <n v="2261.5688"/>
        <n v="2302.3000000000002"/>
        <n v="2304.0021999999999"/>
        <n v="2322.6217999999999"/>
        <n v="2331.5189999999998"/>
        <n v="2352.9684499999998"/>
        <n v="2362.2290499999999"/>
        <n v="2395.17155"/>
        <n v="2396.0958999999998"/>
        <n v="2404.7338"/>
        <n v="2416.9549999999999"/>
        <n v="2438.0551999999998"/>
        <n v="2457.2111500000001"/>
        <n v="2457.502"/>
        <n v="2459.7201"/>
        <n v="2464.6188000000002"/>
        <n v="2473.3341"/>
        <n v="2480.9791"/>
        <n v="2483.7359999999999"/>
        <n v="2494.0219999999999"/>
        <n v="2497.0383000000002"/>
        <n v="2498.4144000000001"/>
        <n v="2523.1695"/>
        <n v="2527.8186500000002"/>
        <n v="2534.3937500000002"/>
        <n v="2566.4706999999999"/>
        <n v="2585.2689999999998"/>
        <n v="2585.8506499999999"/>
        <n v="2597.779"/>
        <n v="2632.9920000000002"/>
        <n v="2639.0428999999999"/>
        <n v="2643.2685000000001"/>
        <n v="2680.9493000000002"/>
        <n v="2689.4953999999998"/>
        <n v="2690.1138000000001"/>
        <n v="2699.56835"/>
        <n v="2709.1118999999999"/>
        <n v="2709.24395"/>
        <n v="2710.8285500000002"/>
        <n v="2719.2797500000001"/>
        <n v="2721.3208"/>
        <n v="2727.3951000000002"/>
        <n v="2730.1078499999999"/>
        <n v="2731.9122000000002"/>
        <n v="2741.9479999999999"/>
        <n v="2755.0209500000001"/>
        <n v="2775.1921499999999"/>
        <n v="2789.0574000000001"/>
        <n v="2801.2588000000001"/>
        <n v="2803.69785"/>
        <n v="2842.7607499999999"/>
        <n v="2850.6837500000001"/>
        <n v="2855.4375500000001"/>
        <n v="2866.0909999999999"/>
        <n v="2867.1196"/>
        <n v="2897.3235"/>
        <n v="2899.4893499999998"/>
        <n v="2902.9065000000001"/>
        <n v="2904.0880000000002"/>
        <n v="2913.569"/>
        <n v="2927.0646999999999"/>
        <n v="2974.1260000000002"/>
        <n v="3021.80915"/>
        <n v="3044.2132999999999"/>
        <n v="3046.0619999999999"/>
        <n v="3056.3881000000001"/>
        <n v="3062.5082499999999"/>
        <n v="3070.8087"/>
        <n v="3077.0954999999999"/>
        <n v="3161.4540000000002"/>
        <n v="3167.4558499999998"/>
        <n v="3171.6149"/>
        <n v="3172.018"/>
        <n v="3176.2876999999999"/>
        <n v="3176.8159000000001"/>
        <n v="3180.5101"/>
        <n v="3201.2451500000002"/>
        <n v="3206.4913499999998"/>
        <n v="3208.7869999999998"/>
        <n v="3213.6220499999999"/>
        <n v="3227.1210999999998"/>
        <n v="3238.4357"/>
        <n v="3260.1990000000001"/>
        <n v="3268.84665"/>
        <n v="3277.1610000000001"/>
        <n v="3279.8685500000001"/>
        <n v="3292.5298499999999"/>
        <n v="3309.7926000000002"/>
        <n v="3353.2840000000001"/>
        <n v="3353.4703"/>
        <n v="3366.6696999999999"/>
        <n v="3378.91"/>
        <n v="3385.3991500000002"/>
        <n v="3392.3652000000002"/>
        <n v="3392.9767999999999"/>
        <n v="3393.35635"/>
        <n v="3410.3240000000001"/>
        <n v="3443.0639999999999"/>
        <n v="3471.4096"/>
        <n v="3481.8679999999999"/>
        <n v="3484.3310000000001"/>
        <n v="3490.5491000000002"/>
        <n v="3500.6122999999998"/>
        <n v="3537.703"/>
        <n v="3554.203"/>
        <n v="3556.9223000000002"/>
        <n v="3558.6202499999999"/>
        <n v="3561.8888999999999"/>
        <n v="3577.9989999999998"/>
        <n v="3579.8287"/>
        <n v="3591.48"/>
        <n v="3594.17085"/>
        <n v="3597.596"/>
        <n v="3645.0893999999998"/>
        <n v="3659.346"/>
        <n v="3693.4279999999999"/>
        <n v="3704.3544999999999"/>
        <n v="3732.6251000000002"/>
        <n v="3736.4647"/>
        <n v="3756.6215999999999"/>
        <n v="3757.8447999999999"/>
        <n v="3761.2919999999999"/>
        <n v="3766.8838000000001"/>
        <n v="3847.674"/>
        <n v="3857.7592500000001"/>
        <n v="3861.2096499999998"/>
        <n v="3866.8552"/>
        <n v="3875.7341000000001"/>
        <n v="3877.3042500000001"/>
        <n v="3906.127"/>
        <n v="3925.7582000000002"/>
        <n v="3935.1799000000001"/>
        <n v="3943.5954000000002"/>
        <n v="3947.4131000000002"/>
        <n v="3956.0714499999999"/>
        <n v="3972.9247"/>
        <n v="3981.9767999999999"/>
        <n v="3987.9259999999999"/>
        <n v="3989.8409999999999"/>
        <n v="3994.1777999999999"/>
        <n v="4005.4225000000001"/>
        <n v="4032.2406999999998"/>
        <n v="4040.55825"/>
        <n v="4058.1161000000002"/>
        <n v="4058.71245"/>
        <n v="4074.4537"/>
        <n v="4076.4969999999998"/>
        <n v="4133.6416499999996"/>
        <n v="4134.0824499999999"/>
        <n v="4137.5227000000004"/>
        <n v="4149.7359999999999"/>
        <n v="4151.0286999999998"/>
        <n v="4185.0978999999998"/>
        <n v="4189.1130999999996"/>
        <n v="4234.9269999999997"/>
        <n v="4237.12655"/>
        <n v="4239.8926499999998"/>
        <n v="4243.5900499999998"/>
        <n v="4260.7439999999997"/>
        <n v="4266.1657999999998"/>
        <n v="4296.2712000000001"/>
        <n v="4320.4108500000002"/>
        <n v="4337.7352000000001"/>
        <n v="4340.4408999999996"/>
        <n v="4347.0233500000004"/>
        <n v="4349.4620000000004"/>
        <n v="4350.5144"/>
        <n v="4357.0436499999996"/>
        <n v="4391.652"/>
        <n v="4399.7309999999998"/>
        <n v="4402.2330000000002"/>
        <n v="4415.1588000000002"/>
        <n v="4428.8878500000001"/>
        <n v="4433.3877000000002"/>
        <n v="4433.9159"/>
        <n v="4435.0941999999995"/>
        <n v="4438.2633999999998"/>
        <n v="4441.2131499999996"/>
        <n v="4449.4620000000004"/>
        <n v="4454.40265"/>
        <n v="4462.7218000000003"/>
        <n v="4463.2051000000001"/>
        <n v="4466.6214"/>
        <n v="4500.33925"/>
        <n v="4504.6624000000002"/>
        <n v="4518.8262500000001"/>
        <n v="4527.1829500000003"/>
        <n v="4529.4769999999999"/>
        <n v="4536.259"/>
        <n v="4544.2348000000002"/>
        <n v="4561.1885000000002"/>
        <n v="4562.8420999999998"/>
        <n v="4564.1914500000003"/>
        <n v="4571.4130500000001"/>
        <n v="4618.0798999999997"/>
        <n v="4646.759"/>
        <n v="4661.2863500000003"/>
        <n v="4667.6076499999999"/>
        <n v="4670.6400000000003"/>
        <n v="4673.3922000000002"/>
        <n v="4686.3887000000004"/>
        <n v="4687.7969999999996"/>
        <n v="4718.2035500000002"/>
        <n v="4719.52405"/>
        <n v="4719.7365499999996"/>
        <n v="4738.2682000000004"/>
        <n v="4746.3440000000001"/>
        <n v="4747.0528999999997"/>
        <n v="4751.07"/>
        <n v="4753.6368000000002"/>
        <n v="4762.3289999999997"/>
        <n v="4766.0219999999999"/>
        <n v="4779.6022999999996"/>
        <n v="4795.6567999999997"/>
        <n v="4827.9049500000001"/>
        <n v="4830.63"/>
        <n v="4837.5823"/>
        <n v="4846.9201499999999"/>
        <n v="4877.9810500000003"/>
        <n v="4883.866"/>
        <n v="4889.0367999999999"/>
        <n v="4889.9994999999999"/>
        <n v="4894.7533000000003"/>
        <n v="4906.4096499999996"/>
        <n v="4915.0598499999996"/>
        <n v="4922.9159"/>
        <n v="4931.6469999999999"/>
        <n v="4934.7049999999999"/>
        <n v="4949.7587000000003"/>
        <n v="4992.3764000000001"/>
        <n v="5002.7826999999997"/>
        <n v="5003.8530000000001"/>
        <n v="5012.4709999999995"/>
        <n v="5028.1466"/>
        <n v="5031.26955"/>
        <n v="5080.0959999999995"/>
        <n v="5116.5003999999999"/>
        <n v="5124.1886999999997"/>
        <n v="5125.2156999999997"/>
        <n v="5138.2566999999999"/>
        <n v="5148.5526"/>
        <n v="5152.134"/>
        <n v="5209.5788499999999"/>
        <n v="5227.9887500000004"/>
        <n v="5240.7650000000003"/>
        <n v="5245.2268999999997"/>
        <n v="5246.0469999999996"/>
        <n v="5253.5240000000003"/>
        <n v="5257.5079500000002"/>
        <n v="5261.4694499999996"/>
        <n v="5266.3656000000001"/>
        <n v="5267.8181500000001"/>
        <n v="5272.1758"/>
        <n v="5312.1698500000002"/>
        <n v="5325.6509999999998"/>
        <n v="5327.4002499999997"/>
        <n v="5354.0746499999996"/>
        <n v="5373.3642499999996"/>
        <n v="5375.0379999999996"/>
        <n v="5377.4578000000001"/>
        <n v="5383.5360000000001"/>
        <n v="5385.3379000000004"/>
        <n v="5397.6166999999996"/>
        <n v="5400.9804999999997"/>
        <n v="5415.6611999999996"/>
        <n v="5425.0233500000004"/>
        <n v="5428.7277000000004"/>
        <n v="5438.7491"/>
        <n v="5458.0464499999998"/>
        <n v="5469.0065999999997"/>
        <n v="5472.4489999999996"/>
        <n v="5478.0367999999999"/>
        <n v="5484.4673000000003"/>
        <n v="5488.2619999999997"/>
        <n v="5584.3056999999999"/>
        <n v="5594.8455000000004"/>
        <n v="5615.3689999999997"/>
        <n v="5630.4578499999998"/>
        <n v="5649.7150000000001"/>
        <n v="5662.2250000000004"/>
        <n v="5693.4305000000004"/>
        <n v="5699.8374999999996"/>
        <n v="5708.8670000000002"/>
        <n v="5709.1643999999997"/>
        <n v="5729.0052999999998"/>
        <n v="5757.41345"/>
        <n v="5836.5204000000003"/>
        <n v="5846.9175999999998"/>
        <n v="5855.9025000000001"/>
        <n v="5910.9440000000004"/>
        <n v="5920.1040999999996"/>
        <n v="5926.8459999999995"/>
        <n v="5934.3797999999997"/>
        <n v="5966.8873999999996"/>
        <n v="5969.723"/>
        <n v="5972.3779999999997"/>
        <n v="5974.3846999999996"/>
        <n v="5976.8311000000003"/>
        <n v="5979.7309999999998"/>
        <n v="5989.5236500000001"/>
        <n v="6059.1729999999998"/>
        <n v="6067.1267500000004"/>
        <n v="6079.6715000000004"/>
        <n v="6082.4049999999997"/>
        <n v="6112.3529500000004"/>
        <n v="6113.2310500000003"/>
        <n v="6117.4944999999998"/>
        <n v="6123.5688"/>
        <n v="6128.79745"/>
        <n v="6184.2993999999999"/>
        <n v="6185.3208000000004"/>
        <n v="6186.1270000000004"/>
        <n v="6196.4480000000003"/>
        <n v="6198.7518"/>
        <n v="6203.90175"/>
        <n v="6238.2979999999998"/>
        <n v="6250.4350000000004"/>
        <n v="6272.4772000000003"/>
        <n v="6282.2349999999997"/>
        <n v="6289.7548999999999"/>
        <n v="6311.9520000000002"/>
        <n v="6313.759"/>
        <n v="6334.3435499999996"/>
        <n v="6338.0756000000001"/>
        <n v="6356.2707"/>
        <n v="6358.7764500000003"/>
        <n v="6360.9935999999998"/>
        <n v="6373.55735"/>
        <n v="6389.3778499999999"/>
        <n v="6393.6034499999996"/>
        <n v="6402.2913500000004"/>
        <n v="6406.4107000000004"/>
        <n v="6414.1779999999999"/>
        <n v="6435.6237000000001"/>
        <n v="6455.86265"/>
        <n v="6457.8433999999997"/>
        <n v="6474.0129999999999"/>
        <n v="6496.8860000000004"/>
        <n v="6500.2358999999997"/>
        <n v="6548.1950500000003"/>
        <n v="6551.7501000000002"/>
        <n v="6555.07035"/>
        <n v="6571.0243499999997"/>
        <n v="6571.5439999999999"/>
        <n v="6593.5083000000004"/>
        <n v="6600.2059499999996"/>
        <n v="6600.3609999999999"/>
        <n v="6610.1097"/>
        <n v="6640.5448500000002"/>
        <n v="6652.5288"/>
        <n v="6653.7885999999999"/>
        <n v="6664.68595"/>
        <n v="6666.2430000000004"/>
        <n v="6686.4313000000002"/>
        <n v="6710.1918999999998"/>
        <n v="6746.7425000000003"/>
        <n v="6748.5911999999998"/>
        <n v="6753.0379999999996"/>
        <n v="6770.1925000000001"/>
        <n v="6775.9610000000002"/>
        <n v="6781.3541999999998"/>
        <n v="6796.8632500000003"/>
        <n v="6799.4579999999996"/>
        <n v="6837.3687"/>
        <n v="6849.0259999999998"/>
        <n v="6858.4795999999997"/>
        <n v="6875.9610000000002"/>
        <n v="6877.9800999999998"/>
        <n v="6933.2422500000002"/>
        <n v="6940.90985"/>
        <n v="6948.7007999999996"/>
        <n v="6985.50695"/>
        <n v="6986.6970000000001"/>
        <n v="7045.4989999999998"/>
        <n v="7046.7222000000002"/>
        <n v="7050.0213000000003"/>
        <n v="7050.6419999999998"/>
        <n v="7077.1894000000002"/>
        <n v="7133.9025000000001"/>
        <n v="7144.86265"/>
        <n v="7147.1049999999996"/>
        <n v="7147.4727999999996"/>
        <n v="7151.0919999999996"/>
        <n v="7152.6714000000002"/>
        <n v="7153.5538999999999"/>
        <n v="7160.0940000000001"/>
        <n v="7160.3302999999996"/>
        <n v="7162.0122000000001"/>
        <n v="7173.35995"/>
        <n v="7196.8670000000002"/>
        <n v="7201.7008500000002"/>
        <n v="7209.4917999999998"/>
        <n v="7222.7862500000001"/>
        <n v="7228.2156500000001"/>
        <n v="7243.8136000000004"/>
        <n v="7256.7231000000002"/>
        <n v="7261.741"/>
        <n v="7265.7025000000003"/>
        <n v="7281.5056000000004"/>
        <n v="7323.7348190000002"/>
        <n v="7325.0482000000002"/>
        <n v="7337.7479999999996"/>
        <n v="7345.0839999999998"/>
        <n v="7345.7266"/>
        <n v="7348.1419999999998"/>
        <n v="7358.1756500000001"/>
        <n v="7371.7719999999999"/>
        <n v="7418.5219999999999"/>
        <n v="7419.4778999999999"/>
        <n v="7421.1945500000002"/>
        <n v="7441.0529999999999"/>
        <n v="7441.5010000000002"/>
        <n v="7443.6430499999997"/>
        <n v="7445.9179999999997"/>
        <n v="7448.4039499999999"/>
        <n v="7512.2669999999998"/>
        <n v="7518.0253499999999"/>
        <n v="7526.7064499999997"/>
        <n v="7537.1638999999996"/>
        <n v="7623.518"/>
        <n v="7624.63"/>
        <n v="7626.9930000000004"/>
        <n v="7633.7205999999996"/>
        <n v="7639.4174499999999"/>
        <n v="7640.3091999999997"/>
        <n v="7650.7737500000003"/>
        <n v="7682.67"/>
        <n v="7726.8540000000003"/>
        <n v="7727.2532000000001"/>
        <n v="7729.6457499999997"/>
        <n v="7731.4270999999999"/>
        <n v="7731.8578500000003"/>
        <n v="7740.3370000000004"/>
        <n v="7742.1098000000002"/>
        <n v="7749.1563999999998"/>
        <n v="7789.6350000000002"/>
        <n v="7804.1605"/>
        <n v="7935.29115"/>
        <n v="7954.5169999999998"/>
        <n v="7985.8149999999996"/>
        <n v="7986.4752500000004"/>
        <n v="8017.0611500000005"/>
        <n v="8023.1354499999998"/>
        <n v="8026.6665999999996"/>
        <n v="8027.9679999999998"/>
        <n v="8059.6791000000003"/>
        <n v="8062.7640000000001"/>
        <n v="8068.1850000000004"/>
        <n v="8083.9197999999997"/>
        <n v="8116.2688500000004"/>
        <n v="8116.68"/>
        <n v="8124.4084000000003"/>
        <n v="8125.7844999999998"/>
        <n v="8162.7162500000004"/>
        <n v="8211.1002000000008"/>
        <n v="8219.2039000000004"/>
        <n v="8232.6388000000006"/>
        <n v="8233.0974999999999"/>
        <n v="8240.5895999999993"/>
        <n v="8252.2842999999993"/>
        <n v="8269.0439999999999"/>
        <n v="8277.5229999999992"/>
        <n v="8280.6226999999999"/>
        <n v="8283.6807000000008"/>
        <n v="8302.5356499999998"/>
        <n v="8310.8391499999998"/>
        <n v="8334.4575499999992"/>
        <n v="8334.5895999999993"/>
        <n v="8342.9087500000005"/>
        <n v="8347.1643000000004"/>
        <n v="8410.0468500000006"/>
        <n v="8413.4630500000003"/>
        <n v="8428.0692999999992"/>
        <n v="8442.6669999999995"/>
        <n v="8444.4740000000002"/>
        <n v="8457.8179999999993"/>
        <n v="8515.7587000000003"/>
        <n v="8516.8289999999997"/>
        <n v="8520.0259999999998"/>
        <n v="8522.0030000000006"/>
        <n v="8527.5319999999992"/>
        <n v="8534.6718000000001"/>
        <n v="8538.28845"/>
        <n v="8539.6710000000003"/>
        <n v="8547.6913000000004"/>
        <n v="8551.3469999999998"/>
        <n v="8556.9069999999992"/>
        <n v="8569.8618000000006"/>
        <n v="8582.3022999999994"/>
        <n v="8596.8277999999991"/>
        <n v="8601.3292999999994"/>
        <n v="8603.8233999999993"/>
        <n v="8604.4836500000001"/>
        <n v="8605.3615000000009"/>
        <n v="8606.2173999999995"/>
        <n v="8615.2999999999993"/>
        <n v="8627.5411000000004"/>
        <n v="8671.1912499999999"/>
        <n v="8688.8588500000005"/>
        <n v="8703.4560000000001"/>
        <n v="8733.2292500000003"/>
        <n v="8765.2489999999998"/>
        <n v="8782.4689999999991"/>
        <n v="8798.5930000000008"/>
        <n v="8823.2790000000005"/>
        <n v="8823.9857499999998"/>
        <n v="8825.0859999999993"/>
        <n v="8827.2098999999998"/>
        <n v="8835.2649500000007"/>
        <n v="8871.1517000000003"/>
        <n v="8891.1394999999993"/>
        <n v="8930.9345499999999"/>
        <n v="8932.0840000000007"/>
        <n v="8944.1151000000009"/>
        <n v="8964.0605500000001"/>
        <n v="8965.7957499999993"/>
        <n v="8968.33"/>
        <n v="8978.1851000000006"/>
        <n v="8988.1587500000005"/>
        <n v="9048.0272999999997"/>
        <n v="9058.7302999999993"/>
        <n v="9095.0682500000003"/>
        <n v="9101.7980000000007"/>
        <n v="9140.9509999999991"/>
        <n v="9144.5650000000005"/>
        <n v="9174.1356500000002"/>
        <n v="9182.17"/>
        <n v="9193.8384999999998"/>
        <n v="9222.4025999999994"/>
        <n v="9225.2564000000002"/>
        <n v="9249.4951999999994"/>
        <n v="9264.7970000000005"/>
        <n v="9282.4806000000008"/>
        <n v="9283.5619999999999"/>
        <n v="9288.0267000000003"/>
        <n v="9290.1394999999993"/>
        <n v="9301.8935500000007"/>
        <n v="9304.7019"/>
        <n v="9361.3268000000007"/>
        <n v="9377.9046999999991"/>
        <n v="9386.1612999999998"/>
        <n v="9391.3459999999995"/>
        <n v="9411.0049999999992"/>
        <n v="9414.92"/>
        <n v="9432.9253000000008"/>
        <n v="9447.2503500000003"/>
        <n v="9447.3824000000004"/>
        <n v="9487.6442000000006"/>
        <n v="9500.5730500000009"/>
        <n v="9504.3102999999992"/>
        <n v="9541.6955500000004"/>
        <n v="9549.5650999999998"/>
        <n v="9563.0290000000005"/>
        <n v="9566.9909000000007"/>
        <n v="9583.8932999999997"/>
        <n v="9617.6624499999998"/>
        <n v="9620.3307000000004"/>
        <n v="9625.92"/>
        <n v="9630.3970000000008"/>
        <n v="9634.5380000000005"/>
        <n v="9644.2525000000005"/>
        <n v="9704.6680500000002"/>
        <n v="9715.8410000000003"/>
        <n v="9722.7695000000003"/>
        <n v="9724.5300000000007"/>
        <n v="9748.9105999999992"/>
        <n v="9778.3472000000002"/>
        <n v="9788.8659000000007"/>
        <n v="9800.8881999999994"/>
        <n v="9850.4320000000007"/>
        <n v="9855.1314000000002"/>
        <n v="9861.0249999999996"/>
        <n v="9863.4717999999993"/>
        <n v="9866.3048500000004"/>
        <n v="9869.8101999999999"/>
        <n v="9872.7009999999991"/>
        <n v="9875.6803999999993"/>
        <n v="9877.6077000000005"/>
        <n v="9880.0679999999993"/>
        <n v="9910.3598500000007"/>
        <n v="9957.7216000000008"/>
        <n v="9964.06"/>
        <n v="9991.0376500000002"/>
        <n v="10043.249"/>
        <n v="10065.413"/>
        <n v="10072.055050000001"/>
        <n v="10085.846"/>
        <n v="10096.969999999999"/>
        <n v="10106.134249999999"/>
        <n v="10107.220600000001"/>
        <n v="10115.00885"/>
        <n v="10118.424000000001"/>
        <n v="10141.136200000001"/>
        <n v="10156.7832"/>
        <n v="10197.772199999999"/>
        <n v="10214.636"/>
        <n v="10226.2842"/>
        <n v="10231.499900000001"/>
        <n v="10264.4421"/>
        <n v="10269.459999999999"/>
        <n v="10325.206"/>
        <n v="10338.9316"/>
        <n v="10355.641"/>
        <n v="10370.912549999999"/>
        <n v="10381.4787"/>
        <n v="10407.085849999999"/>
        <n v="10422.916649999999"/>
        <n v="10435.06525"/>
        <n v="10436.096"/>
        <n v="10450.552"/>
        <n v="10461.9794"/>
        <n v="10493.9458"/>
        <n v="10560.4917"/>
        <n v="10564.8845"/>
        <n v="10577.087"/>
        <n v="10579.710999999999"/>
        <n v="10594.225700000001"/>
        <n v="10594.501550000001"/>
        <n v="10600.5483"/>
        <n v="10601.412"/>
        <n v="10601.632250000001"/>
        <n v="10602.385"/>
        <n v="10702.642400000001"/>
        <n v="10704.47"/>
        <n v="10713.644"/>
        <n v="10736.87075"/>
        <n v="10791.96"/>
        <n v="10795.937330000001"/>
        <n v="10796.35025"/>
        <n v="10797.3362"/>
        <n v="10806.839"/>
        <n v="10807.4863"/>
        <n v="10825.253699999999"/>
        <n v="10848.1343"/>
        <n v="10923.933199999999"/>
        <n v="10928.849"/>
        <n v="10942.13205"/>
        <n v="10959.33"/>
        <n v="10959.6947"/>
        <n v="10965.446"/>
        <n v="10976.24575"/>
        <n v="10977.2063"/>
        <n v="10982.5013"/>
        <n v="11013.7119"/>
        <n v="11015.1747"/>
        <n v="11033.661700000001"/>
        <n v="11070.535"/>
        <n v="11073.175999999999"/>
        <n v="11082.5772"/>
        <n v="11085.586799999999"/>
        <n v="11090.7178"/>
        <n v="11093.6229"/>
        <n v="11150.78"/>
        <n v="11163.567999999999"/>
        <n v="11165.417649999999"/>
        <n v="11187.6567"/>
        <n v="11244.376899999999"/>
        <n v="11253.421"/>
        <n v="11264.540999999999"/>
        <n v="11272.331389999999"/>
        <n v="11286.538699999999"/>
        <n v="11289.10925"/>
        <n v="11299.343000000001"/>
        <n v="11305.93455"/>
        <n v="11326.71487"/>
        <n v="11345.519"/>
        <n v="11353.2276"/>
        <n v="11356.660900000001"/>
        <n v="11362.754999999999"/>
        <n v="11363.2832"/>
        <n v="11365.951999999999"/>
        <n v="11381.3254"/>
        <n v="11394.065549999999"/>
        <n v="11396.9002"/>
        <n v="11411.684999999999"/>
        <n v="11436.738149999999"/>
        <n v="11454.021500000001"/>
        <n v="11455.28"/>
        <n v="11482.63485"/>
        <n v="11488.31695"/>
        <n v="11512.405000000001"/>
        <n v="11520.099850000001"/>
        <n v="11534.872649999999"/>
        <n v="11538.421"/>
        <n v="11552.904"/>
        <n v="11554.223599999999"/>
        <n v="11566.30055"/>
        <n v="11576.13"/>
        <n v="11657.7189"/>
        <n v="11658.11505"/>
        <n v="11658.379150000001"/>
        <n v="11674.13"/>
        <n v="11729.6795"/>
        <n v="11735.87905"/>
        <n v="11737.848840000001"/>
        <n v="11741.726000000001"/>
        <n v="11743.299000000001"/>
        <n v="11743.9341"/>
        <n v="11763.000899999999"/>
        <n v="11830.6072"/>
        <n v="11833.782300000001"/>
        <n v="11837.16"/>
        <n v="11840.77505"/>
        <n v="11842.441999999999"/>
        <n v="11842.623750000001"/>
        <n v="11848.141"/>
        <n v="11856.4115"/>
        <n v="11879.10405"/>
        <n v="11881.358"/>
        <n v="11881.9696"/>
        <n v="11884.048580000001"/>
        <n v="11931.125249999999"/>
        <n v="11938.255950000001"/>
        <n v="11944.594349999999"/>
        <n v="11945.1327"/>
        <n v="11946.625899999999"/>
        <n v="11987.1682"/>
        <n v="12029.286700000001"/>
        <n v="12032.325999999999"/>
        <n v="12044.342000000001"/>
        <n v="12094.477999999999"/>
        <n v="12096.6512"/>
        <n v="12105.32"/>
        <n v="12124.992399999999"/>
        <n v="12129.614149999999"/>
        <n v="12142.578600000001"/>
        <n v="12146.971"/>
        <n v="12222.898300000001"/>
        <n v="12224.350850000001"/>
        <n v="12231.613600000001"/>
        <n v="12233.828"/>
        <n v="12235.8392"/>
        <n v="12244.531000000001"/>
        <n v="12265.5069"/>
        <n v="12268.632250000001"/>
        <n v="12269.68865"/>
        <n v="12323.936"/>
        <n v="12333.828"/>
        <n v="12347.172"/>
        <n v="12363.547"/>
        <n v="12404.8791"/>
        <n v="12430.95335"/>
        <n v="12475.3513"/>
        <n v="12479.70895"/>
        <n v="12485.8009"/>
        <n v="12495.290849999999"/>
        <n v="12523.604799999999"/>
        <n v="12557.605299999999"/>
        <n v="12574.049000000001"/>
        <n v="12592.5345"/>
        <n v="12609.88702"/>
        <n v="12622.1795"/>
        <n v="12629.1656"/>
        <n v="12629.896699999999"/>
        <n v="12638.195"/>
        <n v="12643.3778"/>
        <n v="12644.589"/>
        <n v="12646.207"/>
        <n v="12648.7034"/>
        <n v="12730.999599999999"/>
        <n v="12741.167450000001"/>
        <n v="12797.20962"/>
        <n v="12815.444949999999"/>
        <n v="12829.455099999999"/>
        <n v="12890.057650000001"/>
        <n v="12913.992399999999"/>
        <n v="12925.886"/>
        <n v="12928.7911"/>
        <n v="12949.1554"/>
        <n v="12950.0712"/>
        <n v="12957.118"/>
        <n v="12979.358"/>
        <n v="12981.3457"/>
        <n v="12982.8747"/>
        <n v="13012.20865"/>
        <n v="13019.161050000001"/>
        <n v="13041.921"/>
        <n v="13047.332350000001"/>
        <n v="13063.883"/>
        <n v="13112.604799999999"/>
        <n v="13126.677449999999"/>
        <n v="13129.603450000001"/>
        <n v="13143.336649999999"/>
        <n v="13143.86485"/>
        <n v="13204.28565"/>
        <n v="13217.094499999999"/>
        <n v="13224.057049999999"/>
        <n v="13224.692999999999"/>
        <n v="13228.846949999999"/>
        <n v="13352.0998"/>
        <n v="13390.558999999999"/>
        <n v="13393.755999999999"/>
        <n v="13405.390299999999"/>
        <n v="13415.0381"/>
        <n v="13429.035400000001"/>
        <n v="13430.264999999999"/>
        <n v="13451.121999999999"/>
        <n v="13457.960800000001"/>
        <n v="13462.52"/>
        <n v="13470.804400000001"/>
        <n v="13470.86"/>
        <n v="13555.0049"/>
        <n v="13607.36875"/>
        <n v="13616.3586"/>
        <n v="13635.6379"/>
        <n v="13725.47184"/>
        <n v="13747.87235"/>
        <n v="13770.097900000001"/>
        <n v="13822.803"/>
        <n v="13831.1152"/>
        <n v="13844.505999999999"/>
        <n v="13844.797200000001"/>
        <n v="13880.949000000001"/>
        <n v="13887.204"/>
        <n v="13887.968500000001"/>
        <n v="13919.822899999999"/>
        <n v="13937.666499999999"/>
        <n v="13974.455550000001"/>
        <n v="13981.850350000001"/>
        <n v="14001.1338"/>
        <n v="14001.286700000001"/>
        <n v="14007.222"/>
        <n v="14043.476699999999"/>
        <n v="14119.62"/>
        <n v="14133.03775"/>
        <n v="14210.53595"/>
        <n v="14235.072"/>
        <n v="14254.608200000001"/>
        <n v="14256.192800000001"/>
        <n v="14283.4594"/>
        <n v="14313.846299999999"/>
        <n v="14319.031000000001"/>
        <n v="14349.8544"/>
        <n v="14358.364369999999"/>
        <n v="14382.709049999999"/>
        <n v="14394.398150000001"/>
        <n v="14394.5579"/>
        <n v="14410.9321"/>
        <n v="14418.2804"/>
        <n v="14426.073850000001"/>
        <n v="14449.8544"/>
        <n v="14451.835150000001"/>
        <n v="14455.644050000001"/>
        <n v="14474.674999999999"/>
        <n v="14478.33015"/>
        <n v="14571.890799999999"/>
        <n v="14590.63205"/>
        <n v="14692.66935"/>
        <n v="14711.7438"/>
        <n v="14901.5167"/>
        <n v="14988.432000000001"/>
        <n v="15006.579449999999"/>
        <n v="15019.760050000001"/>
        <n v="15161.5344"/>
        <n v="15170.069"/>
        <n v="15230.324049999999"/>
        <n v="15359.104499999999"/>
        <n v="15518.180249999999"/>
        <n v="15555.188749999999"/>
        <n v="15612.19335"/>
        <n v="15817.985699999999"/>
        <n v="15820.699000000001"/>
        <n v="15828.82173"/>
        <n v="16069.08475"/>
        <n v="16085.127500000001"/>
        <n v="16115.3045"/>
        <n v="16138.762049999999"/>
        <n v="16232.847"/>
        <n v="16297.846"/>
        <n v="16420.494549999999"/>
        <n v="16450.894700000001"/>
        <n v="16455.707849999999"/>
        <n v="16577.779500000001"/>
        <n v="16586.49771"/>
        <n v="16657.71745"/>
        <n v="16776.304049999999"/>
        <n v="16796.411940000002"/>
        <n v="16884.923999999999"/>
        <n v="17043.341400000001"/>
        <n v="17081.080000000002"/>
        <n v="17085.267599999999"/>
        <n v="17128.426080000001"/>
        <n v="17178.682400000002"/>
        <n v="17179.522000000001"/>
        <n v="17352.6803"/>
        <n v="17361.766100000001"/>
        <n v="17468.983899999999"/>
        <n v="17496.306"/>
        <n v="17560.37975"/>
        <n v="17626.239509999999"/>
        <n v="17663.144199999999"/>
        <n v="17748.5062"/>
        <n v="17878.900679999999"/>
        <n v="17904.527050000001"/>
        <n v="17929.303370000001"/>
        <n v="17942.106"/>
        <n v="18033.9679"/>
        <n v="18157.876"/>
        <n v="18218.161390000001"/>
        <n v="18223.4512"/>
        <n v="18246.495500000001"/>
        <n v="18259.216"/>
        <n v="18310.741999999998"/>
        <n v="18328.238099999999"/>
        <n v="18608.261999999999"/>
        <n v="18648.421699999999"/>
        <n v="18765.87545"/>
        <n v="18767.737700000001"/>
        <n v="18804.752400000001"/>
        <n v="18806.145469999999"/>
        <n v="18838.703659999999"/>
        <n v="18903.491409999999"/>
        <n v="18955.220170000001"/>
        <n v="18963.171920000001"/>
        <n v="18972.494999999999"/>
        <n v="19023.259999999998"/>
        <n v="19040.876"/>
        <n v="19107.779600000002"/>
        <n v="19144.576519999999"/>
        <n v="19199.944"/>
        <n v="19214.705529999999"/>
        <n v="19350.368900000001"/>
        <n v="19361.998800000001"/>
        <n v="19442.353500000001"/>
        <n v="19444.265800000001"/>
        <n v="19496.71917"/>
        <n v="19515.5416"/>
        <n v="19521.968199999999"/>
        <n v="19539.242999999999"/>
        <n v="19594.809649999999"/>
        <n v="19673.335729999999"/>
        <n v="19719.6947"/>
        <n v="19749.383379999999"/>
        <n v="19798.054550000001"/>
        <n v="19933.457999999999"/>
        <n v="19964.746299999999"/>
        <n v="20009.63365"/>
        <n v="20149.322899999999"/>
        <n v="20167.336029999999"/>
        <n v="20177.671129999999"/>
        <n v="20234.854749999999"/>
        <n v="20277.807509999999"/>
        <n v="20296.863450000001"/>
        <n v="20420.604650000001"/>
        <n v="20462.997660000001"/>
        <n v="20630.283510000001"/>
        <n v="20709.020339999999"/>
        <n v="20745.989099999999"/>
        <n v="20773.62775"/>
        <n v="20781.48892"/>
        <n v="20878.78443"/>
        <n v="20984.0936"/>
        <n v="21082.16"/>
        <n v="21098.554049999999"/>
        <n v="21195.817999999999"/>
        <n v="21223.675800000001"/>
        <n v="21232.182260000001"/>
        <n v="21259.377949999998"/>
        <n v="21344.846699999998"/>
        <n v="21348.705999999998"/>
        <n v="21472.478800000001"/>
        <n v="21595.382290000001"/>
        <n v="21659.930100000001"/>
        <n v="21677.283449999999"/>
        <n v="21771.3423"/>
        <n v="21774.32215"/>
        <n v="21797.000400000001"/>
        <n v="21880.82"/>
        <n v="21978.676899999999"/>
        <n v="21984.47061"/>
        <n v="22144.031999999999"/>
        <n v="22192.437109999999"/>
        <n v="22218.1149"/>
        <n v="22331.566800000001"/>
        <n v="22395.74424"/>
        <n v="22412.648499999999"/>
        <n v="22462.043750000001"/>
        <n v="22478.6"/>
        <n v="22493.659640000002"/>
        <n v="23045.566159999998"/>
        <n v="23065.420699999999"/>
        <n v="23082.955330000001"/>
        <n v="23241.47453"/>
        <n v="23244.790199999999"/>
        <n v="23288.928400000001"/>
        <n v="23306.546999999999"/>
        <n v="23401.30575"/>
        <n v="23563.016179999999"/>
        <n v="23568.272000000001"/>
        <n v="23807.240600000001"/>
        <n v="23887.662700000001"/>
        <n v="23967.38305"/>
        <n v="24059.680189999999"/>
        <n v="24106.912550000001"/>
        <n v="24180.933499999999"/>
        <n v="24227.337240000001"/>
        <n v="24393.6224"/>
        <n v="24476.478510000001"/>
        <n v="24513.091260000001"/>
        <n v="24520.263999999999"/>
        <n v="24535.698550000001"/>
        <n v="24603.04837"/>
        <n v="24667.419000000002"/>
        <n v="24671.663339999999"/>
        <n v="24869.836800000001"/>
        <n v="24873.384900000001"/>
        <n v="24915.046259999999"/>
        <n v="24915.220850000002"/>
        <n v="25081.76784"/>
        <n v="25309.489000000001"/>
        <n v="25333.332839999999"/>
        <n v="25382.296999999999"/>
        <n v="25517.11363"/>
        <n v="25656.575260000001"/>
        <n v="25678.778450000002"/>
        <n v="25992.821039999999"/>
        <n v="26018.950519999999"/>
        <n v="26109.32905"/>
        <n v="26125.674770000001"/>
        <n v="26140.3603"/>
        <n v="26236.579969999999"/>
        <n v="26392.260289999998"/>
        <n v="26467.09737"/>
        <n v="26926.5144"/>
        <n v="27000.98473"/>
        <n v="27037.914100000002"/>
        <n v="27117.993780000001"/>
        <n v="27218.437249999999"/>
        <n v="27322.73386"/>
        <n v="27346.04207"/>
        <n v="27375.904780000001"/>
        <n v="27533.912899999999"/>
        <n v="27724.28875"/>
        <n v="27808.7251"/>
        <n v="27941.28758"/>
        <n v="28101.333050000001"/>
        <n v="28287.897659999999"/>
        <n v="28340.188849999999"/>
        <n v="28468.919010000001"/>
        <n v="28476.734990000001"/>
        <n v="28868.6639"/>
        <n v="28923.136920000001"/>
        <n v="28950.4692"/>
        <n v="29141.3603"/>
        <n v="29186.482360000002"/>
        <n v="29330.98315"/>
        <n v="29523.1656"/>
        <n v="30063.580549999999"/>
        <n v="30166.618170000002"/>
        <n v="30184.936699999998"/>
        <n v="30259.995559999999"/>
        <n v="30284.642940000002"/>
        <n v="30942.191800000001"/>
        <n v="31620.001059999999"/>
        <n v="32108.662820000001"/>
        <n v="32548.340499999998"/>
        <n v="32734.186300000001"/>
        <n v="32787.458590000002"/>
        <n v="33307.550799999997"/>
        <n v="33471.971890000001"/>
        <n v="33475.817150000003"/>
        <n v="33732.686699999998"/>
        <n v="33750.291799999999"/>
        <n v="33900.652999999998"/>
        <n v="33907.548000000003"/>
        <n v="34166.273000000001"/>
        <n v="34254.053350000002"/>
        <n v="34303.167200000004"/>
        <n v="34439.855900000002"/>
        <n v="34472.841"/>
        <n v="34617.840649999998"/>
        <n v="34672.147199999999"/>
        <n v="34779.614999999998"/>
        <n v="34806.467700000001"/>
        <n v="34828.654000000002"/>
        <n v="34838.873"/>
        <n v="35069.374519999998"/>
        <n v="35147.528480000001"/>
        <n v="35160.134570000002"/>
        <n v="35491.64"/>
        <n v="35585.576000000001"/>
        <n v="35595.589800000002"/>
        <n v="36021.011200000001"/>
        <n v="36085.218999999997"/>
        <n v="36124.573700000001"/>
        <n v="36149.483500000002"/>
        <n v="36189.101699999999"/>
        <n v="36197.699000000001"/>
        <n v="36219.405449999998"/>
        <n v="36307.798300000002"/>
        <n v="36397.576000000001"/>
        <n v="36580.282160000002"/>
        <n v="36837.466999999997"/>
        <n v="36898.733079999998"/>
        <n v="36910.608030000003"/>
        <n v="36950.256699999998"/>
        <n v="37079.372000000003"/>
        <n v="37133.898200000003"/>
        <n v="37165.163800000002"/>
        <n v="37270.1512"/>
        <n v="37465.34375"/>
        <n v="37484.4493"/>
        <n v="37607.527699999999"/>
        <n v="37701.876799999998"/>
        <n v="37742.575700000001"/>
        <n v="37829.724199999997"/>
        <n v="38126.246500000001"/>
        <n v="38245.593269999998"/>
        <n v="38282.749499999998"/>
        <n v="38344.565999999999"/>
        <n v="38415.474000000002"/>
        <n v="38511.628299999997"/>
        <n v="38709.175999999999"/>
        <n v="38711"/>
        <n v="38746.355100000001"/>
        <n v="38792.685599999997"/>
        <n v="38998.546000000002"/>
        <n v="39047.285000000003"/>
        <n v="39125.332249999999"/>
        <n v="39241.442000000003"/>
        <n v="39556.494500000001"/>
        <n v="39597.407200000001"/>
        <n v="39611.757700000002"/>
        <n v="39722.746200000001"/>
        <n v="39725.518049999999"/>
        <n v="39727.614000000001"/>
        <n v="39774.276299999998"/>
        <n v="39836.519"/>
        <n v="39871.704299999998"/>
        <n v="39983.425949999997"/>
        <n v="40003.332249999999"/>
        <n v="40103.89"/>
        <n v="40182.245999999999"/>
        <n v="40273.645499999999"/>
        <n v="40419.019099999998"/>
        <n v="40720.551050000002"/>
        <n v="40904.199500000002"/>
        <n v="40932.429499999998"/>
        <n v="40941.285400000001"/>
        <n v="40974.164900000003"/>
        <n v="41034.221400000002"/>
        <n v="41097.161749999999"/>
        <n v="41661.601999999999"/>
        <n v="41676.081100000003"/>
        <n v="41919.097000000002"/>
        <n v="41949.244100000004"/>
        <n v="41999.519999999997"/>
        <n v="42111.664700000001"/>
        <n v="42112.2356"/>
        <n v="42124.515299999999"/>
        <n v="42211.138200000001"/>
        <n v="42303.692150000003"/>
        <n v="42560.430399999997"/>
        <n v="42760.502200000003"/>
        <n v="42856.838000000003"/>
        <n v="42969.852700000003"/>
        <n v="42983.458500000001"/>
        <n v="43254.417950000003"/>
        <n v="43578.939400000003"/>
        <n v="43753.337050000002"/>
        <n v="43813.866099999999"/>
        <n v="43896.376300000004"/>
        <n v="43921.183700000001"/>
        <n v="43943.876100000001"/>
        <n v="44202.653599999998"/>
        <n v="44260.749900000003"/>
        <n v="44400.4064"/>
        <n v="44423.803"/>
        <n v="44501.398200000003"/>
        <n v="44585.455869999998"/>
        <n v="44641.197399999997"/>
        <n v="45008.955499999996"/>
        <n v="45702.022349999999"/>
        <n v="45710.207849999999"/>
        <n v="45863.205000000002"/>
        <n v="46113.510999999999"/>
        <n v="46130.5265"/>
        <n v="46151.124499999998"/>
        <n v="46200.985099999998"/>
        <n v="46255.112500000003"/>
        <n v="46599.108399999997"/>
        <n v="46661.4424"/>
        <n v="46718.163249999998"/>
        <n v="46889.261200000001"/>
        <n v="47055.532099999997"/>
        <n v="47269.853999999999"/>
        <n v="47291.055"/>
        <n v="47305.305"/>
        <n v="47403.88"/>
        <n v="47462.894"/>
        <n v="47496.494449999998"/>
        <n v="47896.79135"/>
        <n v="47928.03"/>
        <n v="48173.360999999997"/>
        <n v="48517.563150000002"/>
        <n v="48549.178350000002"/>
        <n v="48673.558799999999"/>
        <n v="48675.517699999997"/>
        <n v="48824.45"/>
        <n v="48885.135609999998"/>
        <n v="48970.247600000002"/>
        <n v="49577.662400000001"/>
        <n v="51194.559139999998"/>
        <n v="52590.829389999999"/>
        <n v="55135.402090000003"/>
        <n v="58571.074480000003"/>
        <n v="60021.398970000002"/>
        <n v="62592.873090000001"/>
        <n v="63770.428010000003"/>
        <m/>
      </sharedItems>
    </cacheField>
    <cacheField name="Age group(Broad)" numFmtId="0">
      <sharedItems containsBlank="1" count="4">
        <s v="Youth"/>
        <s v="Adult"/>
        <s v="Older"/>
        <m/>
      </sharedItems>
    </cacheField>
    <cacheField name="Age Group (Detailed)" numFmtId="0">
      <sharedItems containsBlank="1"/>
    </cacheField>
    <cacheField name="BMI category " numFmtId="0">
      <sharedItems containsBlank="1" count="2">
        <s v="Obese"/>
        <m/>
      </sharedItems>
    </cacheField>
    <cacheField name="Charge Band" numFmtId="0">
      <sharedItems containsBlank="1"/>
    </cacheField>
  </cacheFields>
  <extLst>
    <ext xmlns:x14="http://schemas.microsoft.com/office/spreadsheetml/2009/9/main" uri="{725AE2AE-9491-48be-B2B4-4EB974FC3084}">
      <x14:pivotCacheDefinition pivotCacheId="140831274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hosh thota" refreshedDate="46165.005045486112" createdVersion="8" refreshedVersion="8" minRefreshableVersion="3" recordCount="1337" xr:uid="{8DA82551-9618-45E7-A8CC-9068CB86D36A}">
  <cacheSource type="worksheet">
    <worksheetSource name="Table13"/>
  </cacheSource>
  <cacheFields count="11">
    <cacheField name="age" numFmtId="0">
      <sharedItems containsSemiMixedTypes="0" containsString="0" containsNumber="1" containsInteger="1" minValue="18" maxValue="64"/>
    </cacheField>
    <cacheField name="sex" numFmtId="49">
      <sharedItems/>
    </cacheField>
    <cacheField name="bmi" numFmtId="0">
      <sharedItems containsSemiMixedTypes="0" containsString="0" containsNumber="1" minValue="15.96" maxValue="53.13"/>
    </cacheField>
    <cacheField name="children" numFmtId="0">
      <sharedItems containsSemiMixedTypes="0" containsString="0" containsNumber="1" containsInteger="1" minValue="0" maxValue="5"/>
    </cacheField>
    <cacheField name="smoker" numFmtId="0">
      <sharedItems/>
    </cacheField>
    <cacheField name="region" numFmtId="0">
      <sharedItems/>
    </cacheField>
    <cacheField name="charges" numFmtId="164">
      <sharedItems containsSemiMixedTypes="0" containsString="0" containsNumber="1" minValue="1121.8739" maxValue="63770.428010000003"/>
    </cacheField>
    <cacheField name="Age group(Broad)" numFmtId="0">
      <sharedItems/>
    </cacheField>
    <cacheField name="Age Group (Detailed)" numFmtId="0">
      <sharedItems/>
    </cacheField>
    <cacheField name="BMI category " numFmtId="0">
      <sharedItems count="4">
        <s v="Underweight"/>
        <s v="Normal"/>
        <s v="Overweight"/>
        <s v="Obese"/>
      </sharedItems>
    </cacheField>
    <cacheField name="Charge Band" numFmtId="0">
      <sharedItems/>
    </cacheField>
  </cacheFields>
  <extLst>
    <ext xmlns:x14="http://schemas.microsoft.com/office/spreadsheetml/2009/9/main" uri="{725AE2AE-9491-48be-B2B4-4EB974FC3084}">
      <x14:pivotCacheDefinition pivotCacheId="20677791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42">
  <r>
    <x v="0"/>
    <x v="0"/>
    <n v="15.96"/>
    <x v="0"/>
    <x v="0"/>
    <x v="0"/>
    <x v="0"/>
    <x v="0"/>
    <s v="18-25"/>
    <x v="0"/>
    <s v="Low"/>
  </r>
  <r>
    <x v="0"/>
    <x v="1"/>
    <n v="16.815000000000001"/>
    <x v="0"/>
    <x v="1"/>
    <x v="1"/>
    <x v="1"/>
    <x v="0"/>
    <s v="18-25"/>
    <x v="0"/>
    <s v="Low"/>
  </r>
  <r>
    <x v="0"/>
    <x v="1"/>
    <n v="16.815000000000001"/>
    <x v="0"/>
    <x v="1"/>
    <x v="1"/>
    <x v="2"/>
    <x v="0"/>
    <s v="18-25"/>
    <x v="0"/>
    <s v="Low"/>
  </r>
  <r>
    <x v="0"/>
    <x v="1"/>
    <n v="17.195"/>
    <x v="0"/>
    <x v="1"/>
    <x v="2"/>
    <x v="3"/>
    <x v="0"/>
    <s v="18-25"/>
    <x v="0"/>
    <s v="Low"/>
  </r>
  <r>
    <x v="0"/>
    <x v="1"/>
    <n v="17.29"/>
    <x v="0"/>
    <x v="1"/>
    <x v="2"/>
    <x v="4"/>
    <x v="0"/>
    <s v="18-25"/>
    <x v="0"/>
    <s v="Low"/>
  </r>
  <r>
    <x v="0"/>
    <x v="0"/>
    <n v="17.29"/>
    <x v="0"/>
    <x v="1"/>
    <x v="1"/>
    <x v="5"/>
    <x v="0"/>
    <s v="18-25"/>
    <x v="0"/>
    <s v="Low"/>
  </r>
  <r>
    <x v="0"/>
    <x v="0"/>
    <n v="17.29"/>
    <x v="0"/>
    <x v="1"/>
    <x v="1"/>
    <x v="6"/>
    <x v="0"/>
    <s v="18-25"/>
    <x v="0"/>
    <s v="Low"/>
  </r>
  <r>
    <x v="0"/>
    <x v="0"/>
    <n v="17.385000000000002"/>
    <x v="0"/>
    <x v="1"/>
    <x v="2"/>
    <x v="7"/>
    <x v="0"/>
    <s v="18-25"/>
    <x v="0"/>
    <s v="Low"/>
  </r>
  <r>
    <x v="0"/>
    <x v="1"/>
    <n v="17.399999999999999"/>
    <x v="0"/>
    <x v="1"/>
    <x v="3"/>
    <x v="8"/>
    <x v="0"/>
    <s v="18-25"/>
    <x v="0"/>
    <s v="Low"/>
  </r>
  <r>
    <x v="0"/>
    <x v="0"/>
    <n v="17.48"/>
    <x v="0"/>
    <x v="1"/>
    <x v="2"/>
    <x v="9"/>
    <x v="0"/>
    <s v="18-25"/>
    <x v="0"/>
    <s v="Low"/>
  </r>
  <r>
    <x v="0"/>
    <x v="1"/>
    <n v="17.670000000000002"/>
    <x v="0"/>
    <x v="1"/>
    <x v="3"/>
    <x v="10"/>
    <x v="0"/>
    <s v="18-25"/>
    <x v="0"/>
    <s v="Low"/>
  </r>
  <r>
    <x v="0"/>
    <x v="0"/>
    <n v="17.765000000000001"/>
    <x v="0"/>
    <x v="0"/>
    <x v="1"/>
    <x v="11"/>
    <x v="0"/>
    <s v="18-25"/>
    <x v="0"/>
    <s v="Low"/>
  </r>
  <r>
    <x v="0"/>
    <x v="1"/>
    <n v="17.8"/>
    <x v="0"/>
    <x v="1"/>
    <x v="0"/>
    <x v="12"/>
    <x v="0"/>
    <s v="18-25"/>
    <x v="0"/>
    <s v="Low"/>
  </r>
  <r>
    <x v="0"/>
    <x v="0"/>
    <n v="17.86"/>
    <x v="0"/>
    <x v="1"/>
    <x v="1"/>
    <x v="13"/>
    <x v="0"/>
    <s v="18-25"/>
    <x v="0"/>
    <s v="Low"/>
  </r>
  <r>
    <x v="0"/>
    <x v="1"/>
    <n v="17.954999999999998"/>
    <x v="0"/>
    <x v="0"/>
    <x v="1"/>
    <x v="14"/>
    <x v="0"/>
    <s v="18-25"/>
    <x v="0"/>
    <s v="Low"/>
  </r>
  <r>
    <x v="0"/>
    <x v="1"/>
    <n v="18.05"/>
    <x v="0"/>
    <x v="1"/>
    <x v="0"/>
    <x v="15"/>
    <x v="0"/>
    <s v="18-25"/>
    <x v="0"/>
    <s v="Low"/>
  </r>
  <r>
    <x v="0"/>
    <x v="0"/>
    <n v="18.3"/>
    <x v="0"/>
    <x v="1"/>
    <x v="3"/>
    <x v="16"/>
    <x v="0"/>
    <s v="18-25"/>
    <x v="0"/>
    <s v="Low"/>
  </r>
  <r>
    <x v="0"/>
    <x v="1"/>
    <n v="18.335000000000001"/>
    <x v="0"/>
    <x v="1"/>
    <x v="3"/>
    <x v="17"/>
    <x v="0"/>
    <s v="18-25"/>
    <x v="0"/>
    <s v="Low"/>
  </r>
  <r>
    <x v="0"/>
    <x v="1"/>
    <n v="18.335000000000001"/>
    <x v="0"/>
    <x v="1"/>
    <x v="0"/>
    <x v="18"/>
    <x v="0"/>
    <s v="18-25"/>
    <x v="0"/>
    <s v="Low"/>
  </r>
  <r>
    <x v="0"/>
    <x v="1"/>
    <n v="18.335000000000001"/>
    <x v="0"/>
    <x v="0"/>
    <x v="0"/>
    <x v="19"/>
    <x v="0"/>
    <s v="18-25"/>
    <x v="0"/>
    <s v="Low"/>
  </r>
  <r>
    <x v="0"/>
    <x v="0"/>
    <n v="18.5"/>
    <x v="0"/>
    <x v="1"/>
    <x v="3"/>
    <x v="20"/>
    <x v="0"/>
    <s v="18-25"/>
    <x v="0"/>
    <s v="Low"/>
  </r>
  <r>
    <x v="0"/>
    <x v="0"/>
    <n v="18.600000000000001"/>
    <x v="0"/>
    <x v="1"/>
    <x v="0"/>
    <x v="21"/>
    <x v="0"/>
    <s v="18-25"/>
    <x v="0"/>
    <s v="Low"/>
  </r>
  <r>
    <x v="0"/>
    <x v="1"/>
    <n v="18.715"/>
    <x v="0"/>
    <x v="1"/>
    <x v="1"/>
    <x v="22"/>
    <x v="0"/>
    <s v="18-25"/>
    <x v="0"/>
    <s v="Low"/>
  </r>
  <r>
    <x v="0"/>
    <x v="0"/>
    <n v="18.905000000000001"/>
    <x v="0"/>
    <x v="0"/>
    <x v="3"/>
    <x v="23"/>
    <x v="0"/>
    <s v="18-25"/>
    <x v="0"/>
    <s v="Low"/>
  </r>
  <r>
    <x v="0"/>
    <x v="1"/>
    <n v="19"/>
    <x v="0"/>
    <x v="1"/>
    <x v="2"/>
    <x v="24"/>
    <x v="0"/>
    <s v="18-25"/>
    <x v="0"/>
    <s v="Low"/>
  </r>
  <r>
    <x v="0"/>
    <x v="0"/>
    <n v="19.094999999999999"/>
    <x v="0"/>
    <x v="1"/>
    <x v="1"/>
    <x v="25"/>
    <x v="0"/>
    <s v="18-25"/>
    <x v="0"/>
    <s v="Low"/>
  </r>
  <r>
    <x v="0"/>
    <x v="0"/>
    <n v="19.190000000000001"/>
    <x v="0"/>
    <x v="1"/>
    <x v="3"/>
    <x v="26"/>
    <x v="0"/>
    <s v="18-25"/>
    <x v="0"/>
    <s v="Low"/>
  </r>
  <r>
    <x v="0"/>
    <x v="0"/>
    <n v="19.3"/>
    <x v="0"/>
    <x v="1"/>
    <x v="2"/>
    <x v="27"/>
    <x v="0"/>
    <s v="18-25"/>
    <x v="0"/>
    <s v="Low"/>
  </r>
  <r>
    <x v="0"/>
    <x v="1"/>
    <n v="19.475000000000001"/>
    <x v="0"/>
    <x v="1"/>
    <x v="2"/>
    <x v="28"/>
    <x v="0"/>
    <s v="18-25"/>
    <x v="0"/>
    <s v="Low"/>
  </r>
  <r>
    <x v="0"/>
    <x v="1"/>
    <n v="19.57"/>
    <x v="0"/>
    <x v="0"/>
    <x v="0"/>
    <x v="29"/>
    <x v="0"/>
    <s v="18-25"/>
    <x v="0"/>
    <s v="Low"/>
  </r>
  <r>
    <x v="0"/>
    <x v="1"/>
    <n v="19.8"/>
    <x v="0"/>
    <x v="0"/>
    <x v="0"/>
    <x v="30"/>
    <x v="0"/>
    <s v="18-25"/>
    <x v="0"/>
    <s v="Low"/>
  </r>
  <r>
    <x v="0"/>
    <x v="0"/>
    <n v="19.8"/>
    <x v="0"/>
    <x v="1"/>
    <x v="3"/>
    <x v="31"/>
    <x v="0"/>
    <s v="18-25"/>
    <x v="0"/>
    <s v="Low"/>
  </r>
  <r>
    <x v="0"/>
    <x v="0"/>
    <n v="19.8"/>
    <x v="0"/>
    <x v="1"/>
    <x v="0"/>
    <x v="32"/>
    <x v="0"/>
    <s v="18-25"/>
    <x v="0"/>
    <s v="Low"/>
  </r>
  <r>
    <x v="0"/>
    <x v="1"/>
    <n v="19.855"/>
    <x v="0"/>
    <x v="1"/>
    <x v="2"/>
    <x v="33"/>
    <x v="0"/>
    <s v="18-25"/>
    <x v="0"/>
    <s v="Low"/>
  </r>
  <r>
    <x v="0"/>
    <x v="1"/>
    <n v="19.855"/>
    <x v="0"/>
    <x v="0"/>
    <x v="0"/>
    <x v="34"/>
    <x v="0"/>
    <s v="18-25"/>
    <x v="0"/>
    <s v="Low"/>
  </r>
  <r>
    <x v="0"/>
    <x v="1"/>
    <n v="19.95"/>
    <x v="0"/>
    <x v="1"/>
    <x v="2"/>
    <x v="35"/>
    <x v="0"/>
    <s v="18-25"/>
    <x v="0"/>
    <s v="Low"/>
  </r>
  <r>
    <x v="0"/>
    <x v="0"/>
    <n v="19.95"/>
    <x v="0"/>
    <x v="1"/>
    <x v="2"/>
    <x v="36"/>
    <x v="0"/>
    <s v="18-25"/>
    <x v="0"/>
    <s v="Low"/>
  </r>
  <r>
    <x v="0"/>
    <x v="1"/>
    <n v="19.95"/>
    <x v="0"/>
    <x v="1"/>
    <x v="0"/>
    <x v="37"/>
    <x v="0"/>
    <s v="18-25"/>
    <x v="0"/>
    <s v="Low"/>
  </r>
  <r>
    <x v="0"/>
    <x v="1"/>
    <n v="19.95"/>
    <x v="0"/>
    <x v="0"/>
    <x v="3"/>
    <x v="38"/>
    <x v="0"/>
    <s v="18-25"/>
    <x v="0"/>
    <s v="Low"/>
  </r>
  <r>
    <x v="0"/>
    <x v="1"/>
    <n v="19.95"/>
    <x v="0"/>
    <x v="0"/>
    <x v="0"/>
    <x v="39"/>
    <x v="0"/>
    <s v="18-25"/>
    <x v="0"/>
    <s v="Low"/>
  </r>
  <r>
    <x v="0"/>
    <x v="0"/>
    <n v="19.95"/>
    <x v="0"/>
    <x v="1"/>
    <x v="3"/>
    <x v="40"/>
    <x v="0"/>
    <s v="18-25"/>
    <x v="0"/>
    <s v="Low"/>
  </r>
  <r>
    <x v="0"/>
    <x v="0"/>
    <n v="20.045000000000002"/>
    <x v="0"/>
    <x v="1"/>
    <x v="1"/>
    <x v="41"/>
    <x v="0"/>
    <s v="18-25"/>
    <x v="0"/>
    <s v="Low"/>
  </r>
  <r>
    <x v="0"/>
    <x v="1"/>
    <n v="20.045000000000002"/>
    <x v="0"/>
    <x v="1"/>
    <x v="1"/>
    <x v="42"/>
    <x v="0"/>
    <s v="18-25"/>
    <x v="0"/>
    <s v="Low"/>
  </r>
  <r>
    <x v="0"/>
    <x v="0"/>
    <n v="20.100000000000001"/>
    <x v="0"/>
    <x v="1"/>
    <x v="1"/>
    <x v="43"/>
    <x v="0"/>
    <s v="18-25"/>
    <x v="0"/>
    <s v="Low"/>
  </r>
  <r>
    <x v="0"/>
    <x v="1"/>
    <n v="20.13"/>
    <x v="0"/>
    <x v="1"/>
    <x v="3"/>
    <x v="44"/>
    <x v="0"/>
    <s v="18-25"/>
    <x v="0"/>
    <s v="Low"/>
  </r>
  <r>
    <x v="0"/>
    <x v="1"/>
    <n v="20.234999999999999"/>
    <x v="0"/>
    <x v="1"/>
    <x v="0"/>
    <x v="45"/>
    <x v="0"/>
    <s v="18-25"/>
    <x v="0"/>
    <s v="Low"/>
  </r>
  <r>
    <x v="0"/>
    <x v="0"/>
    <n v="20.234999999999999"/>
    <x v="0"/>
    <x v="1"/>
    <x v="3"/>
    <x v="46"/>
    <x v="0"/>
    <s v="18-25"/>
    <x v="0"/>
    <s v="Low"/>
  </r>
  <r>
    <x v="0"/>
    <x v="0"/>
    <n v="20.234999999999999"/>
    <x v="0"/>
    <x v="1"/>
    <x v="2"/>
    <x v="47"/>
    <x v="0"/>
    <s v="18-25"/>
    <x v="0"/>
    <s v="Low"/>
  </r>
  <r>
    <x v="0"/>
    <x v="0"/>
    <n v="20.234999999999999"/>
    <x v="0"/>
    <x v="1"/>
    <x v="1"/>
    <x v="48"/>
    <x v="0"/>
    <s v="18-25"/>
    <x v="0"/>
    <s v="Low"/>
  </r>
  <r>
    <x v="0"/>
    <x v="1"/>
    <n v="20.3"/>
    <x v="0"/>
    <x v="0"/>
    <x v="1"/>
    <x v="49"/>
    <x v="0"/>
    <s v="18-25"/>
    <x v="0"/>
    <s v="Low"/>
  </r>
  <r>
    <x v="0"/>
    <x v="0"/>
    <n v="20.350000000000001"/>
    <x v="0"/>
    <x v="1"/>
    <x v="3"/>
    <x v="50"/>
    <x v="0"/>
    <s v="18-25"/>
    <x v="0"/>
    <s v="Low"/>
  </r>
  <r>
    <x v="0"/>
    <x v="0"/>
    <n v="20.399999999999999"/>
    <x v="0"/>
    <x v="1"/>
    <x v="2"/>
    <x v="51"/>
    <x v="0"/>
    <s v="18-25"/>
    <x v="0"/>
    <s v="Low"/>
  </r>
  <r>
    <x v="0"/>
    <x v="1"/>
    <n v="20.425000000000001"/>
    <x v="0"/>
    <x v="0"/>
    <x v="0"/>
    <x v="52"/>
    <x v="0"/>
    <s v="18-25"/>
    <x v="0"/>
    <s v="Low"/>
  </r>
  <r>
    <x v="0"/>
    <x v="1"/>
    <n v="20.52"/>
    <x v="0"/>
    <x v="0"/>
    <x v="1"/>
    <x v="53"/>
    <x v="0"/>
    <s v="18-25"/>
    <x v="0"/>
    <s v="Low"/>
  </r>
  <r>
    <x v="0"/>
    <x v="0"/>
    <n v="20.52"/>
    <x v="0"/>
    <x v="1"/>
    <x v="2"/>
    <x v="54"/>
    <x v="0"/>
    <s v="18-25"/>
    <x v="0"/>
    <s v="Low"/>
  </r>
  <r>
    <x v="0"/>
    <x v="1"/>
    <n v="20.6"/>
    <x v="0"/>
    <x v="0"/>
    <x v="2"/>
    <x v="55"/>
    <x v="0"/>
    <s v="18-25"/>
    <x v="0"/>
    <s v="Low"/>
  </r>
  <r>
    <x v="0"/>
    <x v="0"/>
    <n v="20.6"/>
    <x v="0"/>
    <x v="1"/>
    <x v="3"/>
    <x v="56"/>
    <x v="0"/>
    <s v="18-25"/>
    <x v="0"/>
    <s v="Low"/>
  </r>
  <r>
    <x v="0"/>
    <x v="1"/>
    <n v="20.614999999999998"/>
    <x v="0"/>
    <x v="0"/>
    <x v="1"/>
    <x v="57"/>
    <x v="0"/>
    <s v="18-25"/>
    <x v="0"/>
    <s v="Low"/>
  </r>
  <r>
    <x v="0"/>
    <x v="0"/>
    <n v="20.7"/>
    <x v="0"/>
    <x v="0"/>
    <x v="1"/>
    <x v="58"/>
    <x v="0"/>
    <s v="18-25"/>
    <x v="0"/>
    <s v="Low"/>
  </r>
  <r>
    <x v="0"/>
    <x v="0"/>
    <n v="20.79"/>
    <x v="0"/>
    <x v="1"/>
    <x v="2"/>
    <x v="59"/>
    <x v="0"/>
    <s v="18-25"/>
    <x v="0"/>
    <s v="Low"/>
  </r>
  <r>
    <x v="0"/>
    <x v="1"/>
    <n v="20.8"/>
    <x v="0"/>
    <x v="1"/>
    <x v="3"/>
    <x v="60"/>
    <x v="0"/>
    <s v="18-25"/>
    <x v="0"/>
    <s v="Low"/>
  </r>
  <r>
    <x v="0"/>
    <x v="1"/>
    <n v="20.8"/>
    <x v="0"/>
    <x v="1"/>
    <x v="1"/>
    <x v="61"/>
    <x v="0"/>
    <s v="18-25"/>
    <x v="0"/>
    <s v="Low"/>
  </r>
  <r>
    <x v="0"/>
    <x v="1"/>
    <n v="20.9"/>
    <x v="0"/>
    <x v="1"/>
    <x v="2"/>
    <x v="62"/>
    <x v="0"/>
    <s v="18-25"/>
    <x v="0"/>
    <s v="Low"/>
  </r>
  <r>
    <x v="0"/>
    <x v="0"/>
    <n v="20.9"/>
    <x v="0"/>
    <x v="1"/>
    <x v="2"/>
    <x v="63"/>
    <x v="0"/>
    <s v="18-25"/>
    <x v="0"/>
    <s v="Low"/>
  </r>
  <r>
    <x v="0"/>
    <x v="0"/>
    <n v="21.01"/>
    <x v="0"/>
    <x v="0"/>
    <x v="2"/>
    <x v="64"/>
    <x v="0"/>
    <s v="18-25"/>
    <x v="0"/>
    <s v="Low"/>
  </r>
  <r>
    <x v="0"/>
    <x v="0"/>
    <n v="21.09"/>
    <x v="0"/>
    <x v="1"/>
    <x v="0"/>
    <x v="65"/>
    <x v="0"/>
    <s v="18-25"/>
    <x v="0"/>
    <s v="Low"/>
  </r>
  <r>
    <x v="0"/>
    <x v="0"/>
    <n v="21.12"/>
    <x v="0"/>
    <x v="1"/>
    <x v="0"/>
    <x v="66"/>
    <x v="0"/>
    <s v="18-25"/>
    <x v="0"/>
    <s v="Low"/>
  </r>
  <r>
    <x v="0"/>
    <x v="1"/>
    <n v="21.28"/>
    <x v="0"/>
    <x v="1"/>
    <x v="2"/>
    <x v="67"/>
    <x v="0"/>
    <s v="18-25"/>
    <x v="0"/>
    <s v="Low"/>
  </r>
  <r>
    <x v="0"/>
    <x v="0"/>
    <n v="21.3"/>
    <x v="0"/>
    <x v="1"/>
    <x v="1"/>
    <x v="68"/>
    <x v="0"/>
    <s v="18-25"/>
    <x v="0"/>
    <s v="Low"/>
  </r>
  <r>
    <x v="1"/>
    <x v="1"/>
    <n v="21.375"/>
    <x v="0"/>
    <x v="0"/>
    <x v="1"/>
    <x v="69"/>
    <x v="0"/>
    <s v="18-25"/>
    <x v="0"/>
    <s v="Low"/>
  </r>
  <r>
    <x v="1"/>
    <x v="0"/>
    <n v="21.375"/>
    <x v="0"/>
    <x v="0"/>
    <x v="1"/>
    <x v="70"/>
    <x v="0"/>
    <s v="18-25"/>
    <x v="0"/>
    <s v="Low"/>
  </r>
  <r>
    <x v="1"/>
    <x v="1"/>
    <n v="21.4"/>
    <x v="0"/>
    <x v="1"/>
    <x v="3"/>
    <x v="71"/>
    <x v="0"/>
    <s v="18-25"/>
    <x v="0"/>
    <s v="Low"/>
  </r>
  <r>
    <x v="1"/>
    <x v="0"/>
    <n v="21.4"/>
    <x v="0"/>
    <x v="1"/>
    <x v="0"/>
    <x v="72"/>
    <x v="0"/>
    <s v="18-25"/>
    <x v="0"/>
    <s v="Low"/>
  </r>
  <r>
    <x v="1"/>
    <x v="1"/>
    <n v="21.47"/>
    <x v="0"/>
    <x v="1"/>
    <x v="1"/>
    <x v="73"/>
    <x v="0"/>
    <s v="18-25"/>
    <x v="0"/>
    <s v="Low"/>
  </r>
  <r>
    <x v="1"/>
    <x v="1"/>
    <n v="21.47"/>
    <x v="0"/>
    <x v="1"/>
    <x v="0"/>
    <x v="74"/>
    <x v="0"/>
    <s v="18-25"/>
    <x v="0"/>
    <s v="Low"/>
  </r>
  <r>
    <x v="1"/>
    <x v="1"/>
    <n v="21.47"/>
    <x v="0"/>
    <x v="1"/>
    <x v="2"/>
    <x v="75"/>
    <x v="0"/>
    <s v="18-25"/>
    <x v="0"/>
    <s v="Low"/>
  </r>
  <r>
    <x v="1"/>
    <x v="0"/>
    <n v="21.5"/>
    <x v="0"/>
    <x v="1"/>
    <x v="1"/>
    <x v="76"/>
    <x v="0"/>
    <s v="18-25"/>
    <x v="0"/>
    <s v="Low"/>
  </r>
  <r>
    <x v="1"/>
    <x v="1"/>
    <n v="21.56"/>
    <x v="0"/>
    <x v="1"/>
    <x v="1"/>
    <x v="77"/>
    <x v="0"/>
    <s v="18-25"/>
    <x v="0"/>
    <s v="Low"/>
  </r>
  <r>
    <x v="1"/>
    <x v="0"/>
    <n v="21.565000000000001"/>
    <x v="0"/>
    <x v="1"/>
    <x v="3"/>
    <x v="78"/>
    <x v="0"/>
    <s v="18-25"/>
    <x v="0"/>
    <s v="Low"/>
  </r>
  <r>
    <x v="1"/>
    <x v="0"/>
    <n v="21.66"/>
    <x v="0"/>
    <x v="1"/>
    <x v="2"/>
    <x v="79"/>
    <x v="0"/>
    <s v="18-25"/>
    <x v="0"/>
    <s v="Low"/>
  </r>
  <r>
    <x v="1"/>
    <x v="1"/>
    <n v="21.66"/>
    <x v="0"/>
    <x v="1"/>
    <x v="3"/>
    <x v="80"/>
    <x v="0"/>
    <s v="18-25"/>
    <x v="0"/>
    <s v="Low"/>
  </r>
  <r>
    <x v="1"/>
    <x v="0"/>
    <n v="21.66"/>
    <x v="0"/>
    <x v="1"/>
    <x v="3"/>
    <x v="81"/>
    <x v="0"/>
    <s v="18-25"/>
    <x v="0"/>
    <s v="Low"/>
  </r>
  <r>
    <x v="1"/>
    <x v="1"/>
    <n v="21.7"/>
    <x v="0"/>
    <x v="0"/>
    <x v="1"/>
    <x v="82"/>
    <x v="0"/>
    <s v="18-25"/>
    <x v="0"/>
    <s v="Low"/>
  </r>
  <r>
    <x v="1"/>
    <x v="0"/>
    <n v="21.754999999999999"/>
    <x v="0"/>
    <x v="1"/>
    <x v="2"/>
    <x v="83"/>
    <x v="0"/>
    <s v="18-25"/>
    <x v="0"/>
    <s v="Low"/>
  </r>
  <r>
    <x v="1"/>
    <x v="0"/>
    <n v="21.754999999999999"/>
    <x v="0"/>
    <x v="0"/>
    <x v="0"/>
    <x v="84"/>
    <x v="0"/>
    <s v="18-25"/>
    <x v="0"/>
    <s v="Low"/>
  </r>
  <r>
    <x v="1"/>
    <x v="1"/>
    <n v="21.754999999999999"/>
    <x v="0"/>
    <x v="0"/>
    <x v="2"/>
    <x v="85"/>
    <x v="0"/>
    <s v="18-25"/>
    <x v="0"/>
    <s v="Low"/>
  </r>
  <r>
    <x v="1"/>
    <x v="0"/>
    <n v="21.754999999999999"/>
    <x v="0"/>
    <x v="0"/>
    <x v="2"/>
    <x v="86"/>
    <x v="0"/>
    <s v="18-25"/>
    <x v="0"/>
    <s v="Low"/>
  </r>
  <r>
    <x v="1"/>
    <x v="0"/>
    <n v="21.78"/>
    <x v="0"/>
    <x v="1"/>
    <x v="0"/>
    <x v="87"/>
    <x v="0"/>
    <s v="18-25"/>
    <x v="0"/>
    <s v="Low"/>
  </r>
  <r>
    <x v="1"/>
    <x v="0"/>
    <n v="21.78"/>
    <x v="0"/>
    <x v="1"/>
    <x v="2"/>
    <x v="88"/>
    <x v="0"/>
    <s v="18-25"/>
    <x v="0"/>
    <s v="Low"/>
  </r>
  <r>
    <x v="1"/>
    <x v="0"/>
    <n v="21.8"/>
    <x v="0"/>
    <x v="1"/>
    <x v="2"/>
    <x v="89"/>
    <x v="0"/>
    <s v="18-25"/>
    <x v="0"/>
    <s v="Low"/>
  </r>
  <r>
    <x v="1"/>
    <x v="0"/>
    <n v="21.85"/>
    <x v="0"/>
    <x v="1"/>
    <x v="1"/>
    <x v="90"/>
    <x v="0"/>
    <s v="18-25"/>
    <x v="0"/>
    <s v="Low"/>
  </r>
  <r>
    <x v="1"/>
    <x v="0"/>
    <n v="21.85"/>
    <x v="0"/>
    <x v="1"/>
    <x v="2"/>
    <x v="91"/>
    <x v="0"/>
    <s v="18-25"/>
    <x v="0"/>
    <s v="Low"/>
  </r>
  <r>
    <x v="1"/>
    <x v="1"/>
    <n v="21.85"/>
    <x v="0"/>
    <x v="0"/>
    <x v="3"/>
    <x v="92"/>
    <x v="0"/>
    <s v="18-25"/>
    <x v="0"/>
    <s v="Low"/>
  </r>
  <r>
    <x v="1"/>
    <x v="1"/>
    <n v="21.85"/>
    <x v="0"/>
    <x v="1"/>
    <x v="2"/>
    <x v="93"/>
    <x v="0"/>
    <s v="18-25"/>
    <x v="0"/>
    <s v="Low"/>
  </r>
  <r>
    <x v="1"/>
    <x v="0"/>
    <n v="21.89"/>
    <x v="0"/>
    <x v="0"/>
    <x v="0"/>
    <x v="94"/>
    <x v="0"/>
    <s v="18-25"/>
    <x v="0"/>
    <s v="Low"/>
  </r>
  <r>
    <x v="1"/>
    <x v="0"/>
    <n v="21.945"/>
    <x v="0"/>
    <x v="1"/>
    <x v="1"/>
    <x v="95"/>
    <x v="0"/>
    <s v="18-25"/>
    <x v="0"/>
    <s v="Low"/>
  </r>
  <r>
    <x v="1"/>
    <x v="0"/>
    <n v="22"/>
    <x v="0"/>
    <x v="1"/>
    <x v="0"/>
    <x v="96"/>
    <x v="0"/>
    <s v="18-25"/>
    <x v="0"/>
    <s v="Low"/>
  </r>
  <r>
    <x v="1"/>
    <x v="1"/>
    <n v="22.04"/>
    <x v="0"/>
    <x v="1"/>
    <x v="1"/>
    <x v="97"/>
    <x v="0"/>
    <s v="18-25"/>
    <x v="0"/>
    <s v="Low"/>
  </r>
  <r>
    <x v="1"/>
    <x v="1"/>
    <n v="22.1"/>
    <x v="0"/>
    <x v="0"/>
    <x v="3"/>
    <x v="98"/>
    <x v="0"/>
    <s v="18-25"/>
    <x v="0"/>
    <s v="Low"/>
  </r>
  <r>
    <x v="1"/>
    <x v="1"/>
    <n v="22.135000000000002"/>
    <x v="0"/>
    <x v="0"/>
    <x v="0"/>
    <x v="99"/>
    <x v="0"/>
    <s v="18-25"/>
    <x v="0"/>
    <s v="Low"/>
  </r>
  <r>
    <x v="1"/>
    <x v="0"/>
    <n v="22.135000000000002"/>
    <x v="0"/>
    <x v="1"/>
    <x v="0"/>
    <x v="100"/>
    <x v="0"/>
    <s v="18-25"/>
    <x v="0"/>
    <s v="Low"/>
  </r>
  <r>
    <x v="1"/>
    <x v="1"/>
    <n v="22.135000000000002"/>
    <x v="0"/>
    <x v="1"/>
    <x v="3"/>
    <x v="101"/>
    <x v="0"/>
    <s v="18-25"/>
    <x v="0"/>
    <s v="Low"/>
  </r>
  <r>
    <x v="1"/>
    <x v="0"/>
    <n v="22.135000000000002"/>
    <x v="0"/>
    <x v="1"/>
    <x v="3"/>
    <x v="102"/>
    <x v="0"/>
    <s v="18-25"/>
    <x v="0"/>
    <s v="Low"/>
  </r>
  <r>
    <x v="1"/>
    <x v="0"/>
    <n v="22.22"/>
    <x v="0"/>
    <x v="0"/>
    <x v="1"/>
    <x v="103"/>
    <x v="0"/>
    <s v="18-25"/>
    <x v="0"/>
    <s v="Low"/>
  </r>
  <r>
    <x v="1"/>
    <x v="0"/>
    <n v="22.23"/>
    <x v="0"/>
    <x v="1"/>
    <x v="0"/>
    <x v="104"/>
    <x v="0"/>
    <s v="18-25"/>
    <x v="0"/>
    <s v="Low"/>
  </r>
  <r>
    <x v="1"/>
    <x v="1"/>
    <n v="22.23"/>
    <x v="0"/>
    <x v="0"/>
    <x v="2"/>
    <x v="105"/>
    <x v="0"/>
    <s v="18-25"/>
    <x v="0"/>
    <s v="Low"/>
  </r>
  <r>
    <x v="1"/>
    <x v="0"/>
    <n v="22.3"/>
    <x v="0"/>
    <x v="1"/>
    <x v="0"/>
    <x v="106"/>
    <x v="0"/>
    <s v="18-25"/>
    <x v="0"/>
    <s v="Low"/>
  </r>
  <r>
    <x v="1"/>
    <x v="1"/>
    <n v="22.3"/>
    <x v="0"/>
    <x v="1"/>
    <x v="2"/>
    <x v="107"/>
    <x v="0"/>
    <s v="18-25"/>
    <x v="0"/>
    <s v="Low"/>
  </r>
  <r>
    <x v="1"/>
    <x v="1"/>
    <n v="22.42"/>
    <x v="0"/>
    <x v="1"/>
    <x v="1"/>
    <x v="108"/>
    <x v="0"/>
    <s v="18-25"/>
    <x v="0"/>
    <s v="Low"/>
  </r>
  <r>
    <x v="1"/>
    <x v="1"/>
    <n v="22.42"/>
    <x v="0"/>
    <x v="0"/>
    <x v="1"/>
    <x v="109"/>
    <x v="0"/>
    <s v="18-25"/>
    <x v="0"/>
    <s v="Low"/>
  </r>
  <r>
    <x v="1"/>
    <x v="1"/>
    <n v="22.42"/>
    <x v="0"/>
    <x v="1"/>
    <x v="2"/>
    <x v="110"/>
    <x v="0"/>
    <s v="18-25"/>
    <x v="0"/>
    <s v="Low"/>
  </r>
  <r>
    <x v="1"/>
    <x v="0"/>
    <n v="22.515000000000001"/>
    <x v="0"/>
    <x v="1"/>
    <x v="0"/>
    <x v="111"/>
    <x v="0"/>
    <s v="18-25"/>
    <x v="0"/>
    <s v="Low"/>
  </r>
  <r>
    <x v="1"/>
    <x v="1"/>
    <n v="22.515000000000001"/>
    <x v="0"/>
    <x v="1"/>
    <x v="0"/>
    <x v="112"/>
    <x v="0"/>
    <s v="18-25"/>
    <x v="0"/>
    <s v="Low"/>
  </r>
  <r>
    <x v="1"/>
    <x v="0"/>
    <n v="22.515000000000001"/>
    <x v="0"/>
    <x v="1"/>
    <x v="2"/>
    <x v="113"/>
    <x v="0"/>
    <s v="18-25"/>
    <x v="0"/>
    <s v="Low"/>
  </r>
  <r>
    <x v="1"/>
    <x v="1"/>
    <n v="22.515000000000001"/>
    <x v="0"/>
    <x v="1"/>
    <x v="3"/>
    <x v="114"/>
    <x v="0"/>
    <s v="18-25"/>
    <x v="0"/>
    <s v="Low"/>
  </r>
  <r>
    <x v="1"/>
    <x v="1"/>
    <n v="22.515000000000001"/>
    <x v="0"/>
    <x v="1"/>
    <x v="3"/>
    <x v="115"/>
    <x v="0"/>
    <s v="18-25"/>
    <x v="0"/>
    <s v="Low"/>
  </r>
  <r>
    <x v="1"/>
    <x v="1"/>
    <n v="22.6"/>
    <x v="0"/>
    <x v="1"/>
    <x v="1"/>
    <x v="116"/>
    <x v="0"/>
    <s v="18-25"/>
    <x v="0"/>
    <s v="Low"/>
  </r>
  <r>
    <x v="1"/>
    <x v="0"/>
    <n v="22.6"/>
    <x v="0"/>
    <x v="0"/>
    <x v="1"/>
    <x v="117"/>
    <x v="0"/>
    <s v="18-25"/>
    <x v="0"/>
    <s v="Low"/>
  </r>
  <r>
    <x v="1"/>
    <x v="0"/>
    <n v="22.61"/>
    <x v="0"/>
    <x v="1"/>
    <x v="1"/>
    <x v="118"/>
    <x v="0"/>
    <s v="18-25"/>
    <x v="0"/>
    <s v="Low"/>
  </r>
  <r>
    <x v="1"/>
    <x v="0"/>
    <n v="22.61"/>
    <x v="0"/>
    <x v="1"/>
    <x v="2"/>
    <x v="119"/>
    <x v="0"/>
    <s v="18-25"/>
    <x v="0"/>
    <s v="Low"/>
  </r>
  <r>
    <x v="1"/>
    <x v="1"/>
    <n v="22.61"/>
    <x v="0"/>
    <x v="1"/>
    <x v="0"/>
    <x v="120"/>
    <x v="0"/>
    <s v="18-25"/>
    <x v="0"/>
    <s v="Low"/>
  </r>
  <r>
    <x v="1"/>
    <x v="1"/>
    <n v="22.61"/>
    <x v="0"/>
    <x v="1"/>
    <x v="3"/>
    <x v="121"/>
    <x v="0"/>
    <s v="18-25"/>
    <x v="0"/>
    <s v="Low"/>
  </r>
  <r>
    <x v="1"/>
    <x v="0"/>
    <n v="22.704999999999998"/>
    <x v="0"/>
    <x v="1"/>
    <x v="2"/>
    <x v="122"/>
    <x v="0"/>
    <s v="18-25"/>
    <x v="0"/>
    <s v="Low"/>
  </r>
  <r>
    <x v="1"/>
    <x v="1"/>
    <n v="22.704999999999998"/>
    <x v="0"/>
    <x v="0"/>
    <x v="3"/>
    <x v="123"/>
    <x v="0"/>
    <s v="18-25"/>
    <x v="0"/>
    <s v="Low"/>
  </r>
  <r>
    <x v="1"/>
    <x v="0"/>
    <n v="22.704999999999998"/>
    <x v="0"/>
    <x v="1"/>
    <x v="2"/>
    <x v="124"/>
    <x v="0"/>
    <s v="18-25"/>
    <x v="0"/>
    <s v="Low"/>
  </r>
  <r>
    <x v="1"/>
    <x v="0"/>
    <n v="22.77"/>
    <x v="0"/>
    <x v="1"/>
    <x v="3"/>
    <x v="125"/>
    <x v="0"/>
    <s v="18-25"/>
    <x v="0"/>
    <s v="Low"/>
  </r>
  <r>
    <x v="1"/>
    <x v="0"/>
    <n v="22.8"/>
    <x v="0"/>
    <x v="0"/>
    <x v="0"/>
    <x v="126"/>
    <x v="0"/>
    <s v="18-25"/>
    <x v="0"/>
    <s v="Low"/>
  </r>
  <r>
    <x v="1"/>
    <x v="0"/>
    <n v="22.8"/>
    <x v="0"/>
    <x v="1"/>
    <x v="0"/>
    <x v="127"/>
    <x v="0"/>
    <s v="18-25"/>
    <x v="0"/>
    <s v="Low"/>
  </r>
  <r>
    <x v="1"/>
    <x v="0"/>
    <n v="22.88"/>
    <x v="0"/>
    <x v="0"/>
    <x v="2"/>
    <x v="128"/>
    <x v="0"/>
    <s v="18-25"/>
    <x v="0"/>
    <s v="Low"/>
  </r>
  <r>
    <x v="1"/>
    <x v="1"/>
    <n v="22.895"/>
    <x v="0"/>
    <x v="1"/>
    <x v="0"/>
    <x v="129"/>
    <x v="0"/>
    <s v="18-25"/>
    <x v="0"/>
    <s v="Low"/>
  </r>
  <r>
    <x v="1"/>
    <x v="0"/>
    <n v="22.895"/>
    <x v="0"/>
    <x v="1"/>
    <x v="3"/>
    <x v="130"/>
    <x v="0"/>
    <s v="18-25"/>
    <x v="0"/>
    <s v="Low"/>
  </r>
  <r>
    <x v="1"/>
    <x v="0"/>
    <n v="22.895"/>
    <x v="0"/>
    <x v="1"/>
    <x v="3"/>
    <x v="131"/>
    <x v="0"/>
    <s v="18-25"/>
    <x v="0"/>
    <s v="Low"/>
  </r>
  <r>
    <x v="1"/>
    <x v="0"/>
    <n v="22.895"/>
    <x v="0"/>
    <x v="1"/>
    <x v="0"/>
    <x v="132"/>
    <x v="0"/>
    <s v="18-25"/>
    <x v="0"/>
    <s v="Low"/>
  </r>
  <r>
    <x v="1"/>
    <x v="1"/>
    <n v="22.99"/>
    <x v="0"/>
    <x v="1"/>
    <x v="2"/>
    <x v="133"/>
    <x v="0"/>
    <s v="18-25"/>
    <x v="0"/>
    <s v="Low"/>
  </r>
  <r>
    <x v="1"/>
    <x v="0"/>
    <n v="22.99"/>
    <x v="0"/>
    <x v="1"/>
    <x v="3"/>
    <x v="134"/>
    <x v="0"/>
    <s v="18-25"/>
    <x v="0"/>
    <s v="Low"/>
  </r>
  <r>
    <x v="1"/>
    <x v="0"/>
    <n v="22.99"/>
    <x v="0"/>
    <x v="1"/>
    <x v="1"/>
    <x v="135"/>
    <x v="0"/>
    <s v="18-25"/>
    <x v="0"/>
    <s v="Low"/>
  </r>
  <r>
    <x v="2"/>
    <x v="1"/>
    <n v="23"/>
    <x v="0"/>
    <x v="1"/>
    <x v="0"/>
    <x v="136"/>
    <x v="0"/>
    <s v="18-25"/>
    <x v="0"/>
    <s v="Low"/>
  </r>
  <r>
    <x v="2"/>
    <x v="1"/>
    <n v="23.085000000000001"/>
    <x v="0"/>
    <x v="1"/>
    <x v="2"/>
    <x v="137"/>
    <x v="0"/>
    <s v="18-25"/>
    <x v="0"/>
    <s v="Low"/>
  </r>
  <r>
    <x v="2"/>
    <x v="0"/>
    <n v="23.085000000000001"/>
    <x v="0"/>
    <x v="1"/>
    <x v="1"/>
    <x v="138"/>
    <x v="0"/>
    <s v="18-25"/>
    <x v="0"/>
    <s v="Low"/>
  </r>
  <r>
    <x v="2"/>
    <x v="0"/>
    <n v="23.1"/>
    <x v="0"/>
    <x v="1"/>
    <x v="0"/>
    <x v="139"/>
    <x v="0"/>
    <s v="18-25"/>
    <x v="0"/>
    <s v="Low"/>
  </r>
  <r>
    <x v="2"/>
    <x v="1"/>
    <n v="23.18"/>
    <x v="0"/>
    <x v="1"/>
    <x v="3"/>
    <x v="140"/>
    <x v="0"/>
    <s v="18-25"/>
    <x v="0"/>
    <s v="Low"/>
  </r>
  <r>
    <x v="2"/>
    <x v="1"/>
    <n v="23.18"/>
    <x v="0"/>
    <x v="1"/>
    <x v="3"/>
    <x v="141"/>
    <x v="0"/>
    <s v="18-25"/>
    <x v="0"/>
    <s v="Low"/>
  </r>
  <r>
    <x v="2"/>
    <x v="1"/>
    <n v="23.18"/>
    <x v="0"/>
    <x v="0"/>
    <x v="1"/>
    <x v="142"/>
    <x v="0"/>
    <s v="18-25"/>
    <x v="0"/>
    <s v="Low"/>
  </r>
  <r>
    <x v="2"/>
    <x v="1"/>
    <n v="23.18"/>
    <x v="0"/>
    <x v="1"/>
    <x v="2"/>
    <x v="143"/>
    <x v="0"/>
    <s v="18-25"/>
    <x v="0"/>
    <s v="Low"/>
  </r>
  <r>
    <x v="2"/>
    <x v="1"/>
    <n v="23.18"/>
    <x v="0"/>
    <x v="0"/>
    <x v="2"/>
    <x v="144"/>
    <x v="0"/>
    <s v="18-25"/>
    <x v="0"/>
    <s v="Low"/>
  </r>
  <r>
    <x v="2"/>
    <x v="0"/>
    <n v="23.2"/>
    <x v="0"/>
    <x v="1"/>
    <x v="1"/>
    <x v="145"/>
    <x v="0"/>
    <s v="18-25"/>
    <x v="0"/>
    <s v="Low"/>
  </r>
  <r>
    <x v="2"/>
    <x v="1"/>
    <n v="23.21"/>
    <x v="0"/>
    <x v="0"/>
    <x v="2"/>
    <x v="146"/>
    <x v="0"/>
    <s v="18-25"/>
    <x v="0"/>
    <s v="Low"/>
  </r>
  <r>
    <x v="2"/>
    <x v="0"/>
    <n v="23.21"/>
    <x v="0"/>
    <x v="1"/>
    <x v="1"/>
    <x v="147"/>
    <x v="0"/>
    <s v="18-25"/>
    <x v="0"/>
    <s v="Low"/>
  </r>
  <r>
    <x v="2"/>
    <x v="0"/>
    <n v="23.21"/>
    <x v="0"/>
    <x v="1"/>
    <x v="2"/>
    <x v="148"/>
    <x v="0"/>
    <s v="18-25"/>
    <x v="0"/>
    <s v="Low"/>
  </r>
  <r>
    <x v="2"/>
    <x v="1"/>
    <n v="23.21"/>
    <x v="0"/>
    <x v="1"/>
    <x v="0"/>
    <x v="149"/>
    <x v="0"/>
    <s v="18-25"/>
    <x v="0"/>
    <s v="Low"/>
  </r>
  <r>
    <x v="2"/>
    <x v="1"/>
    <n v="23.21"/>
    <x v="0"/>
    <x v="1"/>
    <x v="2"/>
    <x v="150"/>
    <x v="0"/>
    <s v="18-25"/>
    <x v="0"/>
    <s v="Low"/>
  </r>
  <r>
    <x v="2"/>
    <x v="1"/>
    <n v="23.274999999999999"/>
    <x v="0"/>
    <x v="1"/>
    <x v="1"/>
    <x v="151"/>
    <x v="0"/>
    <s v="18-25"/>
    <x v="0"/>
    <s v="Low"/>
  </r>
  <r>
    <x v="2"/>
    <x v="0"/>
    <n v="23.3"/>
    <x v="0"/>
    <x v="1"/>
    <x v="3"/>
    <x v="152"/>
    <x v="0"/>
    <s v="18-25"/>
    <x v="0"/>
    <s v="Low"/>
  </r>
  <r>
    <x v="2"/>
    <x v="0"/>
    <n v="23.32"/>
    <x v="0"/>
    <x v="0"/>
    <x v="3"/>
    <x v="153"/>
    <x v="0"/>
    <s v="18-25"/>
    <x v="0"/>
    <s v="Low"/>
  </r>
  <r>
    <x v="2"/>
    <x v="0"/>
    <n v="23.37"/>
    <x v="0"/>
    <x v="1"/>
    <x v="3"/>
    <x v="154"/>
    <x v="0"/>
    <s v="18-25"/>
    <x v="0"/>
    <s v="Low"/>
  </r>
  <r>
    <x v="2"/>
    <x v="1"/>
    <n v="23.37"/>
    <x v="0"/>
    <x v="1"/>
    <x v="2"/>
    <x v="155"/>
    <x v="0"/>
    <s v="18-25"/>
    <x v="0"/>
    <s v="Low"/>
  </r>
  <r>
    <x v="2"/>
    <x v="1"/>
    <n v="23.37"/>
    <x v="0"/>
    <x v="0"/>
    <x v="1"/>
    <x v="156"/>
    <x v="0"/>
    <s v="18-25"/>
    <x v="0"/>
    <s v="Low"/>
  </r>
  <r>
    <x v="2"/>
    <x v="1"/>
    <n v="23.4"/>
    <x v="0"/>
    <x v="0"/>
    <x v="3"/>
    <x v="157"/>
    <x v="0"/>
    <s v="18-25"/>
    <x v="0"/>
    <s v="Low"/>
  </r>
  <r>
    <x v="2"/>
    <x v="1"/>
    <n v="23.4"/>
    <x v="0"/>
    <x v="0"/>
    <x v="1"/>
    <x v="158"/>
    <x v="0"/>
    <s v="18-25"/>
    <x v="0"/>
    <s v="Low"/>
  </r>
  <r>
    <x v="2"/>
    <x v="0"/>
    <n v="23.465"/>
    <x v="0"/>
    <x v="1"/>
    <x v="1"/>
    <x v="159"/>
    <x v="0"/>
    <s v="18-25"/>
    <x v="0"/>
    <s v="Low"/>
  </r>
  <r>
    <x v="2"/>
    <x v="0"/>
    <n v="23.465"/>
    <x v="0"/>
    <x v="0"/>
    <x v="2"/>
    <x v="160"/>
    <x v="0"/>
    <s v="18-25"/>
    <x v="0"/>
    <s v="Low"/>
  </r>
  <r>
    <x v="2"/>
    <x v="0"/>
    <n v="23.54"/>
    <x v="0"/>
    <x v="0"/>
    <x v="1"/>
    <x v="161"/>
    <x v="0"/>
    <s v="18-25"/>
    <x v="0"/>
    <s v="Low"/>
  </r>
  <r>
    <x v="2"/>
    <x v="1"/>
    <n v="23.56"/>
    <x v="0"/>
    <x v="1"/>
    <x v="0"/>
    <x v="162"/>
    <x v="0"/>
    <s v="18-25"/>
    <x v="0"/>
    <s v="Low"/>
  </r>
  <r>
    <x v="2"/>
    <x v="0"/>
    <n v="23.56"/>
    <x v="0"/>
    <x v="1"/>
    <x v="0"/>
    <x v="163"/>
    <x v="0"/>
    <s v="18-25"/>
    <x v="0"/>
    <s v="Low"/>
  </r>
  <r>
    <x v="2"/>
    <x v="1"/>
    <n v="23.6"/>
    <x v="0"/>
    <x v="1"/>
    <x v="2"/>
    <x v="164"/>
    <x v="0"/>
    <s v="18-25"/>
    <x v="0"/>
    <s v="Low"/>
  </r>
  <r>
    <x v="3"/>
    <x v="1"/>
    <n v="23.6"/>
    <x v="0"/>
    <x v="1"/>
    <x v="3"/>
    <x v="165"/>
    <x v="0"/>
    <s v="18-25"/>
    <x v="0"/>
    <s v="Low"/>
  </r>
  <r>
    <x v="3"/>
    <x v="0"/>
    <n v="23.65"/>
    <x v="0"/>
    <x v="1"/>
    <x v="0"/>
    <x v="166"/>
    <x v="0"/>
    <s v="18-25"/>
    <x v="0"/>
    <s v="Low"/>
  </r>
  <r>
    <x v="3"/>
    <x v="0"/>
    <n v="23.655000000000001"/>
    <x v="0"/>
    <x v="1"/>
    <x v="2"/>
    <x v="167"/>
    <x v="0"/>
    <s v="18-25"/>
    <x v="0"/>
    <s v="Low"/>
  </r>
  <r>
    <x v="3"/>
    <x v="0"/>
    <n v="23.655000000000001"/>
    <x v="0"/>
    <x v="1"/>
    <x v="2"/>
    <x v="168"/>
    <x v="0"/>
    <s v="18-25"/>
    <x v="0"/>
    <s v="Low"/>
  </r>
  <r>
    <x v="3"/>
    <x v="1"/>
    <n v="23.655000000000001"/>
    <x v="0"/>
    <x v="1"/>
    <x v="3"/>
    <x v="169"/>
    <x v="0"/>
    <s v="18-25"/>
    <x v="0"/>
    <s v="Low"/>
  </r>
  <r>
    <x v="3"/>
    <x v="1"/>
    <n v="23.655000000000001"/>
    <x v="0"/>
    <x v="1"/>
    <x v="1"/>
    <x v="170"/>
    <x v="0"/>
    <s v="18-25"/>
    <x v="0"/>
    <s v="Low"/>
  </r>
  <r>
    <x v="3"/>
    <x v="1"/>
    <n v="23.655000000000001"/>
    <x v="0"/>
    <x v="1"/>
    <x v="0"/>
    <x v="171"/>
    <x v="0"/>
    <s v="18-25"/>
    <x v="0"/>
    <s v="Low"/>
  </r>
  <r>
    <x v="3"/>
    <x v="1"/>
    <n v="23.7"/>
    <x v="0"/>
    <x v="1"/>
    <x v="3"/>
    <x v="172"/>
    <x v="0"/>
    <s v="18-25"/>
    <x v="0"/>
    <s v="Low"/>
  </r>
  <r>
    <x v="3"/>
    <x v="0"/>
    <n v="23.7"/>
    <x v="0"/>
    <x v="1"/>
    <x v="0"/>
    <x v="173"/>
    <x v="0"/>
    <s v="18-25"/>
    <x v="0"/>
    <s v="Low"/>
  </r>
  <r>
    <x v="3"/>
    <x v="0"/>
    <n v="23.75"/>
    <x v="0"/>
    <x v="1"/>
    <x v="2"/>
    <x v="174"/>
    <x v="0"/>
    <s v="18-25"/>
    <x v="0"/>
    <s v="Low"/>
  </r>
  <r>
    <x v="3"/>
    <x v="0"/>
    <n v="23.75"/>
    <x v="0"/>
    <x v="0"/>
    <x v="0"/>
    <x v="175"/>
    <x v="0"/>
    <s v="18-25"/>
    <x v="0"/>
    <s v="Low"/>
  </r>
  <r>
    <x v="3"/>
    <x v="1"/>
    <n v="23.75"/>
    <x v="0"/>
    <x v="1"/>
    <x v="2"/>
    <x v="176"/>
    <x v="0"/>
    <s v="18-25"/>
    <x v="0"/>
    <s v="Low"/>
  </r>
  <r>
    <x v="3"/>
    <x v="1"/>
    <n v="23.76"/>
    <x v="0"/>
    <x v="1"/>
    <x v="0"/>
    <x v="177"/>
    <x v="0"/>
    <s v="18-25"/>
    <x v="0"/>
    <s v="Low"/>
  </r>
  <r>
    <x v="3"/>
    <x v="0"/>
    <n v="23.8"/>
    <x v="0"/>
    <x v="1"/>
    <x v="0"/>
    <x v="178"/>
    <x v="0"/>
    <s v="18-25"/>
    <x v="0"/>
    <s v="Low"/>
  </r>
  <r>
    <x v="3"/>
    <x v="0"/>
    <n v="23.844999999999999"/>
    <x v="0"/>
    <x v="1"/>
    <x v="3"/>
    <x v="179"/>
    <x v="0"/>
    <s v="18-25"/>
    <x v="0"/>
    <s v="Low"/>
  </r>
  <r>
    <x v="3"/>
    <x v="1"/>
    <n v="23.844999999999999"/>
    <x v="0"/>
    <x v="1"/>
    <x v="2"/>
    <x v="180"/>
    <x v="0"/>
    <s v="18-25"/>
    <x v="0"/>
    <s v="Low"/>
  </r>
  <r>
    <x v="3"/>
    <x v="0"/>
    <n v="23.844999999999999"/>
    <x v="0"/>
    <x v="1"/>
    <x v="1"/>
    <x v="181"/>
    <x v="0"/>
    <s v="18-25"/>
    <x v="0"/>
    <s v="Low"/>
  </r>
  <r>
    <x v="3"/>
    <x v="1"/>
    <n v="23.87"/>
    <x v="0"/>
    <x v="1"/>
    <x v="3"/>
    <x v="182"/>
    <x v="0"/>
    <s v="18-25"/>
    <x v="0"/>
    <s v="Low"/>
  </r>
  <r>
    <x v="3"/>
    <x v="0"/>
    <n v="23.9"/>
    <x v="0"/>
    <x v="1"/>
    <x v="2"/>
    <x v="183"/>
    <x v="0"/>
    <s v="18-25"/>
    <x v="0"/>
    <s v="Low"/>
  </r>
  <r>
    <x v="3"/>
    <x v="1"/>
    <n v="23.94"/>
    <x v="0"/>
    <x v="1"/>
    <x v="1"/>
    <x v="184"/>
    <x v="0"/>
    <s v="18-25"/>
    <x v="0"/>
    <s v="Low"/>
  </r>
  <r>
    <x v="3"/>
    <x v="1"/>
    <n v="23.98"/>
    <x v="0"/>
    <x v="0"/>
    <x v="3"/>
    <x v="185"/>
    <x v="0"/>
    <s v="18-25"/>
    <x v="0"/>
    <s v="Low"/>
  </r>
  <r>
    <x v="3"/>
    <x v="0"/>
    <n v="23.98"/>
    <x v="0"/>
    <x v="1"/>
    <x v="1"/>
    <x v="186"/>
    <x v="0"/>
    <s v="18-25"/>
    <x v="0"/>
    <s v="Low"/>
  </r>
  <r>
    <x v="3"/>
    <x v="0"/>
    <n v="23.98"/>
    <x v="0"/>
    <x v="1"/>
    <x v="0"/>
    <x v="187"/>
    <x v="0"/>
    <s v="18-25"/>
    <x v="0"/>
    <s v="Low"/>
  </r>
  <r>
    <x v="3"/>
    <x v="0"/>
    <n v="24.035"/>
    <x v="0"/>
    <x v="1"/>
    <x v="0"/>
    <x v="188"/>
    <x v="0"/>
    <s v="18-25"/>
    <x v="0"/>
    <s v="Low"/>
  </r>
  <r>
    <x v="3"/>
    <x v="0"/>
    <n v="24.035"/>
    <x v="0"/>
    <x v="1"/>
    <x v="2"/>
    <x v="189"/>
    <x v="0"/>
    <s v="18-25"/>
    <x v="0"/>
    <s v="Low"/>
  </r>
  <r>
    <x v="3"/>
    <x v="1"/>
    <n v="24.035"/>
    <x v="0"/>
    <x v="1"/>
    <x v="1"/>
    <x v="190"/>
    <x v="0"/>
    <s v="18-25"/>
    <x v="0"/>
    <s v="Low"/>
  </r>
  <r>
    <x v="3"/>
    <x v="0"/>
    <n v="24.09"/>
    <x v="0"/>
    <x v="1"/>
    <x v="0"/>
    <x v="191"/>
    <x v="0"/>
    <s v="18-25"/>
    <x v="0"/>
    <s v="Low"/>
  </r>
  <r>
    <x v="3"/>
    <x v="1"/>
    <n v="24.1"/>
    <x v="0"/>
    <x v="1"/>
    <x v="1"/>
    <x v="192"/>
    <x v="0"/>
    <s v="18-25"/>
    <x v="0"/>
    <s v="Low"/>
  </r>
  <r>
    <x v="4"/>
    <x v="0"/>
    <n v="24.1"/>
    <x v="0"/>
    <x v="1"/>
    <x v="2"/>
    <x v="193"/>
    <x v="0"/>
    <s v="18-25"/>
    <x v="0"/>
    <s v="Low"/>
  </r>
  <r>
    <x v="4"/>
    <x v="1"/>
    <n v="24.13"/>
    <x v="0"/>
    <x v="1"/>
    <x v="1"/>
    <x v="194"/>
    <x v="0"/>
    <s v="18-25"/>
    <x v="0"/>
    <s v="Low"/>
  </r>
  <r>
    <x v="4"/>
    <x v="1"/>
    <n v="24.13"/>
    <x v="0"/>
    <x v="1"/>
    <x v="2"/>
    <x v="195"/>
    <x v="0"/>
    <s v="18-25"/>
    <x v="0"/>
    <s v="Low"/>
  </r>
  <r>
    <x v="4"/>
    <x v="0"/>
    <n v="24.13"/>
    <x v="0"/>
    <x v="1"/>
    <x v="0"/>
    <x v="196"/>
    <x v="0"/>
    <s v="18-25"/>
    <x v="0"/>
    <s v="Low"/>
  </r>
  <r>
    <x v="4"/>
    <x v="0"/>
    <n v="24.13"/>
    <x v="0"/>
    <x v="1"/>
    <x v="1"/>
    <x v="197"/>
    <x v="0"/>
    <s v="18-25"/>
    <x v="0"/>
    <s v="Low"/>
  </r>
  <r>
    <x v="4"/>
    <x v="0"/>
    <n v="24.225000000000001"/>
    <x v="0"/>
    <x v="1"/>
    <x v="2"/>
    <x v="198"/>
    <x v="0"/>
    <s v="18-25"/>
    <x v="0"/>
    <s v="Low"/>
  </r>
  <r>
    <x v="4"/>
    <x v="0"/>
    <n v="24.225000000000001"/>
    <x v="0"/>
    <x v="1"/>
    <x v="3"/>
    <x v="199"/>
    <x v="0"/>
    <s v="18-25"/>
    <x v="0"/>
    <s v="Low"/>
  </r>
  <r>
    <x v="4"/>
    <x v="0"/>
    <n v="24.225000000000001"/>
    <x v="0"/>
    <x v="1"/>
    <x v="2"/>
    <x v="200"/>
    <x v="0"/>
    <s v="18-25"/>
    <x v="0"/>
    <s v="Low"/>
  </r>
  <r>
    <x v="4"/>
    <x v="0"/>
    <n v="24.3"/>
    <x v="0"/>
    <x v="1"/>
    <x v="1"/>
    <x v="201"/>
    <x v="0"/>
    <s v="18-25"/>
    <x v="0"/>
    <s v="Low"/>
  </r>
  <r>
    <x v="4"/>
    <x v="0"/>
    <n v="24.3"/>
    <x v="0"/>
    <x v="1"/>
    <x v="2"/>
    <x v="202"/>
    <x v="0"/>
    <s v="18-25"/>
    <x v="0"/>
    <s v="Low"/>
  </r>
  <r>
    <x v="4"/>
    <x v="0"/>
    <n v="24.3"/>
    <x v="0"/>
    <x v="0"/>
    <x v="1"/>
    <x v="203"/>
    <x v="0"/>
    <s v="18-25"/>
    <x v="0"/>
    <s v="Low"/>
  </r>
  <r>
    <x v="4"/>
    <x v="1"/>
    <n v="24.31"/>
    <x v="0"/>
    <x v="1"/>
    <x v="0"/>
    <x v="204"/>
    <x v="0"/>
    <s v="18-25"/>
    <x v="0"/>
    <s v="Low"/>
  </r>
  <r>
    <x v="4"/>
    <x v="0"/>
    <n v="24.31"/>
    <x v="0"/>
    <x v="1"/>
    <x v="3"/>
    <x v="205"/>
    <x v="0"/>
    <s v="18-25"/>
    <x v="0"/>
    <s v="Low"/>
  </r>
  <r>
    <x v="4"/>
    <x v="1"/>
    <n v="24.32"/>
    <x v="0"/>
    <x v="1"/>
    <x v="1"/>
    <x v="206"/>
    <x v="0"/>
    <s v="18-25"/>
    <x v="0"/>
    <s v="Low"/>
  </r>
  <r>
    <x v="4"/>
    <x v="1"/>
    <n v="24.32"/>
    <x v="0"/>
    <x v="0"/>
    <x v="3"/>
    <x v="207"/>
    <x v="0"/>
    <s v="18-25"/>
    <x v="0"/>
    <s v="Low"/>
  </r>
  <r>
    <x v="4"/>
    <x v="0"/>
    <n v="24.32"/>
    <x v="0"/>
    <x v="1"/>
    <x v="0"/>
    <x v="208"/>
    <x v="0"/>
    <s v="18-25"/>
    <x v="0"/>
    <s v="Low"/>
  </r>
  <r>
    <x v="4"/>
    <x v="1"/>
    <n v="24.32"/>
    <x v="0"/>
    <x v="1"/>
    <x v="3"/>
    <x v="209"/>
    <x v="0"/>
    <s v="18-25"/>
    <x v="0"/>
    <s v="Low"/>
  </r>
  <r>
    <x v="4"/>
    <x v="1"/>
    <n v="24.32"/>
    <x v="0"/>
    <x v="1"/>
    <x v="0"/>
    <x v="210"/>
    <x v="0"/>
    <s v="18-25"/>
    <x v="0"/>
    <s v="Low"/>
  </r>
  <r>
    <x v="4"/>
    <x v="1"/>
    <n v="24.32"/>
    <x v="0"/>
    <x v="1"/>
    <x v="2"/>
    <x v="211"/>
    <x v="0"/>
    <s v="18-25"/>
    <x v="0"/>
    <s v="Low"/>
  </r>
  <r>
    <x v="4"/>
    <x v="1"/>
    <n v="24.32"/>
    <x v="0"/>
    <x v="1"/>
    <x v="2"/>
    <x v="212"/>
    <x v="0"/>
    <s v="18-25"/>
    <x v="0"/>
    <s v="Low"/>
  </r>
  <r>
    <x v="4"/>
    <x v="0"/>
    <n v="24.4"/>
    <x v="0"/>
    <x v="1"/>
    <x v="1"/>
    <x v="213"/>
    <x v="0"/>
    <s v="18-25"/>
    <x v="0"/>
    <s v="Low"/>
  </r>
  <r>
    <x v="4"/>
    <x v="0"/>
    <n v="24.414999999999999"/>
    <x v="0"/>
    <x v="1"/>
    <x v="0"/>
    <x v="214"/>
    <x v="0"/>
    <s v="18-25"/>
    <x v="0"/>
    <s v="Low"/>
  </r>
  <r>
    <x v="4"/>
    <x v="0"/>
    <n v="24.42"/>
    <x v="0"/>
    <x v="1"/>
    <x v="0"/>
    <x v="215"/>
    <x v="0"/>
    <s v="18-25"/>
    <x v="0"/>
    <s v="Low"/>
  </r>
  <r>
    <x v="4"/>
    <x v="0"/>
    <n v="24.42"/>
    <x v="0"/>
    <x v="1"/>
    <x v="2"/>
    <x v="216"/>
    <x v="0"/>
    <s v="18-25"/>
    <x v="0"/>
    <s v="Low"/>
  </r>
  <r>
    <x v="4"/>
    <x v="1"/>
    <n v="24.42"/>
    <x v="0"/>
    <x v="1"/>
    <x v="1"/>
    <x v="217"/>
    <x v="0"/>
    <s v="18-25"/>
    <x v="0"/>
    <s v="Low"/>
  </r>
  <r>
    <x v="4"/>
    <x v="0"/>
    <n v="24.51"/>
    <x v="0"/>
    <x v="1"/>
    <x v="1"/>
    <x v="218"/>
    <x v="0"/>
    <s v="18-25"/>
    <x v="0"/>
    <s v="Low"/>
  </r>
  <r>
    <x v="4"/>
    <x v="0"/>
    <n v="24.51"/>
    <x v="0"/>
    <x v="1"/>
    <x v="1"/>
    <x v="219"/>
    <x v="0"/>
    <s v="18-25"/>
    <x v="0"/>
    <s v="Low"/>
  </r>
  <r>
    <x v="4"/>
    <x v="0"/>
    <n v="24.51"/>
    <x v="0"/>
    <x v="1"/>
    <x v="0"/>
    <x v="220"/>
    <x v="0"/>
    <s v="18-25"/>
    <x v="0"/>
    <s v="Low"/>
  </r>
  <r>
    <x v="5"/>
    <x v="0"/>
    <n v="24.53"/>
    <x v="0"/>
    <x v="1"/>
    <x v="3"/>
    <x v="221"/>
    <x v="0"/>
    <s v="18-25"/>
    <x v="0"/>
    <s v="Low"/>
  </r>
  <r>
    <x v="5"/>
    <x v="1"/>
    <n v="24.6"/>
    <x v="0"/>
    <x v="1"/>
    <x v="0"/>
    <x v="222"/>
    <x v="0"/>
    <s v="18-25"/>
    <x v="0"/>
    <s v="Low"/>
  </r>
  <r>
    <x v="5"/>
    <x v="1"/>
    <n v="24.6"/>
    <x v="0"/>
    <x v="0"/>
    <x v="0"/>
    <x v="223"/>
    <x v="0"/>
    <s v="18-25"/>
    <x v="0"/>
    <s v="Low"/>
  </r>
  <r>
    <x v="5"/>
    <x v="1"/>
    <n v="24.6"/>
    <x v="0"/>
    <x v="0"/>
    <x v="1"/>
    <x v="224"/>
    <x v="0"/>
    <s v="18-25"/>
    <x v="0"/>
    <s v="Low"/>
  </r>
  <r>
    <x v="5"/>
    <x v="1"/>
    <n v="24.605"/>
    <x v="0"/>
    <x v="1"/>
    <x v="1"/>
    <x v="225"/>
    <x v="0"/>
    <s v="18-25"/>
    <x v="0"/>
    <s v="Low"/>
  </r>
  <r>
    <x v="5"/>
    <x v="1"/>
    <n v="24.605"/>
    <x v="0"/>
    <x v="1"/>
    <x v="1"/>
    <x v="226"/>
    <x v="0"/>
    <s v="18-25"/>
    <x v="0"/>
    <s v="Low"/>
  </r>
  <r>
    <x v="5"/>
    <x v="0"/>
    <n v="24.605"/>
    <x v="0"/>
    <x v="1"/>
    <x v="1"/>
    <x v="227"/>
    <x v="0"/>
    <s v="18-25"/>
    <x v="0"/>
    <s v="Low"/>
  </r>
  <r>
    <x v="5"/>
    <x v="0"/>
    <n v="24.605"/>
    <x v="0"/>
    <x v="1"/>
    <x v="3"/>
    <x v="228"/>
    <x v="0"/>
    <s v="18-25"/>
    <x v="0"/>
    <s v="Low"/>
  </r>
  <r>
    <x v="5"/>
    <x v="1"/>
    <n v="24.64"/>
    <x v="0"/>
    <x v="1"/>
    <x v="3"/>
    <x v="229"/>
    <x v="0"/>
    <s v="18-25"/>
    <x v="0"/>
    <s v="Low"/>
  </r>
  <r>
    <x v="5"/>
    <x v="0"/>
    <n v="24.7"/>
    <x v="0"/>
    <x v="1"/>
    <x v="2"/>
    <x v="230"/>
    <x v="0"/>
    <s v="18-25"/>
    <x v="0"/>
    <s v="Low"/>
  </r>
  <r>
    <x v="5"/>
    <x v="0"/>
    <n v="24.7"/>
    <x v="0"/>
    <x v="1"/>
    <x v="1"/>
    <x v="231"/>
    <x v="0"/>
    <s v="18-25"/>
    <x v="0"/>
    <s v="Low"/>
  </r>
  <r>
    <x v="5"/>
    <x v="0"/>
    <n v="24.7"/>
    <x v="0"/>
    <x v="1"/>
    <x v="0"/>
    <x v="232"/>
    <x v="0"/>
    <s v="18-25"/>
    <x v="0"/>
    <s v="Low"/>
  </r>
  <r>
    <x v="5"/>
    <x v="1"/>
    <n v="24.7"/>
    <x v="0"/>
    <x v="1"/>
    <x v="0"/>
    <x v="233"/>
    <x v="0"/>
    <s v="18-25"/>
    <x v="0"/>
    <s v="Low"/>
  </r>
  <r>
    <x v="5"/>
    <x v="1"/>
    <n v="24.75"/>
    <x v="0"/>
    <x v="1"/>
    <x v="2"/>
    <x v="234"/>
    <x v="0"/>
    <s v="18-25"/>
    <x v="0"/>
    <s v="Low"/>
  </r>
  <r>
    <x v="5"/>
    <x v="0"/>
    <n v="24.795000000000002"/>
    <x v="0"/>
    <x v="0"/>
    <x v="1"/>
    <x v="235"/>
    <x v="0"/>
    <s v="18-25"/>
    <x v="0"/>
    <s v="Low"/>
  </r>
  <r>
    <x v="5"/>
    <x v="0"/>
    <n v="24.795000000000002"/>
    <x v="0"/>
    <x v="1"/>
    <x v="1"/>
    <x v="236"/>
    <x v="0"/>
    <s v="18-25"/>
    <x v="0"/>
    <s v="Low"/>
  </r>
  <r>
    <x v="5"/>
    <x v="1"/>
    <n v="24.795000000000002"/>
    <x v="0"/>
    <x v="1"/>
    <x v="1"/>
    <x v="237"/>
    <x v="0"/>
    <s v="18-25"/>
    <x v="0"/>
    <s v="Low"/>
  </r>
  <r>
    <x v="5"/>
    <x v="1"/>
    <n v="24.795000000000002"/>
    <x v="0"/>
    <x v="0"/>
    <x v="2"/>
    <x v="238"/>
    <x v="0"/>
    <s v="18-25"/>
    <x v="0"/>
    <s v="Low"/>
  </r>
  <r>
    <x v="5"/>
    <x v="1"/>
    <n v="24.86"/>
    <x v="0"/>
    <x v="1"/>
    <x v="1"/>
    <x v="239"/>
    <x v="0"/>
    <s v="18-25"/>
    <x v="0"/>
    <s v="Low"/>
  </r>
  <r>
    <x v="5"/>
    <x v="0"/>
    <n v="24.86"/>
    <x v="0"/>
    <x v="0"/>
    <x v="3"/>
    <x v="240"/>
    <x v="0"/>
    <s v="18-25"/>
    <x v="0"/>
    <s v="Low"/>
  </r>
  <r>
    <x v="5"/>
    <x v="0"/>
    <n v="24.89"/>
    <x v="0"/>
    <x v="1"/>
    <x v="3"/>
    <x v="241"/>
    <x v="0"/>
    <s v="18-25"/>
    <x v="0"/>
    <s v="Low"/>
  </r>
  <r>
    <x v="5"/>
    <x v="0"/>
    <n v="24.97"/>
    <x v="0"/>
    <x v="1"/>
    <x v="0"/>
    <x v="242"/>
    <x v="0"/>
    <s v="18-25"/>
    <x v="0"/>
    <s v="Low"/>
  </r>
  <r>
    <x v="5"/>
    <x v="1"/>
    <n v="24.984999999999999"/>
    <x v="0"/>
    <x v="1"/>
    <x v="0"/>
    <x v="243"/>
    <x v="0"/>
    <s v="18-25"/>
    <x v="0"/>
    <s v="Low"/>
  </r>
  <r>
    <x v="5"/>
    <x v="0"/>
    <n v="24.984999999999999"/>
    <x v="0"/>
    <x v="0"/>
    <x v="3"/>
    <x v="244"/>
    <x v="0"/>
    <s v="18-25"/>
    <x v="0"/>
    <s v="Low"/>
  </r>
  <r>
    <x v="5"/>
    <x v="1"/>
    <n v="25"/>
    <x v="0"/>
    <x v="1"/>
    <x v="2"/>
    <x v="245"/>
    <x v="0"/>
    <s v="18-25"/>
    <x v="0"/>
    <s v="Low"/>
  </r>
  <r>
    <x v="5"/>
    <x v="0"/>
    <n v="25"/>
    <x v="0"/>
    <x v="1"/>
    <x v="1"/>
    <x v="246"/>
    <x v="0"/>
    <s v="18-25"/>
    <x v="0"/>
    <s v="Low"/>
  </r>
  <r>
    <x v="5"/>
    <x v="1"/>
    <n v="25.08"/>
    <x v="0"/>
    <x v="1"/>
    <x v="1"/>
    <x v="247"/>
    <x v="0"/>
    <s v="18-25"/>
    <x v="0"/>
    <s v="Low"/>
  </r>
  <r>
    <x v="5"/>
    <x v="1"/>
    <n v="25.08"/>
    <x v="0"/>
    <x v="1"/>
    <x v="0"/>
    <x v="248"/>
    <x v="0"/>
    <s v="18-25"/>
    <x v="0"/>
    <s v="Low"/>
  </r>
  <r>
    <x v="6"/>
    <x v="1"/>
    <n v="25.08"/>
    <x v="0"/>
    <x v="1"/>
    <x v="3"/>
    <x v="249"/>
    <x v="0"/>
    <s v="18-25"/>
    <x v="0"/>
    <s v="Low"/>
  </r>
  <r>
    <x v="6"/>
    <x v="1"/>
    <n v="25.08"/>
    <x v="0"/>
    <x v="0"/>
    <x v="3"/>
    <x v="250"/>
    <x v="0"/>
    <s v="18-25"/>
    <x v="0"/>
    <s v="Low"/>
  </r>
  <r>
    <x v="6"/>
    <x v="0"/>
    <n v="25.08"/>
    <x v="0"/>
    <x v="0"/>
    <x v="0"/>
    <x v="251"/>
    <x v="0"/>
    <s v="18-25"/>
    <x v="0"/>
    <s v="Low"/>
  </r>
  <r>
    <x v="6"/>
    <x v="1"/>
    <n v="25.1"/>
    <x v="0"/>
    <x v="0"/>
    <x v="1"/>
    <x v="252"/>
    <x v="0"/>
    <s v="18-25"/>
    <x v="0"/>
    <s v="Low"/>
  </r>
  <r>
    <x v="6"/>
    <x v="1"/>
    <n v="25.175000000000001"/>
    <x v="0"/>
    <x v="1"/>
    <x v="0"/>
    <x v="253"/>
    <x v="0"/>
    <s v="18-25"/>
    <x v="0"/>
    <s v="Low"/>
  </r>
  <r>
    <x v="6"/>
    <x v="1"/>
    <n v="25.175000000000001"/>
    <x v="0"/>
    <x v="0"/>
    <x v="3"/>
    <x v="254"/>
    <x v="0"/>
    <s v="18-25"/>
    <x v="0"/>
    <s v="Low"/>
  </r>
  <r>
    <x v="6"/>
    <x v="0"/>
    <n v="25.175000000000001"/>
    <x v="0"/>
    <x v="1"/>
    <x v="3"/>
    <x v="255"/>
    <x v="0"/>
    <s v="18-25"/>
    <x v="0"/>
    <s v="Low"/>
  </r>
  <r>
    <x v="6"/>
    <x v="1"/>
    <n v="25.175000000000001"/>
    <x v="0"/>
    <x v="0"/>
    <x v="2"/>
    <x v="256"/>
    <x v="0"/>
    <s v="18-25"/>
    <x v="0"/>
    <s v="Low"/>
  </r>
  <r>
    <x v="6"/>
    <x v="0"/>
    <n v="25.175000000000001"/>
    <x v="0"/>
    <x v="1"/>
    <x v="1"/>
    <x v="257"/>
    <x v="0"/>
    <s v="18-25"/>
    <x v="0"/>
    <s v="Low"/>
  </r>
  <r>
    <x v="6"/>
    <x v="1"/>
    <n v="25.175000000000001"/>
    <x v="0"/>
    <x v="1"/>
    <x v="2"/>
    <x v="258"/>
    <x v="0"/>
    <s v="18-25"/>
    <x v="0"/>
    <s v="Low"/>
  </r>
  <r>
    <x v="6"/>
    <x v="1"/>
    <n v="25.2"/>
    <x v="0"/>
    <x v="0"/>
    <x v="2"/>
    <x v="259"/>
    <x v="0"/>
    <s v="18-25"/>
    <x v="0"/>
    <s v="Low"/>
  </r>
  <r>
    <x v="6"/>
    <x v="0"/>
    <n v="25.27"/>
    <x v="0"/>
    <x v="1"/>
    <x v="0"/>
    <x v="260"/>
    <x v="0"/>
    <s v="18-25"/>
    <x v="0"/>
    <s v="Low"/>
  </r>
  <r>
    <x v="6"/>
    <x v="0"/>
    <n v="25.27"/>
    <x v="0"/>
    <x v="0"/>
    <x v="1"/>
    <x v="261"/>
    <x v="0"/>
    <s v="18-25"/>
    <x v="0"/>
    <s v="Low"/>
  </r>
  <r>
    <x v="6"/>
    <x v="1"/>
    <n v="25.27"/>
    <x v="0"/>
    <x v="0"/>
    <x v="3"/>
    <x v="262"/>
    <x v="0"/>
    <s v="18-25"/>
    <x v="0"/>
    <s v="Low"/>
  </r>
  <r>
    <x v="6"/>
    <x v="1"/>
    <n v="25.3"/>
    <x v="0"/>
    <x v="0"/>
    <x v="2"/>
    <x v="263"/>
    <x v="0"/>
    <s v="18-25"/>
    <x v="0"/>
    <s v="Low"/>
  </r>
  <r>
    <x v="6"/>
    <x v="0"/>
    <n v="25.3"/>
    <x v="0"/>
    <x v="1"/>
    <x v="1"/>
    <x v="264"/>
    <x v="0"/>
    <s v="18-25"/>
    <x v="0"/>
    <s v="Low"/>
  </r>
  <r>
    <x v="6"/>
    <x v="1"/>
    <n v="25.3"/>
    <x v="0"/>
    <x v="0"/>
    <x v="1"/>
    <x v="265"/>
    <x v="0"/>
    <s v="18-25"/>
    <x v="0"/>
    <s v="Low"/>
  </r>
  <r>
    <x v="6"/>
    <x v="1"/>
    <n v="25.3"/>
    <x v="0"/>
    <x v="0"/>
    <x v="1"/>
    <x v="266"/>
    <x v="0"/>
    <s v="18-25"/>
    <x v="0"/>
    <s v="Low"/>
  </r>
  <r>
    <x v="6"/>
    <x v="0"/>
    <n v="25.3"/>
    <x v="0"/>
    <x v="1"/>
    <x v="3"/>
    <x v="267"/>
    <x v="0"/>
    <s v="18-25"/>
    <x v="0"/>
    <s v="Low"/>
  </r>
  <r>
    <x v="6"/>
    <x v="1"/>
    <n v="25.364999999999998"/>
    <x v="0"/>
    <x v="1"/>
    <x v="0"/>
    <x v="268"/>
    <x v="0"/>
    <s v="18-25"/>
    <x v="0"/>
    <s v="Low"/>
  </r>
  <r>
    <x v="6"/>
    <x v="1"/>
    <n v="25.364999999999998"/>
    <x v="0"/>
    <x v="1"/>
    <x v="3"/>
    <x v="269"/>
    <x v="0"/>
    <s v="18-25"/>
    <x v="0"/>
    <s v="Low"/>
  </r>
  <r>
    <x v="6"/>
    <x v="1"/>
    <n v="25.364999999999998"/>
    <x v="0"/>
    <x v="1"/>
    <x v="1"/>
    <x v="270"/>
    <x v="0"/>
    <s v="18-25"/>
    <x v="0"/>
    <s v="Low"/>
  </r>
  <r>
    <x v="6"/>
    <x v="1"/>
    <n v="25.4"/>
    <x v="0"/>
    <x v="0"/>
    <x v="0"/>
    <x v="271"/>
    <x v="0"/>
    <s v="18-25"/>
    <x v="0"/>
    <s v="Low"/>
  </r>
  <r>
    <x v="6"/>
    <x v="1"/>
    <n v="25.41"/>
    <x v="0"/>
    <x v="1"/>
    <x v="2"/>
    <x v="272"/>
    <x v="0"/>
    <s v="18-25"/>
    <x v="0"/>
    <s v="Low"/>
  </r>
  <r>
    <x v="6"/>
    <x v="1"/>
    <n v="25.46"/>
    <x v="0"/>
    <x v="1"/>
    <x v="3"/>
    <x v="273"/>
    <x v="0"/>
    <s v="18-25"/>
    <x v="0"/>
    <s v="Low"/>
  </r>
  <r>
    <x v="6"/>
    <x v="1"/>
    <n v="25.46"/>
    <x v="0"/>
    <x v="1"/>
    <x v="2"/>
    <x v="274"/>
    <x v="0"/>
    <s v="18-25"/>
    <x v="0"/>
    <s v="Low"/>
  </r>
  <r>
    <x v="6"/>
    <x v="0"/>
    <n v="25.46"/>
    <x v="0"/>
    <x v="1"/>
    <x v="3"/>
    <x v="275"/>
    <x v="0"/>
    <s v="18-25"/>
    <x v="0"/>
    <s v="Low"/>
  </r>
  <r>
    <x v="6"/>
    <x v="1"/>
    <n v="25.46"/>
    <x v="0"/>
    <x v="1"/>
    <x v="2"/>
    <x v="276"/>
    <x v="0"/>
    <s v="18-25"/>
    <x v="0"/>
    <s v="Low"/>
  </r>
  <r>
    <x v="7"/>
    <x v="0"/>
    <n v="25.46"/>
    <x v="0"/>
    <x v="1"/>
    <x v="0"/>
    <x v="277"/>
    <x v="0"/>
    <s v="18-25"/>
    <x v="0"/>
    <s v="Low"/>
  </r>
  <r>
    <x v="7"/>
    <x v="1"/>
    <n v="25.46"/>
    <x v="0"/>
    <x v="1"/>
    <x v="1"/>
    <x v="278"/>
    <x v="0"/>
    <s v="18-25"/>
    <x v="0"/>
    <s v="Low"/>
  </r>
  <r>
    <x v="7"/>
    <x v="0"/>
    <n v="25.46"/>
    <x v="0"/>
    <x v="1"/>
    <x v="1"/>
    <x v="279"/>
    <x v="0"/>
    <s v="18-25"/>
    <x v="0"/>
    <s v="Low"/>
  </r>
  <r>
    <x v="7"/>
    <x v="0"/>
    <n v="25.52"/>
    <x v="0"/>
    <x v="0"/>
    <x v="3"/>
    <x v="280"/>
    <x v="0"/>
    <s v="18-25"/>
    <x v="0"/>
    <s v="Low"/>
  </r>
  <r>
    <x v="7"/>
    <x v="1"/>
    <n v="25.555"/>
    <x v="0"/>
    <x v="0"/>
    <x v="3"/>
    <x v="281"/>
    <x v="0"/>
    <s v="18-25"/>
    <x v="0"/>
    <s v="Low"/>
  </r>
  <r>
    <x v="7"/>
    <x v="1"/>
    <n v="25.555"/>
    <x v="0"/>
    <x v="1"/>
    <x v="3"/>
    <x v="282"/>
    <x v="0"/>
    <s v="18-25"/>
    <x v="0"/>
    <s v="Low"/>
  </r>
  <r>
    <x v="7"/>
    <x v="0"/>
    <n v="25.555"/>
    <x v="0"/>
    <x v="1"/>
    <x v="3"/>
    <x v="283"/>
    <x v="0"/>
    <s v="18-25"/>
    <x v="0"/>
    <s v="Low"/>
  </r>
  <r>
    <x v="7"/>
    <x v="0"/>
    <n v="25.6"/>
    <x v="0"/>
    <x v="1"/>
    <x v="0"/>
    <x v="284"/>
    <x v="0"/>
    <s v="18-25"/>
    <x v="0"/>
    <s v="Low"/>
  </r>
  <r>
    <x v="7"/>
    <x v="1"/>
    <n v="25.6"/>
    <x v="0"/>
    <x v="1"/>
    <x v="1"/>
    <x v="285"/>
    <x v="0"/>
    <s v="18-25"/>
    <x v="0"/>
    <s v="Low"/>
  </r>
  <r>
    <x v="7"/>
    <x v="0"/>
    <n v="25.6"/>
    <x v="0"/>
    <x v="1"/>
    <x v="3"/>
    <x v="286"/>
    <x v="0"/>
    <s v="18-25"/>
    <x v="0"/>
    <s v="Low"/>
  </r>
  <r>
    <x v="7"/>
    <x v="0"/>
    <n v="25.6"/>
    <x v="0"/>
    <x v="1"/>
    <x v="2"/>
    <x v="287"/>
    <x v="0"/>
    <s v="18-25"/>
    <x v="0"/>
    <s v="Low"/>
  </r>
  <r>
    <x v="7"/>
    <x v="0"/>
    <n v="25.65"/>
    <x v="0"/>
    <x v="0"/>
    <x v="3"/>
    <x v="288"/>
    <x v="0"/>
    <s v="18-25"/>
    <x v="0"/>
    <s v="Low"/>
  </r>
  <r>
    <x v="7"/>
    <x v="1"/>
    <n v="25.7"/>
    <x v="0"/>
    <x v="1"/>
    <x v="1"/>
    <x v="289"/>
    <x v="0"/>
    <s v="18-25"/>
    <x v="0"/>
    <s v="Low"/>
  </r>
  <r>
    <x v="7"/>
    <x v="0"/>
    <n v="25.7"/>
    <x v="0"/>
    <x v="1"/>
    <x v="0"/>
    <x v="290"/>
    <x v="0"/>
    <s v="18-25"/>
    <x v="0"/>
    <s v="Low"/>
  </r>
  <r>
    <x v="7"/>
    <x v="1"/>
    <n v="25.74"/>
    <x v="0"/>
    <x v="1"/>
    <x v="3"/>
    <x v="291"/>
    <x v="0"/>
    <s v="18-25"/>
    <x v="0"/>
    <s v="Low"/>
  </r>
  <r>
    <x v="7"/>
    <x v="1"/>
    <n v="25.74"/>
    <x v="0"/>
    <x v="0"/>
    <x v="1"/>
    <x v="292"/>
    <x v="0"/>
    <s v="18-25"/>
    <x v="0"/>
    <s v="Low"/>
  </r>
  <r>
    <x v="7"/>
    <x v="0"/>
    <n v="25.74"/>
    <x v="0"/>
    <x v="1"/>
    <x v="1"/>
    <x v="293"/>
    <x v="0"/>
    <s v="18-25"/>
    <x v="0"/>
    <s v="Low"/>
  </r>
  <r>
    <x v="7"/>
    <x v="1"/>
    <n v="25.74"/>
    <x v="0"/>
    <x v="1"/>
    <x v="0"/>
    <x v="294"/>
    <x v="0"/>
    <s v="18-25"/>
    <x v="0"/>
    <s v="Low"/>
  </r>
  <r>
    <x v="7"/>
    <x v="1"/>
    <n v="25.745000000000001"/>
    <x v="0"/>
    <x v="1"/>
    <x v="3"/>
    <x v="295"/>
    <x v="0"/>
    <s v="18-25"/>
    <x v="0"/>
    <s v="Low"/>
  </r>
  <r>
    <x v="7"/>
    <x v="1"/>
    <n v="25.745000000000001"/>
    <x v="0"/>
    <x v="0"/>
    <x v="0"/>
    <x v="296"/>
    <x v="0"/>
    <s v="18-25"/>
    <x v="0"/>
    <s v="Low"/>
  </r>
  <r>
    <x v="7"/>
    <x v="1"/>
    <n v="25.745000000000001"/>
    <x v="0"/>
    <x v="0"/>
    <x v="1"/>
    <x v="297"/>
    <x v="0"/>
    <s v="18-25"/>
    <x v="0"/>
    <s v="Low"/>
  </r>
  <r>
    <x v="7"/>
    <x v="1"/>
    <n v="25.8"/>
    <x v="0"/>
    <x v="0"/>
    <x v="2"/>
    <x v="298"/>
    <x v="0"/>
    <s v="18-25"/>
    <x v="0"/>
    <s v="Low"/>
  </r>
  <r>
    <x v="7"/>
    <x v="0"/>
    <n v="25.8"/>
    <x v="0"/>
    <x v="1"/>
    <x v="2"/>
    <x v="299"/>
    <x v="0"/>
    <s v="18-25"/>
    <x v="0"/>
    <s v="Low"/>
  </r>
  <r>
    <x v="7"/>
    <x v="1"/>
    <n v="25.8"/>
    <x v="0"/>
    <x v="1"/>
    <x v="3"/>
    <x v="300"/>
    <x v="0"/>
    <s v="18-25"/>
    <x v="0"/>
    <s v="Low"/>
  </r>
  <r>
    <x v="7"/>
    <x v="0"/>
    <n v="25.8"/>
    <x v="0"/>
    <x v="0"/>
    <x v="3"/>
    <x v="301"/>
    <x v="0"/>
    <s v="18-25"/>
    <x v="0"/>
    <s v="Low"/>
  </r>
  <r>
    <x v="7"/>
    <x v="0"/>
    <n v="25.8"/>
    <x v="0"/>
    <x v="1"/>
    <x v="1"/>
    <x v="302"/>
    <x v="0"/>
    <s v="18-25"/>
    <x v="0"/>
    <s v="Low"/>
  </r>
  <r>
    <x v="7"/>
    <x v="0"/>
    <n v="25.8"/>
    <x v="0"/>
    <x v="1"/>
    <x v="1"/>
    <x v="303"/>
    <x v="0"/>
    <s v="18-25"/>
    <x v="0"/>
    <s v="Low"/>
  </r>
  <r>
    <x v="7"/>
    <x v="0"/>
    <n v="25.8"/>
    <x v="0"/>
    <x v="1"/>
    <x v="0"/>
    <x v="304"/>
    <x v="0"/>
    <s v="18-25"/>
    <x v="0"/>
    <s v="Low"/>
  </r>
  <r>
    <x v="8"/>
    <x v="1"/>
    <n v="25.84"/>
    <x v="0"/>
    <x v="1"/>
    <x v="2"/>
    <x v="305"/>
    <x v="0"/>
    <s v="26-35"/>
    <x v="0"/>
    <s v="Low"/>
  </r>
  <r>
    <x v="8"/>
    <x v="0"/>
    <n v="25.84"/>
    <x v="0"/>
    <x v="1"/>
    <x v="0"/>
    <x v="306"/>
    <x v="0"/>
    <s v="26-35"/>
    <x v="0"/>
    <s v="Low"/>
  </r>
  <r>
    <x v="8"/>
    <x v="0"/>
    <n v="25.84"/>
    <x v="0"/>
    <x v="1"/>
    <x v="1"/>
    <x v="307"/>
    <x v="0"/>
    <s v="26-35"/>
    <x v="0"/>
    <s v="Low"/>
  </r>
  <r>
    <x v="8"/>
    <x v="1"/>
    <n v="25.84"/>
    <x v="0"/>
    <x v="1"/>
    <x v="3"/>
    <x v="308"/>
    <x v="0"/>
    <s v="26-35"/>
    <x v="0"/>
    <s v="Low"/>
  </r>
  <r>
    <x v="8"/>
    <x v="0"/>
    <n v="25.84"/>
    <x v="0"/>
    <x v="1"/>
    <x v="2"/>
    <x v="309"/>
    <x v="0"/>
    <s v="26-35"/>
    <x v="0"/>
    <s v="Low"/>
  </r>
  <r>
    <x v="8"/>
    <x v="1"/>
    <n v="25.85"/>
    <x v="0"/>
    <x v="1"/>
    <x v="0"/>
    <x v="310"/>
    <x v="0"/>
    <s v="26-35"/>
    <x v="0"/>
    <s v="Low"/>
  </r>
  <r>
    <x v="8"/>
    <x v="0"/>
    <n v="25.9"/>
    <x v="0"/>
    <x v="1"/>
    <x v="0"/>
    <x v="311"/>
    <x v="0"/>
    <s v="26-35"/>
    <x v="0"/>
    <s v="Low"/>
  </r>
  <r>
    <x v="8"/>
    <x v="1"/>
    <n v="25.9"/>
    <x v="0"/>
    <x v="0"/>
    <x v="1"/>
    <x v="312"/>
    <x v="0"/>
    <s v="26-35"/>
    <x v="0"/>
    <s v="Low"/>
  </r>
  <r>
    <x v="8"/>
    <x v="1"/>
    <n v="25.9"/>
    <x v="0"/>
    <x v="1"/>
    <x v="1"/>
    <x v="313"/>
    <x v="0"/>
    <s v="26-35"/>
    <x v="0"/>
    <s v="Low"/>
  </r>
  <r>
    <x v="8"/>
    <x v="0"/>
    <n v="25.934999999999999"/>
    <x v="0"/>
    <x v="0"/>
    <x v="0"/>
    <x v="314"/>
    <x v="0"/>
    <s v="26-35"/>
    <x v="0"/>
    <s v="Low"/>
  </r>
  <r>
    <x v="8"/>
    <x v="1"/>
    <n v="25.934999999999999"/>
    <x v="0"/>
    <x v="1"/>
    <x v="3"/>
    <x v="315"/>
    <x v="0"/>
    <s v="26-35"/>
    <x v="0"/>
    <s v="Low"/>
  </r>
  <r>
    <x v="8"/>
    <x v="1"/>
    <n v="25.934999999999999"/>
    <x v="0"/>
    <x v="1"/>
    <x v="2"/>
    <x v="316"/>
    <x v="0"/>
    <s v="26-35"/>
    <x v="0"/>
    <s v="Low"/>
  </r>
  <r>
    <x v="8"/>
    <x v="1"/>
    <n v="26.03"/>
    <x v="0"/>
    <x v="1"/>
    <x v="3"/>
    <x v="317"/>
    <x v="0"/>
    <s v="26-35"/>
    <x v="0"/>
    <s v="Low"/>
  </r>
  <r>
    <x v="8"/>
    <x v="0"/>
    <n v="26.03"/>
    <x v="0"/>
    <x v="1"/>
    <x v="2"/>
    <x v="318"/>
    <x v="0"/>
    <s v="26-35"/>
    <x v="0"/>
    <s v="Low"/>
  </r>
  <r>
    <x v="8"/>
    <x v="1"/>
    <n v="26.03"/>
    <x v="0"/>
    <x v="1"/>
    <x v="3"/>
    <x v="319"/>
    <x v="0"/>
    <s v="26-35"/>
    <x v="0"/>
    <s v="Low"/>
  </r>
  <r>
    <x v="8"/>
    <x v="1"/>
    <n v="26.03"/>
    <x v="0"/>
    <x v="1"/>
    <x v="2"/>
    <x v="320"/>
    <x v="0"/>
    <s v="26-35"/>
    <x v="0"/>
    <s v="Low"/>
  </r>
  <r>
    <x v="8"/>
    <x v="0"/>
    <n v="26.03"/>
    <x v="0"/>
    <x v="1"/>
    <x v="3"/>
    <x v="321"/>
    <x v="0"/>
    <s v="26-35"/>
    <x v="0"/>
    <s v="Low"/>
  </r>
  <r>
    <x v="8"/>
    <x v="1"/>
    <n v="26.07"/>
    <x v="0"/>
    <x v="0"/>
    <x v="0"/>
    <x v="322"/>
    <x v="0"/>
    <s v="26-35"/>
    <x v="0"/>
    <s v="Low"/>
  </r>
  <r>
    <x v="8"/>
    <x v="1"/>
    <n v="26.125"/>
    <x v="0"/>
    <x v="1"/>
    <x v="3"/>
    <x v="323"/>
    <x v="0"/>
    <s v="26-35"/>
    <x v="0"/>
    <s v="Low"/>
  </r>
  <r>
    <x v="8"/>
    <x v="1"/>
    <n v="26.125"/>
    <x v="0"/>
    <x v="1"/>
    <x v="0"/>
    <x v="324"/>
    <x v="0"/>
    <s v="26-35"/>
    <x v="0"/>
    <s v="Low"/>
  </r>
  <r>
    <x v="8"/>
    <x v="1"/>
    <n v="26.125"/>
    <x v="0"/>
    <x v="1"/>
    <x v="3"/>
    <x v="325"/>
    <x v="0"/>
    <s v="26-35"/>
    <x v="0"/>
    <s v="Low"/>
  </r>
  <r>
    <x v="8"/>
    <x v="0"/>
    <n v="26.125"/>
    <x v="0"/>
    <x v="1"/>
    <x v="1"/>
    <x v="326"/>
    <x v="0"/>
    <s v="26-35"/>
    <x v="0"/>
    <s v="Low"/>
  </r>
  <r>
    <x v="8"/>
    <x v="1"/>
    <n v="26.18"/>
    <x v="0"/>
    <x v="0"/>
    <x v="2"/>
    <x v="327"/>
    <x v="0"/>
    <s v="26-35"/>
    <x v="0"/>
    <s v="Low"/>
  </r>
  <r>
    <x v="8"/>
    <x v="0"/>
    <n v="26.18"/>
    <x v="0"/>
    <x v="0"/>
    <x v="0"/>
    <x v="328"/>
    <x v="0"/>
    <s v="26-35"/>
    <x v="0"/>
    <s v="Low"/>
  </r>
  <r>
    <x v="8"/>
    <x v="1"/>
    <n v="26.2"/>
    <x v="0"/>
    <x v="1"/>
    <x v="0"/>
    <x v="329"/>
    <x v="0"/>
    <s v="26-35"/>
    <x v="0"/>
    <s v="Low"/>
  </r>
  <r>
    <x v="8"/>
    <x v="0"/>
    <n v="26.22"/>
    <x v="0"/>
    <x v="0"/>
    <x v="3"/>
    <x v="330"/>
    <x v="0"/>
    <s v="26-35"/>
    <x v="0"/>
    <s v="Low"/>
  </r>
  <r>
    <x v="8"/>
    <x v="1"/>
    <n v="26.22"/>
    <x v="0"/>
    <x v="0"/>
    <x v="2"/>
    <x v="331"/>
    <x v="0"/>
    <s v="26-35"/>
    <x v="0"/>
    <s v="Low"/>
  </r>
  <r>
    <x v="8"/>
    <x v="0"/>
    <n v="26.22"/>
    <x v="0"/>
    <x v="1"/>
    <x v="2"/>
    <x v="332"/>
    <x v="0"/>
    <s v="26-35"/>
    <x v="0"/>
    <s v="Low"/>
  </r>
  <r>
    <x v="9"/>
    <x v="0"/>
    <n v="26.22"/>
    <x v="0"/>
    <x v="1"/>
    <x v="3"/>
    <x v="333"/>
    <x v="0"/>
    <s v="26-35"/>
    <x v="0"/>
    <s v="Low"/>
  </r>
  <r>
    <x v="9"/>
    <x v="0"/>
    <n v="26.29"/>
    <x v="0"/>
    <x v="1"/>
    <x v="3"/>
    <x v="334"/>
    <x v="0"/>
    <s v="26-35"/>
    <x v="0"/>
    <s v="Low"/>
  </r>
  <r>
    <x v="9"/>
    <x v="1"/>
    <n v="26.315000000000001"/>
    <x v="0"/>
    <x v="1"/>
    <x v="0"/>
    <x v="335"/>
    <x v="0"/>
    <s v="26-35"/>
    <x v="0"/>
    <s v="Low"/>
  </r>
  <r>
    <x v="9"/>
    <x v="1"/>
    <n v="26.315000000000001"/>
    <x v="0"/>
    <x v="1"/>
    <x v="1"/>
    <x v="336"/>
    <x v="0"/>
    <s v="26-35"/>
    <x v="0"/>
    <s v="Low"/>
  </r>
  <r>
    <x v="9"/>
    <x v="1"/>
    <n v="26.315000000000001"/>
    <x v="0"/>
    <x v="1"/>
    <x v="2"/>
    <x v="337"/>
    <x v="0"/>
    <s v="26-35"/>
    <x v="0"/>
    <s v="Low"/>
  </r>
  <r>
    <x v="9"/>
    <x v="1"/>
    <n v="26.315000000000001"/>
    <x v="0"/>
    <x v="0"/>
    <x v="3"/>
    <x v="338"/>
    <x v="0"/>
    <s v="26-35"/>
    <x v="0"/>
    <s v="Low"/>
  </r>
  <r>
    <x v="9"/>
    <x v="0"/>
    <n v="26.315000000000001"/>
    <x v="0"/>
    <x v="1"/>
    <x v="1"/>
    <x v="339"/>
    <x v="0"/>
    <s v="26-35"/>
    <x v="0"/>
    <s v="Low"/>
  </r>
  <r>
    <x v="9"/>
    <x v="0"/>
    <n v="26.4"/>
    <x v="0"/>
    <x v="1"/>
    <x v="0"/>
    <x v="340"/>
    <x v="0"/>
    <s v="26-35"/>
    <x v="0"/>
    <s v="Low"/>
  </r>
  <r>
    <x v="9"/>
    <x v="1"/>
    <n v="26.4"/>
    <x v="0"/>
    <x v="1"/>
    <x v="2"/>
    <x v="341"/>
    <x v="0"/>
    <s v="26-35"/>
    <x v="0"/>
    <s v="Low"/>
  </r>
  <r>
    <x v="9"/>
    <x v="0"/>
    <n v="26.4"/>
    <x v="0"/>
    <x v="1"/>
    <x v="3"/>
    <x v="342"/>
    <x v="0"/>
    <s v="26-35"/>
    <x v="0"/>
    <s v="Low"/>
  </r>
  <r>
    <x v="9"/>
    <x v="1"/>
    <n v="26.4"/>
    <x v="0"/>
    <x v="1"/>
    <x v="3"/>
    <x v="343"/>
    <x v="0"/>
    <s v="26-35"/>
    <x v="0"/>
    <s v="Low"/>
  </r>
  <r>
    <x v="9"/>
    <x v="0"/>
    <n v="26.41"/>
    <x v="0"/>
    <x v="1"/>
    <x v="1"/>
    <x v="344"/>
    <x v="0"/>
    <s v="26-35"/>
    <x v="0"/>
    <s v="Low"/>
  </r>
  <r>
    <x v="9"/>
    <x v="0"/>
    <n v="26.41"/>
    <x v="0"/>
    <x v="1"/>
    <x v="1"/>
    <x v="345"/>
    <x v="0"/>
    <s v="26-35"/>
    <x v="0"/>
    <s v="Low"/>
  </r>
  <r>
    <x v="9"/>
    <x v="1"/>
    <n v="26.41"/>
    <x v="0"/>
    <x v="1"/>
    <x v="1"/>
    <x v="346"/>
    <x v="0"/>
    <s v="26-35"/>
    <x v="0"/>
    <s v="Low"/>
  </r>
  <r>
    <x v="9"/>
    <x v="1"/>
    <n v="26.41"/>
    <x v="0"/>
    <x v="1"/>
    <x v="3"/>
    <x v="347"/>
    <x v="0"/>
    <s v="26-35"/>
    <x v="0"/>
    <s v="Low"/>
  </r>
  <r>
    <x v="9"/>
    <x v="0"/>
    <n v="26.41"/>
    <x v="0"/>
    <x v="1"/>
    <x v="1"/>
    <x v="348"/>
    <x v="0"/>
    <s v="26-35"/>
    <x v="0"/>
    <s v="Low"/>
  </r>
  <r>
    <x v="9"/>
    <x v="1"/>
    <n v="26.41"/>
    <x v="0"/>
    <x v="1"/>
    <x v="2"/>
    <x v="349"/>
    <x v="0"/>
    <s v="26-35"/>
    <x v="0"/>
    <s v="Low"/>
  </r>
  <r>
    <x v="9"/>
    <x v="0"/>
    <n v="26.504999999999999"/>
    <x v="0"/>
    <x v="1"/>
    <x v="2"/>
    <x v="350"/>
    <x v="0"/>
    <s v="26-35"/>
    <x v="0"/>
    <s v="Low"/>
  </r>
  <r>
    <x v="9"/>
    <x v="0"/>
    <n v="26.51"/>
    <x v="0"/>
    <x v="1"/>
    <x v="0"/>
    <x v="351"/>
    <x v="0"/>
    <s v="26-35"/>
    <x v="0"/>
    <s v="Low"/>
  </r>
  <r>
    <x v="9"/>
    <x v="0"/>
    <n v="26.51"/>
    <x v="0"/>
    <x v="1"/>
    <x v="0"/>
    <x v="352"/>
    <x v="0"/>
    <s v="26-35"/>
    <x v="0"/>
    <s v="Low"/>
  </r>
  <r>
    <x v="9"/>
    <x v="1"/>
    <n v="26.6"/>
    <x v="0"/>
    <x v="1"/>
    <x v="3"/>
    <x v="353"/>
    <x v="0"/>
    <s v="26-35"/>
    <x v="0"/>
    <s v="Low"/>
  </r>
  <r>
    <x v="9"/>
    <x v="0"/>
    <n v="26.6"/>
    <x v="0"/>
    <x v="1"/>
    <x v="1"/>
    <x v="354"/>
    <x v="0"/>
    <s v="26-35"/>
    <x v="0"/>
    <s v="Low"/>
  </r>
  <r>
    <x v="9"/>
    <x v="1"/>
    <n v="26.6"/>
    <x v="0"/>
    <x v="1"/>
    <x v="0"/>
    <x v="355"/>
    <x v="0"/>
    <s v="26-35"/>
    <x v="0"/>
    <s v="Low"/>
  </r>
  <r>
    <x v="9"/>
    <x v="1"/>
    <n v="26.6"/>
    <x v="0"/>
    <x v="1"/>
    <x v="1"/>
    <x v="356"/>
    <x v="0"/>
    <s v="26-35"/>
    <x v="0"/>
    <s v="Low"/>
  </r>
  <r>
    <x v="9"/>
    <x v="1"/>
    <n v="26.6"/>
    <x v="0"/>
    <x v="1"/>
    <x v="2"/>
    <x v="357"/>
    <x v="0"/>
    <s v="26-35"/>
    <x v="0"/>
    <s v="Low"/>
  </r>
  <r>
    <x v="9"/>
    <x v="1"/>
    <n v="26.6"/>
    <x v="0"/>
    <x v="1"/>
    <x v="1"/>
    <x v="358"/>
    <x v="0"/>
    <s v="26-35"/>
    <x v="0"/>
    <s v="Low"/>
  </r>
  <r>
    <x v="9"/>
    <x v="0"/>
    <n v="26.62"/>
    <x v="0"/>
    <x v="1"/>
    <x v="1"/>
    <x v="359"/>
    <x v="0"/>
    <s v="26-35"/>
    <x v="0"/>
    <s v="Low"/>
  </r>
  <r>
    <x v="9"/>
    <x v="0"/>
    <n v="26.62"/>
    <x v="0"/>
    <x v="1"/>
    <x v="3"/>
    <x v="360"/>
    <x v="0"/>
    <s v="26-35"/>
    <x v="0"/>
    <s v="Low"/>
  </r>
  <r>
    <x v="10"/>
    <x v="1"/>
    <n v="26.695"/>
    <x v="0"/>
    <x v="1"/>
    <x v="0"/>
    <x v="361"/>
    <x v="0"/>
    <s v="26-35"/>
    <x v="0"/>
    <s v="Low"/>
  </r>
  <r>
    <x v="10"/>
    <x v="0"/>
    <n v="26.695"/>
    <x v="0"/>
    <x v="0"/>
    <x v="0"/>
    <x v="362"/>
    <x v="0"/>
    <s v="26-35"/>
    <x v="0"/>
    <s v="Low"/>
  </r>
  <r>
    <x v="10"/>
    <x v="0"/>
    <n v="26.695"/>
    <x v="0"/>
    <x v="1"/>
    <x v="0"/>
    <x v="363"/>
    <x v="0"/>
    <s v="26-35"/>
    <x v="0"/>
    <s v="Low"/>
  </r>
  <r>
    <x v="10"/>
    <x v="0"/>
    <n v="26.695"/>
    <x v="0"/>
    <x v="1"/>
    <x v="1"/>
    <x v="364"/>
    <x v="0"/>
    <s v="26-35"/>
    <x v="0"/>
    <s v="Low"/>
  </r>
  <r>
    <x v="10"/>
    <x v="0"/>
    <n v="26.695"/>
    <x v="0"/>
    <x v="1"/>
    <x v="3"/>
    <x v="365"/>
    <x v="0"/>
    <s v="26-35"/>
    <x v="0"/>
    <s v="Low"/>
  </r>
  <r>
    <x v="10"/>
    <x v="0"/>
    <n v="26.7"/>
    <x v="0"/>
    <x v="1"/>
    <x v="3"/>
    <x v="366"/>
    <x v="0"/>
    <s v="26-35"/>
    <x v="0"/>
    <s v="Low"/>
  </r>
  <r>
    <x v="10"/>
    <x v="0"/>
    <n v="26.7"/>
    <x v="0"/>
    <x v="1"/>
    <x v="2"/>
    <x v="367"/>
    <x v="0"/>
    <s v="26-35"/>
    <x v="0"/>
    <s v="Low"/>
  </r>
  <r>
    <x v="10"/>
    <x v="1"/>
    <n v="26.73"/>
    <x v="0"/>
    <x v="1"/>
    <x v="2"/>
    <x v="368"/>
    <x v="0"/>
    <s v="26-35"/>
    <x v="0"/>
    <s v="Low"/>
  </r>
  <r>
    <x v="10"/>
    <x v="1"/>
    <n v="26.73"/>
    <x v="0"/>
    <x v="1"/>
    <x v="3"/>
    <x v="369"/>
    <x v="0"/>
    <s v="26-35"/>
    <x v="0"/>
    <s v="Low"/>
  </r>
  <r>
    <x v="10"/>
    <x v="0"/>
    <n v="26.79"/>
    <x v="0"/>
    <x v="1"/>
    <x v="2"/>
    <x v="370"/>
    <x v="0"/>
    <s v="26-35"/>
    <x v="0"/>
    <s v="Low"/>
  </r>
  <r>
    <x v="10"/>
    <x v="0"/>
    <n v="26.79"/>
    <x v="0"/>
    <x v="1"/>
    <x v="3"/>
    <x v="371"/>
    <x v="0"/>
    <s v="26-35"/>
    <x v="0"/>
    <s v="Low"/>
  </r>
  <r>
    <x v="10"/>
    <x v="0"/>
    <n v="26.8"/>
    <x v="0"/>
    <x v="1"/>
    <x v="3"/>
    <x v="372"/>
    <x v="0"/>
    <s v="26-35"/>
    <x v="0"/>
    <s v="Low"/>
  </r>
  <r>
    <x v="10"/>
    <x v="1"/>
    <n v="26.8"/>
    <x v="0"/>
    <x v="0"/>
    <x v="0"/>
    <x v="373"/>
    <x v="0"/>
    <s v="26-35"/>
    <x v="0"/>
    <s v="Low"/>
  </r>
  <r>
    <x v="10"/>
    <x v="1"/>
    <n v="26.84"/>
    <x v="0"/>
    <x v="1"/>
    <x v="1"/>
    <x v="374"/>
    <x v="0"/>
    <s v="26-35"/>
    <x v="0"/>
    <s v="Low"/>
  </r>
  <r>
    <x v="10"/>
    <x v="0"/>
    <n v="26.84"/>
    <x v="0"/>
    <x v="0"/>
    <x v="2"/>
    <x v="375"/>
    <x v="0"/>
    <s v="26-35"/>
    <x v="0"/>
    <s v="Low"/>
  </r>
  <r>
    <x v="10"/>
    <x v="0"/>
    <n v="26.885000000000002"/>
    <x v="0"/>
    <x v="0"/>
    <x v="3"/>
    <x v="376"/>
    <x v="0"/>
    <s v="26-35"/>
    <x v="0"/>
    <s v="Low"/>
  </r>
  <r>
    <x v="10"/>
    <x v="1"/>
    <n v="26.885000000000002"/>
    <x v="0"/>
    <x v="0"/>
    <x v="1"/>
    <x v="377"/>
    <x v="0"/>
    <s v="26-35"/>
    <x v="0"/>
    <s v="Low"/>
  </r>
  <r>
    <x v="10"/>
    <x v="0"/>
    <n v="26.885000000000002"/>
    <x v="0"/>
    <x v="1"/>
    <x v="2"/>
    <x v="378"/>
    <x v="0"/>
    <s v="26-35"/>
    <x v="0"/>
    <s v="Low"/>
  </r>
  <r>
    <x v="10"/>
    <x v="1"/>
    <n v="26.885000000000002"/>
    <x v="0"/>
    <x v="1"/>
    <x v="1"/>
    <x v="379"/>
    <x v="0"/>
    <s v="26-35"/>
    <x v="0"/>
    <s v="Low"/>
  </r>
  <r>
    <x v="10"/>
    <x v="0"/>
    <n v="26.9"/>
    <x v="0"/>
    <x v="0"/>
    <x v="3"/>
    <x v="380"/>
    <x v="0"/>
    <s v="26-35"/>
    <x v="0"/>
    <s v="Low"/>
  </r>
  <r>
    <x v="10"/>
    <x v="1"/>
    <n v="26.98"/>
    <x v="0"/>
    <x v="0"/>
    <x v="3"/>
    <x v="381"/>
    <x v="0"/>
    <s v="26-35"/>
    <x v="0"/>
    <s v="Low"/>
  </r>
  <r>
    <x v="10"/>
    <x v="1"/>
    <n v="26.98"/>
    <x v="0"/>
    <x v="1"/>
    <x v="1"/>
    <x v="382"/>
    <x v="0"/>
    <s v="26-35"/>
    <x v="0"/>
    <s v="Low"/>
  </r>
  <r>
    <x v="10"/>
    <x v="0"/>
    <n v="26.98"/>
    <x v="0"/>
    <x v="1"/>
    <x v="1"/>
    <x v="383"/>
    <x v="0"/>
    <s v="26-35"/>
    <x v="0"/>
    <s v="Low"/>
  </r>
  <r>
    <x v="10"/>
    <x v="1"/>
    <n v="27"/>
    <x v="0"/>
    <x v="1"/>
    <x v="3"/>
    <x v="384"/>
    <x v="0"/>
    <s v="26-35"/>
    <x v="0"/>
    <s v="Low"/>
  </r>
  <r>
    <x v="10"/>
    <x v="1"/>
    <n v="27.06"/>
    <x v="0"/>
    <x v="1"/>
    <x v="0"/>
    <x v="385"/>
    <x v="0"/>
    <s v="26-35"/>
    <x v="0"/>
    <s v="Low"/>
  </r>
  <r>
    <x v="10"/>
    <x v="0"/>
    <n v="27.074999999999999"/>
    <x v="0"/>
    <x v="1"/>
    <x v="1"/>
    <x v="386"/>
    <x v="0"/>
    <s v="26-35"/>
    <x v="0"/>
    <s v="Low"/>
  </r>
  <r>
    <x v="10"/>
    <x v="1"/>
    <n v="27.1"/>
    <x v="0"/>
    <x v="1"/>
    <x v="2"/>
    <x v="387"/>
    <x v="0"/>
    <s v="26-35"/>
    <x v="0"/>
    <s v="Low"/>
  </r>
  <r>
    <x v="10"/>
    <x v="0"/>
    <n v="27.1"/>
    <x v="0"/>
    <x v="1"/>
    <x v="2"/>
    <x v="388"/>
    <x v="0"/>
    <s v="26-35"/>
    <x v="0"/>
    <s v="Low"/>
  </r>
  <r>
    <x v="11"/>
    <x v="0"/>
    <n v="27.1"/>
    <x v="0"/>
    <x v="1"/>
    <x v="2"/>
    <x v="389"/>
    <x v="0"/>
    <s v="26-35"/>
    <x v="0"/>
    <s v="Low"/>
  </r>
  <r>
    <x v="11"/>
    <x v="1"/>
    <n v="27.1"/>
    <x v="0"/>
    <x v="1"/>
    <x v="3"/>
    <x v="390"/>
    <x v="0"/>
    <s v="26-35"/>
    <x v="0"/>
    <s v="Low"/>
  </r>
  <r>
    <x v="11"/>
    <x v="0"/>
    <n v="27.17"/>
    <x v="0"/>
    <x v="1"/>
    <x v="2"/>
    <x v="391"/>
    <x v="0"/>
    <s v="26-35"/>
    <x v="0"/>
    <s v="Low"/>
  </r>
  <r>
    <x v="11"/>
    <x v="1"/>
    <n v="27.17"/>
    <x v="0"/>
    <x v="1"/>
    <x v="3"/>
    <x v="392"/>
    <x v="0"/>
    <s v="26-35"/>
    <x v="0"/>
    <s v="Low"/>
  </r>
  <r>
    <x v="11"/>
    <x v="1"/>
    <n v="27.2"/>
    <x v="0"/>
    <x v="1"/>
    <x v="3"/>
    <x v="393"/>
    <x v="0"/>
    <s v="26-35"/>
    <x v="0"/>
    <s v="Low"/>
  </r>
  <r>
    <x v="11"/>
    <x v="0"/>
    <n v="27.2"/>
    <x v="0"/>
    <x v="1"/>
    <x v="3"/>
    <x v="394"/>
    <x v="0"/>
    <s v="26-35"/>
    <x v="0"/>
    <s v="Low"/>
  </r>
  <r>
    <x v="11"/>
    <x v="1"/>
    <n v="27.265000000000001"/>
    <x v="0"/>
    <x v="1"/>
    <x v="2"/>
    <x v="395"/>
    <x v="0"/>
    <s v="26-35"/>
    <x v="0"/>
    <s v="Low"/>
  </r>
  <r>
    <x v="11"/>
    <x v="0"/>
    <n v="27.265000000000001"/>
    <x v="0"/>
    <x v="1"/>
    <x v="0"/>
    <x v="396"/>
    <x v="0"/>
    <s v="26-35"/>
    <x v="0"/>
    <s v="Low"/>
  </r>
  <r>
    <x v="11"/>
    <x v="1"/>
    <n v="27.265000000000001"/>
    <x v="0"/>
    <x v="1"/>
    <x v="1"/>
    <x v="397"/>
    <x v="0"/>
    <s v="26-35"/>
    <x v="0"/>
    <s v="Low"/>
  </r>
  <r>
    <x v="11"/>
    <x v="1"/>
    <n v="27.265000000000001"/>
    <x v="0"/>
    <x v="1"/>
    <x v="0"/>
    <x v="398"/>
    <x v="0"/>
    <s v="26-35"/>
    <x v="0"/>
    <s v="Low"/>
  </r>
  <r>
    <x v="11"/>
    <x v="0"/>
    <n v="27.28"/>
    <x v="0"/>
    <x v="1"/>
    <x v="1"/>
    <x v="399"/>
    <x v="0"/>
    <s v="26-35"/>
    <x v="0"/>
    <s v="Low"/>
  </r>
  <r>
    <x v="11"/>
    <x v="0"/>
    <n v="27.3"/>
    <x v="0"/>
    <x v="1"/>
    <x v="0"/>
    <x v="400"/>
    <x v="0"/>
    <s v="26-35"/>
    <x v="0"/>
    <s v="Low"/>
  </r>
  <r>
    <x v="11"/>
    <x v="1"/>
    <n v="27.36"/>
    <x v="0"/>
    <x v="1"/>
    <x v="1"/>
    <x v="401"/>
    <x v="0"/>
    <s v="26-35"/>
    <x v="0"/>
    <s v="Low"/>
  </r>
  <r>
    <x v="11"/>
    <x v="0"/>
    <n v="27.36"/>
    <x v="0"/>
    <x v="1"/>
    <x v="2"/>
    <x v="402"/>
    <x v="0"/>
    <s v="26-35"/>
    <x v="0"/>
    <s v="Low"/>
  </r>
  <r>
    <x v="11"/>
    <x v="1"/>
    <n v="27.36"/>
    <x v="0"/>
    <x v="1"/>
    <x v="2"/>
    <x v="403"/>
    <x v="0"/>
    <s v="26-35"/>
    <x v="0"/>
    <s v="Low"/>
  </r>
  <r>
    <x v="11"/>
    <x v="1"/>
    <n v="27.36"/>
    <x v="0"/>
    <x v="1"/>
    <x v="0"/>
    <x v="404"/>
    <x v="0"/>
    <s v="26-35"/>
    <x v="0"/>
    <s v="Low"/>
  </r>
  <r>
    <x v="11"/>
    <x v="0"/>
    <n v="27.36"/>
    <x v="0"/>
    <x v="1"/>
    <x v="3"/>
    <x v="405"/>
    <x v="0"/>
    <s v="26-35"/>
    <x v="0"/>
    <s v="Low"/>
  </r>
  <r>
    <x v="11"/>
    <x v="0"/>
    <n v="27.36"/>
    <x v="0"/>
    <x v="1"/>
    <x v="1"/>
    <x v="406"/>
    <x v="0"/>
    <s v="26-35"/>
    <x v="0"/>
    <s v="Low"/>
  </r>
  <r>
    <x v="11"/>
    <x v="0"/>
    <n v="27.36"/>
    <x v="0"/>
    <x v="1"/>
    <x v="0"/>
    <x v="407"/>
    <x v="0"/>
    <s v="26-35"/>
    <x v="0"/>
    <s v="Low"/>
  </r>
  <r>
    <x v="11"/>
    <x v="1"/>
    <n v="27.4"/>
    <x v="0"/>
    <x v="1"/>
    <x v="1"/>
    <x v="408"/>
    <x v="0"/>
    <s v="26-35"/>
    <x v="0"/>
    <s v="Low"/>
  </r>
  <r>
    <x v="11"/>
    <x v="1"/>
    <n v="27.4"/>
    <x v="0"/>
    <x v="1"/>
    <x v="1"/>
    <x v="409"/>
    <x v="0"/>
    <s v="26-35"/>
    <x v="0"/>
    <s v="Low"/>
  </r>
  <r>
    <x v="11"/>
    <x v="1"/>
    <n v="27.454999999999998"/>
    <x v="0"/>
    <x v="1"/>
    <x v="2"/>
    <x v="410"/>
    <x v="0"/>
    <s v="26-35"/>
    <x v="0"/>
    <s v="Low"/>
  </r>
  <r>
    <x v="11"/>
    <x v="0"/>
    <n v="27.454999999999998"/>
    <x v="0"/>
    <x v="0"/>
    <x v="3"/>
    <x v="411"/>
    <x v="0"/>
    <s v="26-35"/>
    <x v="0"/>
    <s v="Low"/>
  </r>
  <r>
    <x v="11"/>
    <x v="0"/>
    <n v="27.5"/>
    <x v="0"/>
    <x v="0"/>
    <x v="3"/>
    <x v="412"/>
    <x v="0"/>
    <s v="26-35"/>
    <x v="0"/>
    <s v="Low"/>
  </r>
  <r>
    <x v="11"/>
    <x v="1"/>
    <n v="27.5"/>
    <x v="0"/>
    <x v="1"/>
    <x v="0"/>
    <x v="413"/>
    <x v="0"/>
    <s v="26-35"/>
    <x v="0"/>
    <s v="Low"/>
  </r>
  <r>
    <x v="11"/>
    <x v="0"/>
    <n v="27.5"/>
    <x v="0"/>
    <x v="1"/>
    <x v="2"/>
    <x v="414"/>
    <x v="0"/>
    <s v="26-35"/>
    <x v="0"/>
    <s v="Low"/>
  </r>
  <r>
    <x v="11"/>
    <x v="0"/>
    <n v="27.5"/>
    <x v="0"/>
    <x v="1"/>
    <x v="1"/>
    <x v="415"/>
    <x v="0"/>
    <s v="26-35"/>
    <x v="0"/>
    <s v="Low"/>
  </r>
  <r>
    <x v="12"/>
    <x v="1"/>
    <n v="27.5"/>
    <x v="0"/>
    <x v="1"/>
    <x v="1"/>
    <x v="416"/>
    <x v="0"/>
    <s v="26-35"/>
    <x v="0"/>
    <s v="Low"/>
  </r>
  <r>
    <x v="12"/>
    <x v="0"/>
    <n v="27.5"/>
    <x v="0"/>
    <x v="0"/>
    <x v="0"/>
    <x v="417"/>
    <x v="0"/>
    <s v="26-35"/>
    <x v="0"/>
    <s v="Low"/>
  </r>
  <r>
    <x v="12"/>
    <x v="1"/>
    <n v="27.55"/>
    <x v="0"/>
    <x v="1"/>
    <x v="1"/>
    <x v="418"/>
    <x v="0"/>
    <s v="26-35"/>
    <x v="0"/>
    <s v="Low"/>
  </r>
  <r>
    <x v="12"/>
    <x v="0"/>
    <n v="27.55"/>
    <x v="0"/>
    <x v="0"/>
    <x v="2"/>
    <x v="419"/>
    <x v="0"/>
    <s v="26-35"/>
    <x v="0"/>
    <s v="Low"/>
  </r>
  <r>
    <x v="12"/>
    <x v="1"/>
    <n v="27.55"/>
    <x v="0"/>
    <x v="0"/>
    <x v="1"/>
    <x v="420"/>
    <x v="0"/>
    <s v="26-35"/>
    <x v="0"/>
    <s v="Low"/>
  </r>
  <r>
    <x v="12"/>
    <x v="1"/>
    <n v="27.55"/>
    <x v="0"/>
    <x v="0"/>
    <x v="1"/>
    <x v="421"/>
    <x v="0"/>
    <s v="26-35"/>
    <x v="0"/>
    <s v="Low"/>
  </r>
  <r>
    <x v="12"/>
    <x v="1"/>
    <n v="27.6"/>
    <x v="0"/>
    <x v="0"/>
    <x v="3"/>
    <x v="422"/>
    <x v="0"/>
    <s v="26-35"/>
    <x v="0"/>
    <s v="Low"/>
  </r>
  <r>
    <x v="12"/>
    <x v="1"/>
    <n v="27.6"/>
    <x v="0"/>
    <x v="1"/>
    <x v="3"/>
    <x v="423"/>
    <x v="0"/>
    <s v="26-35"/>
    <x v="0"/>
    <s v="Low"/>
  </r>
  <r>
    <x v="12"/>
    <x v="1"/>
    <n v="27.6"/>
    <x v="0"/>
    <x v="1"/>
    <x v="0"/>
    <x v="424"/>
    <x v="0"/>
    <s v="26-35"/>
    <x v="0"/>
    <s v="Low"/>
  </r>
  <r>
    <x v="12"/>
    <x v="1"/>
    <n v="27.6"/>
    <x v="0"/>
    <x v="1"/>
    <x v="1"/>
    <x v="425"/>
    <x v="0"/>
    <s v="26-35"/>
    <x v="0"/>
    <s v="Low"/>
  </r>
  <r>
    <x v="12"/>
    <x v="0"/>
    <n v="27.6"/>
    <x v="0"/>
    <x v="1"/>
    <x v="3"/>
    <x v="426"/>
    <x v="0"/>
    <s v="26-35"/>
    <x v="0"/>
    <s v="Low"/>
  </r>
  <r>
    <x v="12"/>
    <x v="0"/>
    <n v="27.61"/>
    <x v="0"/>
    <x v="1"/>
    <x v="3"/>
    <x v="427"/>
    <x v="0"/>
    <s v="26-35"/>
    <x v="0"/>
    <s v="Low"/>
  </r>
  <r>
    <x v="12"/>
    <x v="0"/>
    <n v="27.645"/>
    <x v="0"/>
    <x v="1"/>
    <x v="3"/>
    <x v="428"/>
    <x v="0"/>
    <s v="26-35"/>
    <x v="0"/>
    <s v="Low"/>
  </r>
  <r>
    <x v="12"/>
    <x v="0"/>
    <n v="27.645"/>
    <x v="0"/>
    <x v="1"/>
    <x v="2"/>
    <x v="429"/>
    <x v="0"/>
    <s v="26-35"/>
    <x v="0"/>
    <s v="Low"/>
  </r>
  <r>
    <x v="12"/>
    <x v="1"/>
    <n v="27.645"/>
    <x v="0"/>
    <x v="1"/>
    <x v="0"/>
    <x v="430"/>
    <x v="0"/>
    <s v="26-35"/>
    <x v="0"/>
    <s v="Low"/>
  </r>
  <r>
    <x v="12"/>
    <x v="0"/>
    <n v="27.645"/>
    <x v="0"/>
    <x v="1"/>
    <x v="2"/>
    <x v="431"/>
    <x v="0"/>
    <s v="26-35"/>
    <x v="0"/>
    <s v="Low"/>
  </r>
  <r>
    <x v="12"/>
    <x v="1"/>
    <n v="27.645"/>
    <x v="0"/>
    <x v="1"/>
    <x v="0"/>
    <x v="432"/>
    <x v="0"/>
    <s v="26-35"/>
    <x v="0"/>
    <s v="Low"/>
  </r>
  <r>
    <x v="12"/>
    <x v="0"/>
    <n v="27.645"/>
    <x v="0"/>
    <x v="1"/>
    <x v="0"/>
    <x v="433"/>
    <x v="0"/>
    <s v="26-35"/>
    <x v="0"/>
    <s v="Low"/>
  </r>
  <r>
    <x v="12"/>
    <x v="1"/>
    <n v="27.645"/>
    <x v="0"/>
    <x v="1"/>
    <x v="2"/>
    <x v="434"/>
    <x v="0"/>
    <s v="26-35"/>
    <x v="0"/>
    <s v="Low"/>
  </r>
  <r>
    <x v="12"/>
    <x v="1"/>
    <n v="27.7"/>
    <x v="0"/>
    <x v="1"/>
    <x v="1"/>
    <x v="435"/>
    <x v="0"/>
    <s v="26-35"/>
    <x v="0"/>
    <s v="Low"/>
  </r>
  <r>
    <x v="12"/>
    <x v="1"/>
    <n v="27.7"/>
    <x v="0"/>
    <x v="1"/>
    <x v="3"/>
    <x v="436"/>
    <x v="0"/>
    <s v="26-35"/>
    <x v="0"/>
    <s v="Low"/>
  </r>
  <r>
    <x v="12"/>
    <x v="1"/>
    <n v="27.7"/>
    <x v="0"/>
    <x v="1"/>
    <x v="0"/>
    <x v="437"/>
    <x v="0"/>
    <s v="26-35"/>
    <x v="0"/>
    <s v="Low"/>
  </r>
  <r>
    <x v="12"/>
    <x v="0"/>
    <n v="27.72"/>
    <x v="0"/>
    <x v="1"/>
    <x v="1"/>
    <x v="438"/>
    <x v="0"/>
    <s v="26-35"/>
    <x v="0"/>
    <s v="Low"/>
  </r>
  <r>
    <x v="12"/>
    <x v="1"/>
    <n v="27.72"/>
    <x v="0"/>
    <x v="1"/>
    <x v="3"/>
    <x v="439"/>
    <x v="0"/>
    <s v="26-35"/>
    <x v="0"/>
    <s v="Low"/>
  </r>
  <r>
    <x v="12"/>
    <x v="0"/>
    <n v="27.72"/>
    <x v="0"/>
    <x v="1"/>
    <x v="2"/>
    <x v="440"/>
    <x v="0"/>
    <s v="26-35"/>
    <x v="0"/>
    <s v="Low"/>
  </r>
  <r>
    <x v="12"/>
    <x v="0"/>
    <n v="27.72"/>
    <x v="0"/>
    <x v="0"/>
    <x v="0"/>
    <x v="441"/>
    <x v="0"/>
    <s v="26-35"/>
    <x v="0"/>
    <s v="Low"/>
  </r>
  <r>
    <x v="12"/>
    <x v="1"/>
    <n v="27.74"/>
    <x v="0"/>
    <x v="1"/>
    <x v="1"/>
    <x v="442"/>
    <x v="0"/>
    <s v="26-35"/>
    <x v="0"/>
    <s v="Low"/>
  </r>
  <r>
    <x v="13"/>
    <x v="0"/>
    <n v="27.74"/>
    <x v="0"/>
    <x v="1"/>
    <x v="1"/>
    <x v="443"/>
    <x v="1"/>
    <s v="26-35"/>
    <x v="0"/>
    <s v="Low"/>
  </r>
  <r>
    <x v="13"/>
    <x v="1"/>
    <n v="27.74"/>
    <x v="0"/>
    <x v="0"/>
    <x v="2"/>
    <x v="444"/>
    <x v="1"/>
    <s v="26-35"/>
    <x v="0"/>
    <s v="Low"/>
  </r>
  <r>
    <x v="13"/>
    <x v="0"/>
    <n v="27.74"/>
    <x v="0"/>
    <x v="1"/>
    <x v="0"/>
    <x v="445"/>
    <x v="1"/>
    <s v="26-35"/>
    <x v="0"/>
    <s v="Low"/>
  </r>
  <r>
    <x v="13"/>
    <x v="1"/>
    <n v="27.74"/>
    <x v="0"/>
    <x v="1"/>
    <x v="3"/>
    <x v="446"/>
    <x v="1"/>
    <s v="26-35"/>
    <x v="0"/>
    <s v="Low"/>
  </r>
  <r>
    <x v="13"/>
    <x v="0"/>
    <n v="27.74"/>
    <x v="0"/>
    <x v="1"/>
    <x v="2"/>
    <x v="447"/>
    <x v="1"/>
    <s v="26-35"/>
    <x v="0"/>
    <s v="Low"/>
  </r>
  <r>
    <x v="13"/>
    <x v="0"/>
    <n v="27.8"/>
    <x v="0"/>
    <x v="1"/>
    <x v="0"/>
    <x v="448"/>
    <x v="1"/>
    <s v="26-35"/>
    <x v="0"/>
    <s v="Low"/>
  </r>
  <r>
    <x v="13"/>
    <x v="1"/>
    <n v="27.83"/>
    <x v="0"/>
    <x v="1"/>
    <x v="0"/>
    <x v="449"/>
    <x v="1"/>
    <s v="26-35"/>
    <x v="0"/>
    <s v="Low"/>
  </r>
  <r>
    <x v="13"/>
    <x v="1"/>
    <n v="27.83"/>
    <x v="0"/>
    <x v="1"/>
    <x v="0"/>
    <x v="450"/>
    <x v="1"/>
    <s v="26-35"/>
    <x v="0"/>
    <s v="Low"/>
  </r>
  <r>
    <x v="13"/>
    <x v="1"/>
    <n v="27.83"/>
    <x v="0"/>
    <x v="1"/>
    <x v="2"/>
    <x v="451"/>
    <x v="1"/>
    <s v="26-35"/>
    <x v="0"/>
    <s v="Low"/>
  </r>
  <r>
    <x v="13"/>
    <x v="1"/>
    <n v="27.83"/>
    <x v="0"/>
    <x v="1"/>
    <x v="0"/>
    <x v="452"/>
    <x v="1"/>
    <s v="26-35"/>
    <x v="0"/>
    <s v="Low"/>
  </r>
  <r>
    <x v="13"/>
    <x v="1"/>
    <n v="27.835000000000001"/>
    <x v="0"/>
    <x v="1"/>
    <x v="2"/>
    <x v="453"/>
    <x v="1"/>
    <s v="26-35"/>
    <x v="0"/>
    <s v="Low"/>
  </r>
  <r>
    <x v="13"/>
    <x v="1"/>
    <n v="27.835000000000001"/>
    <x v="0"/>
    <x v="1"/>
    <x v="1"/>
    <x v="454"/>
    <x v="1"/>
    <s v="26-35"/>
    <x v="0"/>
    <s v="Low"/>
  </r>
  <r>
    <x v="13"/>
    <x v="1"/>
    <n v="27.835000000000001"/>
    <x v="0"/>
    <x v="1"/>
    <x v="0"/>
    <x v="455"/>
    <x v="1"/>
    <s v="26-35"/>
    <x v="0"/>
    <s v="Low"/>
  </r>
  <r>
    <x v="13"/>
    <x v="0"/>
    <n v="27.835000000000001"/>
    <x v="0"/>
    <x v="1"/>
    <x v="1"/>
    <x v="456"/>
    <x v="1"/>
    <s v="26-35"/>
    <x v="0"/>
    <s v="Low"/>
  </r>
  <r>
    <x v="13"/>
    <x v="0"/>
    <n v="27.835000000000001"/>
    <x v="0"/>
    <x v="1"/>
    <x v="2"/>
    <x v="457"/>
    <x v="1"/>
    <s v="26-35"/>
    <x v="0"/>
    <s v="Low"/>
  </r>
  <r>
    <x v="13"/>
    <x v="1"/>
    <n v="27.9"/>
    <x v="0"/>
    <x v="1"/>
    <x v="0"/>
    <x v="458"/>
    <x v="1"/>
    <s v="26-35"/>
    <x v="0"/>
    <s v="Low"/>
  </r>
  <r>
    <x v="13"/>
    <x v="0"/>
    <n v="27.93"/>
    <x v="0"/>
    <x v="1"/>
    <x v="1"/>
    <x v="459"/>
    <x v="1"/>
    <s v="26-35"/>
    <x v="0"/>
    <s v="Low"/>
  </r>
  <r>
    <x v="13"/>
    <x v="0"/>
    <n v="27.93"/>
    <x v="0"/>
    <x v="1"/>
    <x v="1"/>
    <x v="460"/>
    <x v="1"/>
    <s v="26-35"/>
    <x v="0"/>
    <s v="Low"/>
  </r>
  <r>
    <x v="13"/>
    <x v="1"/>
    <n v="27.93"/>
    <x v="0"/>
    <x v="0"/>
    <x v="0"/>
    <x v="461"/>
    <x v="1"/>
    <s v="26-35"/>
    <x v="0"/>
    <s v="Low"/>
  </r>
  <r>
    <x v="13"/>
    <x v="0"/>
    <n v="27.93"/>
    <x v="0"/>
    <x v="1"/>
    <x v="3"/>
    <x v="462"/>
    <x v="1"/>
    <s v="26-35"/>
    <x v="0"/>
    <s v="Low"/>
  </r>
  <r>
    <x v="13"/>
    <x v="1"/>
    <n v="27.94"/>
    <x v="0"/>
    <x v="1"/>
    <x v="3"/>
    <x v="463"/>
    <x v="1"/>
    <s v="26-35"/>
    <x v="0"/>
    <s v="Low"/>
  </r>
  <r>
    <x v="13"/>
    <x v="1"/>
    <n v="27.94"/>
    <x v="0"/>
    <x v="1"/>
    <x v="2"/>
    <x v="464"/>
    <x v="1"/>
    <s v="26-35"/>
    <x v="0"/>
    <s v="Low"/>
  </r>
  <r>
    <x v="13"/>
    <x v="0"/>
    <n v="27.94"/>
    <x v="0"/>
    <x v="0"/>
    <x v="1"/>
    <x v="465"/>
    <x v="1"/>
    <s v="26-35"/>
    <x v="0"/>
    <s v="Low"/>
  </r>
  <r>
    <x v="13"/>
    <x v="0"/>
    <n v="28"/>
    <x v="0"/>
    <x v="1"/>
    <x v="0"/>
    <x v="466"/>
    <x v="1"/>
    <s v="26-35"/>
    <x v="0"/>
    <s v="Low"/>
  </r>
  <r>
    <x v="13"/>
    <x v="0"/>
    <n v="28"/>
    <x v="0"/>
    <x v="1"/>
    <x v="2"/>
    <x v="467"/>
    <x v="1"/>
    <s v="26-35"/>
    <x v="0"/>
    <s v="Low"/>
  </r>
  <r>
    <x v="13"/>
    <x v="0"/>
    <n v="28"/>
    <x v="0"/>
    <x v="1"/>
    <x v="3"/>
    <x v="468"/>
    <x v="1"/>
    <s v="26-35"/>
    <x v="0"/>
    <s v="Low"/>
  </r>
  <r>
    <x v="13"/>
    <x v="0"/>
    <n v="28.024999999999999"/>
    <x v="0"/>
    <x v="1"/>
    <x v="1"/>
    <x v="469"/>
    <x v="1"/>
    <s v="26-35"/>
    <x v="0"/>
    <s v="Low"/>
  </r>
  <r>
    <x v="14"/>
    <x v="1"/>
    <n v="28.024999999999999"/>
    <x v="0"/>
    <x v="1"/>
    <x v="1"/>
    <x v="470"/>
    <x v="1"/>
    <s v="26-35"/>
    <x v="0"/>
    <s v="Low"/>
  </r>
  <r>
    <x v="14"/>
    <x v="0"/>
    <n v="28.024999999999999"/>
    <x v="0"/>
    <x v="1"/>
    <x v="3"/>
    <x v="471"/>
    <x v="1"/>
    <s v="26-35"/>
    <x v="0"/>
    <s v="Low"/>
  </r>
  <r>
    <x v="14"/>
    <x v="0"/>
    <n v="28.024999999999999"/>
    <x v="0"/>
    <x v="1"/>
    <x v="0"/>
    <x v="472"/>
    <x v="1"/>
    <s v="26-35"/>
    <x v="0"/>
    <s v="Low"/>
  </r>
  <r>
    <x v="14"/>
    <x v="0"/>
    <n v="28.024999999999999"/>
    <x v="0"/>
    <x v="1"/>
    <x v="3"/>
    <x v="473"/>
    <x v="1"/>
    <s v="26-35"/>
    <x v="0"/>
    <s v="Low"/>
  </r>
  <r>
    <x v="14"/>
    <x v="1"/>
    <n v="28.05"/>
    <x v="0"/>
    <x v="0"/>
    <x v="0"/>
    <x v="474"/>
    <x v="1"/>
    <s v="26-35"/>
    <x v="0"/>
    <s v="Low"/>
  </r>
  <r>
    <x v="14"/>
    <x v="1"/>
    <n v="28.05"/>
    <x v="0"/>
    <x v="0"/>
    <x v="2"/>
    <x v="475"/>
    <x v="1"/>
    <s v="26-35"/>
    <x v="0"/>
    <s v="Low"/>
  </r>
  <r>
    <x v="14"/>
    <x v="1"/>
    <n v="28.05"/>
    <x v="0"/>
    <x v="0"/>
    <x v="3"/>
    <x v="476"/>
    <x v="1"/>
    <s v="26-35"/>
    <x v="0"/>
    <s v="Low"/>
  </r>
  <r>
    <x v="14"/>
    <x v="1"/>
    <n v="28.1"/>
    <x v="0"/>
    <x v="1"/>
    <x v="2"/>
    <x v="477"/>
    <x v="1"/>
    <s v="26-35"/>
    <x v="0"/>
    <s v="Low"/>
  </r>
  <r>
    <x v="14"/>
    <x v="1"/>
    <n v="28.1"/>
    <x v="0"/>
    <x v="1"/>
    <x v="1"/>
    <x v="478"/>
    <x v="1"/>
    <s v="26-35"/>
    <x v="0"/>
    <s v="Low"/>
  </r>
  <r>
    <x v="14"/>
    <x v="1"/>
    <n v="28.12"/>
    <x v="0"/>
    <x v="1"/>
    <x v="1"/>
    <x v="479"/>
    <x v="1"/>
    <s v="26-35"/>
    <x v="0"/>
    <s v="Low"/>
  </r>
  <r>
    <x v="14"/>
    <x v="1"/>
    <n v="28.12"/>
    <x v="0"/>
    <x v="1"/>
    <x v="2"/>
    <x v="480"/>
    <x v="1"/>
    <s v="26-35"/>
    <x v="0"/>
    <s v="Low"/>
  </r>
  <r>
    <x v="14"/>
    <x v="1"/>
    <n v="28.12"/>
    <x v="0"/>
    <x v="1"/>
    <x v="1"/>
    <x v="481"/>
    <x v="1"/>
    <s v="26-35"/>
    <x v="0"/>
    <s v="Low"/>
  </r>
  <r>
    <x v="14"/>
    <x v="0"/>
    <n v="28.12"/>
    <x v="0"/>
    <x v="1"/>
    <x v="1"/>
    <x v="482"/>
    <x v="1"/>
    <s v="26-35"/>
    <x v="0"/>
    <s v="Low"/>
  </r>
  <r>
    <x v="14"/>
    <x v="0"/>
    <n v="28.16"/>
    <x v="0"/>
    <x v="1"/>
    <x v="0"/>
    <x v="483"/>
    <x v="1"/>
    <s v="26-35"/>
    <x v="0"/>
    <s v="Low"/>
  </r>
  <r>
    <x v="14"/>
    <x v="1"/>
    <n v="28.2"/>
    <x v="0"/>
    <x v="1"/>
    <x v="0"/>
    <x v="484"/>
    <x v="1"/>
    <s v="26-35"/>
    <x v="0"/>
    <s v="Low"/>
  </r>
  <r>
    <x v="14"/>
    <x v="0"/>
    <n v="28.215"/>
    <x v="0"/>
    <x v="1"/>
    <x v="3"/>
    <x v="485"/>
    <x v="1"/>
    <s v="26-35"/>
    <x v="0"/>
    <s v="Low"/>
  </r>
  <r>
    <x v="14"/>
    <x v="0"/>
    <n v="28.215"/>
    <x v="0"/>
    <x v="1"/>
    <x v="2"/>
    <x v="486"/>
    <x v="1"/>
    <s v="26-35"/>
    <x v="0"/>
    <s v="Low"/>
  </r>
  <r>
    <x v="14"/>
    <x v="1"/>
    <n v="28.215"/>
    <x v="0"/>
    <x v="1"/>
    <x v="0"/>
    <x v="487"/>
    <x v="1"/>
    <s v="26-35"/>
    <x v="0"/>
    <s v="Low"/>
  </r>
  <r>
    <x v="14"/>
    <x v="0"/>
    <n v="28.215"/>
    <x v="0"/>
    <x v="0"/>
    <x v="1"/>
    <x v="488"/>
    <x v="1"/>
    <s v="26-35"/>
    <x v="0"/>
    <s v="Low"/>
  </r>
  <r>
    <x v="14"/>
    <x v="1"/>
    <n v="28.27"/>
    <x v="0"/>
    <x v="1"/>
    <x v="2"/>
    <x v="489"/>
    <x v="1"/>
    <s v="26-35"/>
    <x v="0"/>
    <s v="Low"/>
  </r>
  <r>
    <x v="14"/>
    <x v="0"/>
    <n v="28.27"/>
    <x v="0"/>
    <x v="1"/>
    <x v="0"/>
    <x v="490"/>
    <x v="1"/>
    <s v="26-35"/>
    <x v="0"/>
    <s v="Low"/>
  </r>
  <r>
    <x v="14"/>
    <x v="0"/>
    <n v="28.3"/>
    <x v="0"/>
    <x v="1"/>
    <x v="1"/>
    <x v="491"/>
    <x v="1"/>
    <s v="26-35"/>
    <x v="0"/>
    <s v="Low"/>
  </r>
  <r>
    <x v="14"/>
    <x v="0"/>
    <n v="28.3"/>
    <x v="0"/>
    <x v="1"/>
    <x v="3"/>
    <x v="492"/>
    <x v="1"/>
    <s v="26-35"/>
    <x v="0"/>
    <s v="Low"/>
  </r>
  <r>
    <x v="14"/>
    <x v="1"/>
    <n v="28.31"/>
    <x v="0"/>
    <x v="1"/>
    <x v="0"/>
    <x v="493"/>
    <x v="1"/>
    <s v="26-35"/>
    <x v="0"/>
    <s v="Low"/>
  </r>
  <r>
    <x v="14"/>
    <x v="1"/>
    <n v="28.31"/>
    <x v="0"/>
    <x v="0"/>
    <x v="0"/>
    <x v="494"/>
    <x v="1"/>
    <s v="26-35"/>
    <x v="0"/>
    <s v="Low"/>
  </r>
  <r>
    <x v="14"/>
    <x v="1"/>
    <n v="28.31"/>
    <x v="0"/>
    <x v="1"/>
    <x v="3"/>
    <x v="495"/>
    <x v="1"/>
    <s v="26-35"/>
    <x v="0"/>
    <s v="Low"/>
  </r>
  <r>
    <x v="15"/>
    <x v="0"/>
    <n v="28.31"/>
    <x v="0"/>
    <x v="1"/>
    <x v="0"/>
    <x v="496"/>
    <x v="1"/>
    <s v="26-35"/>
    <x v="0"/>
    <s v="Low"/>
  </r>
  <r>
    <x v="15"/>
    <x v="1"/>
    <n v="28.31"/>
    <x v="0"/>
    <x v="1"/>
    <x v="0"/>
    <x v="497"/>
    <x v="1"/>
    <s v="26-35"/>
    <x v="0"/>
    <s v="Low"/>
  </r>
  <r>
    <x v="15"/>
    <x v="0"/>
    <n v="28.31"/>
    <x v="0"/>
    <x v="1"/>
    <x v="1"/>
    <x v="498"/>
    <x v="1"/>
    <s v="26-35"/>
    <x v="0"/>
    <s v="Low"/>
  </r>
  <r>
    <x v="15"/>
    <x v="0"/>
    <n v="28.31"/>
    <x v="0"/>
    <x v="1"/>
    <x v="0"/>
    <x v="499"/>
    <x v="1"/>
    <s v="26-35"/>
    <x v="0"/>
    <s v="Low"/>
  </r>
  <r>
    <x v="15"/>
    <x v="1"/>
    <n v="28.31"/>
    <x v="0"/>
    <x v="0"/>
    <x v="0"/>
    <x v="500"/>
    <x v="1"/>
    <s v="26-35"/>
    <x v="0"/>
    <s v="Low"/>
  </r>
  <r>
    <x v="15"/>
    <x v="1"/>
    <n v="28.31"/>
    <x v="0"/>
    <x v="1"/>
    <x v="3"/>
    <x v="501"/>
    <x v="1"/>
    <s v="26-35"/>
    <x v="0"/>
    <s v="Low"/>
  </r>
  <r>
    <x v="15"/>
    <x v="1"/>
    <n v="28.38"/>
    <x v="0"/>
    <x v="0"/>
    <x v="1"/>
    <x v="502"/>
    <x v="1"/>
    <s v="26-35"/>
    <x v="0"/>
    <s v="Low"/>
  </r>
  <r>
    <x v="15"/>
    <x v="1"/>
    <n v="28.4"/>
    <x v="0"/>
    <x v="0"/>
    <x v="1"/>
    <x v="503"/>
    <x v="1"/>
    <s v="26-35"/>
    <x v="0"/>
    <s v="Low"/>
  </r>
  <r>
    <x v="15"/>
    <x v="0"/>
    <n v="28.4"/>
    <x v="0"/>
    <x v="1"/>
    <x v="1"/>
    <x v="504"/>
    <x v="1"/>
    <s v="26-35"/>
    <x v="0"/>
    <s v="Low"/>
  </r>
  <r>
    <x v="15"/>
    <x v="1"/>
    <n v="28.405000000000001"/>
    <x v="0"/>
    <x v="1"/>
    <x v="2"/>
    <x v="505"/>
    <x v="1"/>
    <s v="26-35"/>
    <x v="0"/>
    <s v="Low"/>
  </r>
  <r>
    <x v="15"/>
    <x v="1"/>
    <n v="28.405000000000001"/>
    <x v="0"/>
    <x v="1"/>
    <x v="2"/>
    <x v="506"/>
    <x v="1"/>
    <s v="26-35"/>
    <x v="0"/>
    <s v="Low"/>
  </r>
  <r>
    <x v="15"/>
    <x v="1"/>
    <n v="28.49"/>
    <x v="0"/>
    <x v="1"/>
    <x v="2"/>
    <x v="507"/>
    <x v="1"/>
    <s v="26-35"/>
    <x v="0"/>
    <s v="Low"/>
  </r>
  <r>
    <x v="15"/>
    <x v="0"/>
    <n v="28.5"/>
    <x v="0"/>
    <x v="1"/>
    <x v="3"/>
    <x v="508"/>
    <x v="1"/>
    <s v="26-35"/>
    <x v="0"/>
    <s v="Low"/>
  </r>
  <r>
    <x v="15"/>
    <x v="0"/>
    <n v="28.5"/>
    <x v="0"/>
    <x v="1"/>
    <x v="0"/>
    <x v="509"/>
    <x v="1"/>
    <s v="26-35"/>
    <x v="0"/>
    <s v="Low"/>
  </r>
  <r>
    <x v="15"/>
    <x v="1"/>
    <n v="28.5"/>
    <x v="0"/>
    <x v="1"/>
    <x v="3"/>
    <x v="510"/>
    <x v="1"/>
    <s v="26-35"/>
    <x v="0"/>
    <s v="Low"/>
  </r>
  <r>
    <x v="15"/>
    <x v="1"/>
    <n v="28.5"/>
    <x v="0"/>
    <x v="1"/>
    <x v="1"/>
    <x v="511"/>
    <x v="1"/>
    <s v="26-35"/>
    <x v="0"/>
    <s v="Low"/>
  </r>
  <r>
    <x v="15"/>
    <x v="1"/>
    <n v="28.5"/>
    <x v="0"/>
    <x v="1"/>
    <x v="3"/>
    <x v="512"/>
    <x v="1"/>
    <s v="26-35"/>
    <x v="0"/>
    <s v="Low"/>
  </r>
  <r>
    <x v="15"/>
    <x v="1"/>
    <n v="28.594999999999999"/>
    <x v="0"/>
    <x v="1"/>
    <x v="0"/>
    <x v="513"/>
    <x v="1"/>
    <s v="26-35"/>
    <x v="0"/>
    <s v="Low"/>
  </r>
  <r>
    <x v="15"/>
    <x v="1"/>
    <n v="28.594999999999999"/>
    <x v="0"/>
    <x v="0"/>
    <x v="0"/>
    <x v="514"/>
    <x v="1"/>
    <s v="26-35"/>
    <x v="0"/>
    <s v="Low"/>
  </r>
  <r>
    <x v="15"/>
    <x v="1"/>
    <n v="28.594999999999999"/>
    <x v="0"/>
    <x v="1"/>
    <x v="0"/>
    <x v="515"/>
    <x v="1"/>
    <s v="26-35"/>
    <x v="0"/>
    <s v="Low"/>
  </r>
  <r>
    <x v="15"/>
    <x v="1"/>
    <n v="28.594999999999999"/>
    <x v="0"/>
    <x v="1"/>
    <x v="1"/>
    <x v="516"/>
    <x v="1"/>
    <s v="26-35"/>
    <x v="0"/>
    <s v="Low"/>
  </r>
  <r>
    <x v="15"/>
    <x v="1"/>
    <n v="28.594999999999999"/>
    <x v="0"/>
    <x v="1"/>
    <x v="2"/>
    <x v="517"/>
    <x v="1"/>
    <s v="26-35"/>
    <x v="0"/>
    <s v="Low"/>
  </r>
  <r>
    <x v="15"/>
    <x v="0"/>
    <n v="28.594999999999999"/>
    <x v="0"/>
    <x v="1"/>
    <x v="0"/>
    <x v="518"/>
    <x v="1"/>
    <s v="26-35"/>
    <x v="0"/>
    <s v="Low"/>
  </r>
  <r>
    <x v="15"/>
    <x v="1"/>
    <n v="28.6"/>
    <x v="0"/>
    <x v="1"/>
    <x v="3"/>
    <x v="519"/>
    <x v="1"/>
    <s v="26-35"/>
    <x v="0"/>
    <s v="Low"/>
  </r>
  <r>
    <x v="15"/>
    <x v="0"/>
    <n v="28.6"/>
    <x v="0"/>
    <x v="1"/>
    <x v="3"/>
    <x v="520"/>
    <x v="1"/>
    <s v="26-35"/>
    <x v="0"/>
    <s v="Low"/>
  </r>
  <r>
    <x v="15"/>
    <x v="0"/>
    <n v="28.6"/>
    <x v="0"/>
    <x v="1"/>
    <x v="1"/>
    <x v="521"/>
    <x v="1"/>
    <s v="26-35"/>
    <x v="0"/>
    <s v="Low"/>
  </r>
  <r>
    <x v="16"/>
    <x v="0"/>
    <n v="28.69"/>
    <x v="0"/>
    <x v="1"/>
    <x v="3"/>
    <x v="522"/>
    <x v="1"/>
    <s v="26-35"/>
    <x v="0"/>
    <s v="Low"/>
  </r>
  <r>
    <x v="16"/>
    <x v="0"/>
    <n v="28.69"/>
    <x v="0"/>
    <x v="1"/>
    <x v="1"/>
    <x v="523"/>
    <x v="1"/>
    <s v="26-35"/>
    <x v="0"/>
    <s v="Low"/>
  </r>
  <r>
    <x v="16"/>
    <x v="1"/>
    <n v="28.69"/>
    <x v="0"/>
    <x v="0"/>
    <x v="1"/>
    <x v="524"/>
    <x v="1"/>
    <s v="26-35"/>
    <x v="0"/>
    <s v="Low"/>
  </r>
  <r>
    <x v="16"/>
    <x v="0"/>
    <n v="28.7"/>
    <x v="0"/>
    <x v="1"/>
    <x v="1"/>
    <x v="525"/>
    <x v="1"/>
    <s v="26-35"/>
    <x v="0"/>
    <s v="Low"/>
  </r>
  <r>
    <x v="16"/>
    <x v="0"/>
    <n v="28.7"/>
    <x v="0"/>
    <x v="1"/>
    <x v="2"/>
    <x v="526"/>
    <x v="1"/>
    <s v="26-35"/>
    <x v="0"/>
    <s v="Low"/>
  </r>
  <r>
    <x v="16"/>
    <x v="0"/>
    <n v="28.7"/>
    <x v="0"/>
    <x v="1"/>
    <x v="0"/>
    <x v="527"/>
    <x v="1"/>
    <s v="26-35"/>
    <x v="0"/>
    <s v="Low"/>
  </r>
  <r>
    <x v="16"/>
    <x v="1"/>
    <n v="28.7"/>
    <x v="0"/>
    <x v="1"/>
    <x v="3"/>
    <x v="528"/>
    <x v="1"/>
    <s v="26-35"/>
    <x v="0"/>
    <s v="Low"/>
  </r>
  <r>
    <x v="16"/>
    <x v="1"/>
    <n v="28.7"/>
    <x v="0"/>
    <x v="1"/>
    <x v="3"/>
    <x v="529"/>
    <x v="1"/>
    <s v="26-35"/>
    <x v="0"/>
    <s v="Low"/>
  </r>
  <r>
    <x v="16"/>
    <x v="1"/>
    <n v="28.785"/>
    <x v="0"/>
    <x v="0"/>
    <x v="1"/>
    <x v="530"/>
    <x v="1"/>
    <s v="26-35"/>
    <x v="0"/>
    <s v="Low"/>
  </r>
  <r>
    <x v="16"/>
    <x v="0"/>
    <n v="28.785"/>
    <x v="0"/>
    <x v="1"/>
    <x v="3"/>
    <x v="531"/>
    <x v="1"/>
    <s v="26-35"/>
    <x v="0"/>
    <s v="Low"/>
  </r>
  <r>
    <x v="16"/>
    <x v="1"/>
    <n v="28.785"/>
    <x v="0"/>
    <x v="1"/>
    <x v="1"/>
    <x v="532"/>
    <x v="1"/>
    <s v="26-35"/>
    <x v="0"/>
    <s v="Low"/>
  </r>
  <r>
    <x v="16"/>
    <x v="1"/>
    <n v="28.785"/>
    <x v="0"/>
    <x v="1"/>
    <x v="1"/>
    <x v="533"/>
    <x v="1"/>
    <s v="26-35"/>
    <x v="0"/>
    <s v="Low"/>
  </r>
  <r>
    <x v="16"/>
    <x v="1"/>
    <n v="28.785"/>
    <x v="0"/>
    <x v="1"/>
    <x v="1"/>
    <x v="534"/>
    <x v="1"/>
    <s v="26-35"/>
    <x v="0"/>
    <s v="Low"/>
  </r>
  <r>
    <x v="16"/>
    <x v="1"/>
    <n v="28.8"/>
    <x v="0"/>
    <x v="1"/>
    <x v="3"/>
    <x v="535"/>
    <x v="1"/>
    <s v="26-35"/>
    <x v="0"/>
    <s v="Low"/>
  </r>
  <r>
    <x v="16"/>
    <x v="0"/>
    <n v="28.82"/>
    <x v="0"/>
    <x v="1"/>
    <x v="0"/>
    <x v="536"/>
    <x v="1"/>
    <s v="26-35"/>
    <x v="0"/>
    <s v="Low"/>
  </r>
  <r>
    <x v="16"/>
    <x v="0"/>
    <n v="28.88"/>
    <x v="0"/>
    <x v="1"/>
    <x v="0"/>
    <x v="537"/>
    <x v="1"/>
    <s v="26-35"/>
    <x v="0"/>
    <s v="Low"/>
  </r>
  <r>
    <x v="16"/>
    <x v="0"/>
    <n v="28.88"/>
    <x v="0"/>
    <x v="1"/>
    <x v="1"/>
    <x v="538"/>
    <x v="1"/>
    <s v="26-35"/>
    <x v="0"/>
    <s v="Low"/>
  </r>
  <r>
    <x v="16"/>
    <x v="1"/>
    <n v="28.88"/>
    <x v="0"/>
    <x v="1"/>
    <x v="1"/>
    <x v="539"/>
    <x v="1"/>
    <s v="26-35"/>
    <x v="0"/>
    <s v="Low"/>
  </r>
  <r>
    <x v="16"/>
    <x v="0"/>
    <n v="28.88"/>
    <x v="0"/>
    <x v="1"/>
    <x v="0"/>
    <x v="540"/>
    <x v="1"/>
    <s v="26-35"/>
    <x v="0"/>
    <s v="Low"/>
  </r>
  <r>
    <x v="16"/>
    <x v="0"/>
    <n v="28.88"/>
    <x v="0"/>
    <x v="1"/>
    <x v="1"/>
    <x v="541"/>
    <x v="1"/>
    <s v="26-35"/>
    <x v="0"/>
    <s v="Low"/>
  </r>
  <r>
    <x v="16"/>
    <x v="0"/>
    <n v="28.88"/>
    <x v="0"/>
    <x v="1"/>
    <x v="1"/>
    <x v="542"/>
    <x v="1"/>
    <s v="26-35"/>
    <x v="0"/>
    <s v="Low"/>
  </r>
  <r>
    <x v="16"/>
    <x v="0"/>
    <n v="28.88"/>
    <x v="0"/>
    <x v="0"/>
    <x v="1"/>
    <x v="543"/>
    <x v="1"/>
    <s v="26-35"/>
    <x v="0"/>
    <s v="Low"/>
  </r>
  <r>
    <x v="16"/>
    <x v="1"/>
    <n v="28.88"/>
    <x v="0"/>
    <x v="1"/>
    <x v="2"/>
    <x v="544"/>
    <x v="1"/>
    <s v="26-35"/>
    <x v="0"/>
    <s v="Low"/>
  </r>
  <r>
    <x v="16"/>
    <x v="1"/>
    <n v="28.9"/>
    <x v="0"/>
    <x v="0"/>
    <x v="2"/>
    <x v="545"/>
    <x v="1"/>
    <s v="26-35"/>
    <x v="0"/>
    <s v="Low"/>
  </r>
  <r>
    <x v="16"/>
    <x v="1"/>
    <n v="28.9"/>
    <x v="0"/>
    <x v="1"/>
    <x v="3"/>
    <x v="546"/>
    <x v="1"/>
    <s v="26-35"/>
    <x v="0"/>
    <s v="Low"/>
  </r>
  <r>
    <x v="16"/>
    <x v="0"/>
    <n v="28.9"/>
    <x v="0"/>
    <x v="1"/>
    <x v="0"/>
    <x v="547"/>
    <x v="1"/>
    <s v="26-35"/>
    <x v="0"/>
    <s v="Low"/>
  </r>
  <r>
    <x v="17"/>
    <x v="0"/>
    <n v="28.9"/>
    <x v="0"/>
    <x v="1"/>
    <x v="3"/>
    <x v="548"/>
    <x v="1"/>
    <s v="26-35"/>
    <x v="0"/>
    <s v="Low"/>
  </r>
  <r>
    <x v="17"/>
    <x v="0"/>
    <n v="28.9"/>
    <x v="0"/>
    <x v="0"/>
    <x v="1"/>
    <x v="549"/>
    <x v="1"/>
    <s v="26-35"/>
    <x v="0"/>
    <s v="Low"/>
  </r>
  <r>
    <x v="17"/>
    <x v="1"/>
    <n v="28.93"/>
    <x v="0"/>
    <x v="1"/>
    <x v="0"/>
    <x v="550"/>
    <x v="1"/>
    <s v="26-35"/>
    <x v="0"/>
    <s v="Low"/>
  </r>
  <r>
    <x v="17"/>
    <x v="0"/>
    <n v="28.93"/>
    <x v="0"/>
    <x v="1"/>
    <x v="1"/>
    <x v="551"/>
    <x v="1"/>
    <s v="26-35"/>
    <x v="0"/>
    <s v="Low"/>
  </r>
  <r>
    <x v="17"/>
    <x v="1"/>
    <n v="28.93"/>
    <x v="0"/>
    <x v="1"/>
    <x v="0"/>
    <x v="552"/>
    <x v="1"/>
    <s v="26-35"/>
    <x v="0"/>
    <s v="Low"/>
  </r>
  <r>
    <x v="17"/>
    <x v="0"/>
    <n v="28.975000000000001"/>
    <x v="0"/>
    <x v="1"/>
    <x v="2"/>
    <x v="553"/>
    <x v="1"/>
    <s v="26-35"/>
    <x v="0"/>
    <s v="Low"/>
  </r>
  <r>
    <x v="17"/>
    <x v="0"/>
    <n v="28.975000000000001"/>
    <x v="0"/>
    <x v="1"/>
    <x v="3"/>
    <x v="554"/>
    <x v="1"/>
    <s v="26-35"/>
    <x v="0"/>
    <s v="Low"/>
  </r>
  <r>
    <x v="17"/>
    <x v="1"/>
    <n v="28.975000000000001"/>
    <x v="0"/>
    <x v="1"/>
    <x v="0"/>
    <x v="555"/>
    <x v="1"/>
    <s v="26-35"/>
    <x v="0"/>
    <s v="Low"/>
  </r>
  <r>
    <x v="17"/>
    <x v="1"/>
    <n v="28.975000000000001"/>
    <x v="0"/>
    <x v="1"/>
    <x v="3"/>
    <x v="556"/>
    <x v="1"/>
    <s v="26-35"/>
    <x v="0"/>
    <s v="Low"/>
  </r>
  <r>
    <x v="17"/>
    <x v="1"/>
    <n v="28.975000000000001"/>
    <x v="0"/>
    <x v="1"/>
    <x v="1"/>
    <x v="557"/>
    <x v="1"/>
    <s v="26-35"/>
    <x v="0"/>
    <s v="Low"/>
  </r>
  <r>
    <x v="17"/>
    <x v="0"/>
    <n v="29"/>
    <x v="0"/>
    <x v="0"/>
    <x v="2"/>
    <x v="558"/>
    <x v="1"/>
    <s v="26-35"/>
    <x v="0"/>
    <s v="Low"/>
  </r>
  <r>
    <x v="17"/>
    <x v="1"/>
    <n v="29"/>
    <x v="0"/>
    <x v="1"/>
    <x v="2"/>
    <x v="559"/>
    <x v="1"/>
    <s v="26-35"/>
    <x v="0"/>
    <s v="Low"/>
  </r>
  <r>
    <x v="17"/>
    <x v="0"/>
    <n v="29.04"/>
    <x v="0"/>
    <x v="1"/>
    <x v="2"/>
    <x v="560"/>
    <x v="1"/>
    <s v="26-35"/>
    <x v="0"/>
    <s v="Low"/>
  </r>
  <r>
    <x v="17"/>
    <x v="0"/>
    <n v="29.07"/>
    <x v="0"/>
    <x v="1"/>
    <x v="3"/>
    <x v="561"/>
    <x v="1"/>
    <s v="26-35"/>
    <x v="0"/>
    <s v="Low"/>
  </r>
  <r>
    <x v="17"/>
    <x v="1"/>
    <n v="29.07"/>
    <x v="0"/>
    <x v="1"/>
    <x v="0"/>
    <x v="562"/>
    <x v="1"/>
    <s v="26-35"/>
    <x v="0"/>
    <s v="Low"/>
  </r>
  <r>
    <x v="17"/>
    <x v="1"/>
    <n v="29.1"/>
    <x v="0"/>
    <x v="1"/>
    <x v="1"/>
    <x v="563"/>
    <x v="1"/>
    <s v="26-35"/>
    <x v="0"/>
    <s v="Low"/>
  </r>
  <r>
    <x v="17"/>
    <x v="0"/>
    <n v="29.15"/>
    <x v="0"/>
    <x v="1"/>
    <x v="1"/>
    <x v="564"/>
    <x v="1"/>
    <s v="26-35"/>
    <x v="0"/>
    <s v="Low"/>
  </r>
  <r>
    <x v="17"/>
    <x v="0"/>
    <n v="29.15"/>
    <x v="0"/>
    <x v="1"/>
    <x v="2"/>
    <x v="565"/>
    <x v="1"/>
    <s v="26-35"/>
    <x v="0"/>
    <s v="Low"/>
  </r>
  <r>
    <x v="17"/>
    <x v="0"/>
    <n v="29.164999999999999"/>
    <x v="0"/>
    <x v="1"/>
    <x v="2"/>
    <x v="566"/>
    <x v="1"/>
    <s v="26-35"/>
    <x v="0"/>
    <s v="Low"/>
  </r>
  <r>
    <x v="17"/>
    <x v="1"/>
    <n v="29.2"/>
    <x v="0"/>
    <x v="1"/>
    <x v="2"/>
    <x v="567"/>
    <x v="1"/>
    <s v="26-35"/>
    <x v="0"/>
    <s v="Low"/>
  </r>
  <r>
    <x v="17"/>
    <x v="0"/>
    <n v="29.26"/>
    <x v="0"/>
    <x v="1"/>
    <x v="0"/>
    <x v="568"/>
    <x v="1"/>
    <s v="26-35"/>
    <x v="0"/>
    <s v="Low"/>
  </r>
  <r>
    <x v="17"/>
    <x v="1"/>
    <n v="29.26"/>
    <x v="0"/>
    <x v="0"/>
    <x v="2"/>
    <x v="569"/>
    <x v="1"/>
    <s v="26-35"/>
    <x v="0"/>
    <s v="Low"/>
  </r>
  <r>
    <x v="17"/>
    <x v="0"/>
    <n v="29.26"/>
    <x v="0"/>
    <x v="1"/>
    <x v="0"/>
    <x v="570"/>
    <x v="1"/>
    <s v="26-35"/>
    <x v="0"/>
    <s v="Low"/>
  </r>
  <r>
    <x v="17"/>
    <x v="0"/>
    <n v="29.26"/>
    <x v="0"/>
    <x v="1"/>
    <x v="1"/>
    <x v="571"/>
    <x v="1"/>
    <s v="26-35"/>
    <x v="0"/>
    <s v="Low"/>
  </r>
  <r>
    <x v="17"/>
    <x v="0"/>
    <n v="29.3"/>
    <x v="0"/>
    <x v="1"/>
    <x v="1"/>
    <x v="572"/>
    <x v="1"/>
    <s v="26-35"/>
    <x v="0"/>
    <s v="Low"/>
  </r>
  <r>
    <x v="18"/>
    <x v="0"/>
    <n v="29.3"/>
    <x v="1"/>
    <x v="1"/>
    <x v="3"/>
    <x v="573"/>
    <x v="1"/>
    <s v="36-45"/>
    <x v="0"/>
    <s v="Low"/>
  </r>
  <r>
    <x v="18"/>
    <x v="0"/>
    <n v="29.355"/>
    <x v="1"/>
    <x v="1"/>
    <x v="3"/>
    <x v="574"/>
    <x v="1"/>
    <s v="36-45"/>
    <x v="0"/>
    <s v="Low"/>
  </r>
  <r>
    <x v="18"/>
    <x v="0"/>
    <n v="29.355"/>
    <x v="1"/>
    <x v="1"/>
    <x v="2"/>
    <x v="575"/>
    <x v="1"/>
    <s v="36-45"/>
    <x v="0"/>
    <s v="Low"/>
  </r>
  <r>
    <x v="18"/>
    <x v="1"/>
    <n v="29.37"/>
    <x v="1"/>
    <x v="1"/>
    <x v="1"/>
    <x v="576"/>
    <x v="1"/>
    <s v="36-45"/>
    <x v="0"/>
    <s v="Low"/>
  </r>
  <r>
    <x v="18"/>
    <x v="0"/>
    <n v="29.37"/>
    <x v="1"/>
    <x v="0"/>
    <x v="3"/>
    <x v="577"/>
    <x v="1"/>
    <s v="36-45"/>
    <x v="0"/>
    <s v="Low"/>
  </r>
  <r>
    <x v="18"/>
    <x v="1"/>
    <n v="29.4"/>
    <x v="1"/>
    <x v="1"/>
    <x v="0"/>
    <x v="578"/>
    <x v="1"/>
    <s v="36-45"/>
    <x v="0"/>
    <s v="Low"/>
  </r>
  <r>
    <x v="18"/>
    <x v="0"/>
    <n v="29.45"/>
    <x v="1"/>
    <x v="1"/>
    <x v="3"/>
    <x v="579"/>
    <x v="1"/>
    <s v="36-45"/>
    <x v="0"/>
    <s v="Low"/>
  </r>
  <r>
    <x v="18"/>
    <x v="1"/>
    <n v="29.48"/>
    <x v="1"/>
    <x v="1"/>
    <x v="3"/>
    <x v="580"/>
    <x v="1"/>
    <s v="36-45"/>
    <x v="0"/>
    <s v="Low"/>
  </r>
  <r>
    <x v="18"/>
    <x v="1"/>
    <n v="29.48"/>
    <x v="1"/>
    <x v="1"/>
    <x v="1"/>
    <x v="581"/>
    <x v="1"/>
    <s v="36-45"/>
    <x v="0"/>
    <s v="Low"/>
  </r>
  <r>
    <x v="18"/>
    <x v="0"/>
    <n v="29.48"/>
    <x v="1"/>
    <x v="1"/>
    <x v="1"/>
    <x v="582"/>
    <x v="1"/>
    <s v="36-45"/>
    <x v="0"/>
    <s v="Low"/>
  </r>
  <r>
    <x v="18"/>
    <x v="1"/>
    <n v="29.5"/>
    <x v="1"/>
    <x v="1"/>
    <x v="0"/>
    <x v="583"/>
    <x v="1"/>
    <s v="36-45"/>
    <x v="0"/>
    <s v="Low"/>
  </r>
  <r>
    <x v="18"/>
    <x v="0"/>
    <n v="29.545000000000002"/>
    <x v="1"/>
    <x v="1"/>
    <x v="1"/>
    <x v="584"/>
    <x v="1"/>
    <s v="36-45"/>
    <x v="0"/>
    <s v="Low"/>
  </r>
  <r>
    <x v="18"/>
    <x v="1"/>
    <n v="29.59"/>
    <x v="1"/>
    <x v="1"/>
    <x v="3"/>
    <x v="585"/>
    <x v="1"/>
    <s v="36-45"/>
    <x v="0"/>
    <s v="Low"/>
  </r>
  <r>
    <x v="18"/>
    <x v="0"/>
    <n v="29.59"/>
    <x v="1"/>
    <x v="0"/>
    <x v="2"/>
    <x v="586"/>
    <x v="1"/>
    <s v="36-45"/>
    <x v="0"/>
    <s v="Low"/>
  </r>
  <r>
    <x v="18"/>
    <x v="0"/>
    <n v="29.6"/>
    <x v="1"/>
    <x v="1"/>
    <x v="3"/>
    <x v="587"/>
    <x v="1"/>
    <s v="36-45"/>
    <x v="0"/>
    <s v="Low"/>
  </r>
  <r>
    <x v="18"/>
    <x v="0"/>
    <n v="29.6"/>
    <x v="1"/>
    <x v="1"/>
    <x v="1"/>
    <x v="588"/>
    <x v="1"/>
    <s v="36-45"/>
    <x v="0"/>
    <s v="Low"/>
  </r>
  <r>
    <x v="18"/>
    <x v="0"/>
    <n v="29.6"/>
    <x v="1"/>
    <x v="1"/>
    <x v="0"/>
    <x v="589"/>
    <x v="1"/>
    <s v="36-45"/>
    <x v="0"/>
    <s v="Low"/>
  </r>
  <r>
    <x v="18"/>
    <x v="1"/>
    <n v="29.6"/>
    <x v="1"/>
    <x v="1"/>
    <x v="2"/>
    <x v="590"/>
    <x v="1"/>
    <s v="36-45"/>
    <x v="0"/>
    <s v="Low"/>
  </r>
  <r>
    <x v="18"/>
    <x v="1"/>
    <n v="29.64"/>
    <x v="1"/>
    <x v="1"/>
    <x v="1"/>
    <x v="591"/>
    <x v="1"/>
    <s v="36-45"/>
    <x v="0"/>
    <s v="Low"/>
  </r>
  <r>
    <x v="18"/>
    <x v="0"/>
    <n v="29.64"/>
    <x v="1"/>
    <x v="0"/>
    <x v="3"/>
    <x v="592"/>
    <x v="1"/>
    <s v="36-45"/>
    <x v="0"/>
    <s v="Low"/>
  </r>
  <r>
    <x v="18"/>
    <x v="1"/>
    <n v="29.64"/>
    <x v="1"/>
    <x v="1"/>
    <x v="1"/>
    <x v="593"/>
    <x v="1"/>
    <s v="36-45"/>
    <x v="0"/>
    <s v="Low"/>
  </r>
  <r>
    <x v="18"/>
    <x v="0"/>
    <n v="29.64"/>
    <x v="1"/>
    <x v="1"/>
    <x v="3"/>
    <x v="594"/>
    <x v="1"/>
    <s v="36-45"/>
    <x v="0"/>
    <s v="Low"/>
  </r>
  <r>
    <x v="18"/>
    <x v="0"/>
    <n v="29.64"/>
    <x v="1"/>
    <x v="1"/>
    <x v="1"/>
    <x v="595"/>
    <x v="1"/>
    <s v="36-45"/>
    <x v="0"/>
    <s v="Low"/>
  </r>
  <r>
    <x v="18"/>
    <x v="0"/>
    <n v="29.7"/>
    <x v="1"/>
    <x v="1"/>
    <x v="3"/>
    <x v="596"/>
    <x v="1"/>
    <s v="36-45"/>
    <x v="0"/>
    <s v="Low"/>
  </r>
  <r>
    <x v="18"/>
    <x v="1"/>
    <n v="29.7"/>
    <x v="1"/>
    <x v="1"/>
    <x v="0"/>
    <x v="597"/>
    <x v="1"/>
    <s v="36-45"/>
    <x v="0"/>
    <s v="Low"/>
  </r>
  <r>
    <x v="19"/>
    <x v="0"/>
    <n v="29.7"/>
    <x v="1"/>
    <x v="1"/>
    <x v="2"/>
    <x v="598"/>
    <x v="1"/>
    <s v="36-45"/>
    <x v="0"/>
    <s v="Low"/>
  </r>
  <r>
    <x v="19"/>
    <x v="0"/>
    <n v="29.7"/>
    <x v="1"/>
    <x v="1"/>
    <x v="1"/>
    <x v="599"/>
    <x v="1"/>
    <s v="36-45"/>
    <x v="0"/>
    <s v="Low"/>
  </r>
  <r>
    <x v="19"/>
    <x v="1"/>
    <n v="29.7"/>
    <x v="1"/>
    <x v="1"/>
    <x v="2"/>
    <x v="600"/>
    <x v="1"/>
    <s v="36-45"/>
    <x v="0"/>
    <s v="Low"/>
  </r>
  <r>
    <x v="19"/>
    <x v="0"/>
    <n v="29.734999999999999"/>
    <x v="1"/>
    <x v="1"/>
    <x v="0"/>
    <x v="601"/>
    <x v="1"/>
    <s v="36-45"/>
    <x v="0"/>
    <s v="Low"/>
  </r>
  <r>
    <x v="19"/>
    <x v="0"/>
    <n v="29.734999999999999"/>
    <x v="1"/>
    <x v="1"/>
    <x v="1"/>
    <x v="602"/>
    <x v="1"/>
    <s v="36-45"/>
    <x v="0"/>
    <s v="Low"/>
  </r>
  <r>
    <x v="19"/>
    <x v="0"/>
    <n v="29.734999999999999"/>
    <x v="1"/>
    <x v="0"/>
    <x v="2"/>
    <x v="603"/>
    <x v="1"/>
    <s v="36-45"/>
    <x v="0"/>
    <s v="Low"/>
  </r>
  <r>
    <x v="19"/>
    <x v="0"/>
    <n v="29.734999999999999"/>
    <x v="1"/>
    <x v="1"/>
    <x v="1"/>
    <x v="604"/>
    <x v="1"/>
    <s v="36-45"/>
    <x v="0"/>
    <s v="Low"/>
  </r>
  <r>
    <x v="19"/>
    <x v="0"/>
    <n v="29.8"/>
    <x v="1"/>
    <x v="1"/>
    <x v="3"/>
    <x v="605"/>
    <x v="1"/>
    <s v="36-45"/>
    <x v="0"/>
    <s v="Low"/>
  </r>
  <r>
    <x v="19"/>
    <x v="0"/>
    <n v="29.8"/>
    <x v="1"/>
    <x v="0"/>
    <x v="2"/>
    <x v="606"/>
    <x v="1"/>
    <s v="36-45"/>
    <x v="0"/>
    <s v="Low"/>
  </r>
  <r>
    <x v="19"/>
    <x v="1"/>
    <n v="29.8"/>
    <x v="1"/>
    <x v="1"/>
    <x v="3"/>
    <x v="607"/>
    <x v="1"/>
    <s v="36-45"/>
    <x v="0"/>
    <s v="Low"/>
  </r>
  <r>
    <x v="19"/>
    <x v="1"/>
    <n v="29.8"/>
    <x v="1"/>
    <x v="0"/>
    <x v="0"/>
    <x v="608"/>
    <x v="1"/>
    <s v="36-45"/>
    <x v="0"/>
    <s v="Low"/>
  </r>
  <r>
    <x v="19"/>
    <x v="0"/>
    <n v="29.81"/>
    <x v="1"/>
    <x v="1"/>
    <x v="1"/>
    <x v="609"/>
    <x v="1"/>
    <s v="36-45"/>
    <x v="0"/>
    <s v="Low"/>
  </r>
  <r>
    <x v="19"/>
    <x v="0"/>
    <n v="29.81"/>
    <x v="1"/>
    <x v="1"/>
    <x v="0"/>
    <x v="610"/>
    <x v="1"/>
    <s v="36-45"/>
    <x v="0"/>
    <s v="Low"/>
  </r>
  <r>
    <x v="19"/>
    <x v="0"/>
    <n v="29.81"/>
    <x v="1"/>
    <x v="1"/>
    <x v="3"/>
    <x v="611"/>
    <x v="1"/>
    <s v="36-45"/>
    <x v="0"/>
    <s v="Low"/>
  </r>
  <r>
    <x v="19"/>
    <x v="0"/>
    <n v="29.81"/>
    <x v="1"/>
    <x v="1"/>
    <x v="3"/>
    <x v="612"/>
    <x v="1"/>
    <s v="36-45"/>
    <x v="0"/>
    <s v="Low"/>
  </r>
  <r>
    <x v="19"/>
    <x v="0"/>
    <n v="29.83"/>
    <x v="1"/>
    <x v="1"/>
    <x v="1"/>
    <x v="613"/>
    <x v="1"/>
    <s v="36-45"/>
    <x v="0"/>
    <s v="Low"/>
  </r>
  <r>
    <x v="19"/>
    <x v="0"/>
    <n v="29.83"/>
    <x v="1"/>
    <x v="0"/>
    <x v="1"/>
    <x v="614"/>
    <x v="1"/>
    <s v="36-45"/>
    <x v="0"/>
    <s v="Low"/>
  </r>
  <r>
    <x v="19"/>
    <x v="0"/>
    <n v="29.83"/>
    <x v="1"/>
    <x v="1"/>
    <x v="3"/>
    <x v="615"/>
    <x v="1"/>
    <s v="36-45"/>
    <x v="0"/>
    <s v="Low"/>
  </r>
  <r>
    <x v="19"/>
    <x v="1"/>
    <n v="29.83"/>
    <x v="1"/>
    <x v="0"/>
    <x v="0"/>
    <x v="616"/>
    <x v="1"/>
    <s v="36-45"/>
    <x v="0"/>
    <s v="Low"/>
  </r>
  <r>
    <x v="19"/>
    <x v="0"/>
    <n v="29.83"/>
    <x v="1"/>
    <x v="0"/>
    <x v="1"/>
    <x v="617"/>
    <x v="1"/>
    <s v="36-45"/>
    <x v="0"/>
    <s v="Low"/>
  </r>
  <r>
    <x v="19"/>
    <x v="0"/>
    <n v="29.83"/>
    <x v="1"/>
    <x v="1"/>
    <x v="0"/>
    <x v="618"/>
    <x v="1"/>
    <s v="36-45"/>
    <x v="0"/>
    <s v="Low"/>
  </r>
  <r>
    <x v="19"/>
    <x v="1"/>
    <n v="29.9"/>
    <x v="1"/>
    <x v="1"/>
    <x v="0"/>
    <x v="619"/>
    <x v="1"/>
    <s v="36-45"/>
    <x v="0"/>
    <s v="Low"/>
  </r>
  <r>
    <x v="19"/>
    <x v="1"/>
    <n v="29.9"/>
    <x v="1"/>
    <x v="0"/>
    <x v="0"/>
    <x v="620"/>
    <x v="1"/>
    <s v="36-45"/>
    <x v="0"/>
    <s v="Low"/>
  </r>
  <r>
    <x v="19"/>
    <x v="0"/>
    <n v="29.9"/>
    <x v="1"/>
    <x v="1"/>
    <x v="0"/>
    <x v="621"/>
    <x v="1"/>
    <s v="36-45"/>
    <x v="0"/>
    <s v="Low"/>
  </r>
  <r>
    <x v="19"/>
    <x v="1"/>
    <n v="29.92"/>
    <x v="1"/>
    <x v="0"/>
    <x v="3"/>
    <x v="622"/>
    <x v="1"/>
    <s v="36-45"/>
    <x v="0"/>
    <s v="Low"/>
  </r>
  <r>
    <x v="20"/>
    <x v="1"/>
    <n v="29.92"/>
    <x v="1"/>
    <x v="1"/>
    <x v="2"/>
    <x v="623"/>
    <x v="1"/>
    <s v="36-45"/>
    <x v="0"/>
    <s v="Low"/>
  </r>
  <r>
    <x v="20"/>
    <x v="0"/>
    <n v="29.92"/>
    <x v="1"/>
    <x v="1"/>
    <x v="2"/>
    <x v="624"/>
    <x v="1"/>
    <s v="36-45"/>
    <x v="0"/>
    <s v="Low"/>
  </r>
  <r>
    <x v="20"/>
    <x v="1"/>
    <n v="29.92"/>
    <x v="1"/>
    <x v="1"/>
    <x v="3"/>
    <x v="625"/>
    <x v="1"/>
    <s v="36-45"/>
    <x v="0"/>
    <s v="Low"/>
  </r>
  <r>
    <x v="20"/>
    <x v="1"/>
    <n v="29.92"/>
    <x v="1"/>
    <x v="1"/>
    <x v="1"/>
    <x v="626"/>
    <x v="1"/>
    <s v="36-45"/>
    <x v="0"/>
    <s v="Low"/>
  </r>
  <r>
    <x v="20"/>
    <x v="1"/>
    <n v="29.92"/>
    <x v="1"/>
    <x v="1"/>
    <x v="0"/>
    <x v="627"/>
    <x v="1"/>
    <s v="36-45"/>
    <x v="0"/>
    <s v="Low"/>
  </r>
  <r>
    <x v="20"/>
    <x v="0"/>
    <n v="29.925000000000001"/>
    <x v="1"/>
    <x v="0"/>
    <x v="2"/>
    <x v="628"/>
    <x v="1"/>
    <s v="36-45"/>
    <x v="0"/>
    <s v="Low"/>
  </r>
  <r>
    <x v="20"/>
    <x v="1"/>
    <n v="29.925000000000001"/>
    <x v="1"/>
    <x v="1"/>
    <x v="0"/>
    <x v="629"/>
    <x v="1"/>
    <s v="36-45"/>
    <x v="0"/>
    <s v="Low"/>
  </r>
  <r>
    <x v="20"/>
    <x v="1"/>
    <n v="29.925000000000001"/>
    <x v="1"/>
    <x v="1"/>
    <x v="0"/>
    <x v="630"/>
    <x v="1"/>
    <s v="36-45"/>
    <x v="0"/>
    <s v="Low"/>
  </r>
  <r>
    <x v="20"/>
    <x v="0"/>
    <n v="30"/>
    <x v="1"/>
    <x v="1"/>
    <x v="1"/>
    <x v="631"/>
    <x v="1"/>
    <s v="36-45"/>
    <x v="0"/>
    <s v="Low"/>
  </r>
  <r>
    <x v="20"/>
    <x v="1"/>
    <n v="30"/>
    <x v="1"/>
    <x v="1"/>
    <x v="3"/>
    <x v="632"/>
    <x v="1"/>
    <s v="36-45"/>
    <x v="0"/>
    <s v="Low"/>
  </r>
  <r>
    <x v="20"/>
    <x v="1"/>
    <n v="30.02"/>
    <x v="1"/>
    <x v="1"/>
    <x v="0"/>
    <x v="633"/>
    <x v="1"/>
    <s v="36-45"/>
    <x v="0"/>
    <s v="Low"/>
  </r>
  <r>
    <x v="20"/>
    <x v="1"/>
    <n v="30.02"/>
    <x v="1"/>
    <x v="1"/>
    <x v="3"/>
    <x v="634"/>
    <x v="1"/>
    <s v="36-45"/>
    <x v="0"/>
    <s v="Low"/>
  </r>
  <r>
    <x v="20"/>
    <x v="0"/>
    <n v="30.02"/>
    <x v="1"/>
    <x v="1"/>
    <x v="2"/>
    <x v="635"/>
    <x v="1"/>
    <s v="36-45"/>
    <x v="0"/>
    <s v="Low"/>
  </r>
  <r>
    <x v="20"/>
    <x v="0"/>
    <n v="30.02"/>
    <x v="1"/>
    <x v="1"/>
    <x v="3"/>
    <x v="636"/>
    <x v="1"/>
    <s v="36-45"/>
    <x v="0"/>
    <s v="Low"/>
  </r>
  <r>
    <x v="20"/>
    <x v="1"/>
    <n v="30.03"/>
    <x v="1"/>
    <x v="0"/>
    <x v="3"/>
    <x v="637"/>
    <x v="1"/>
    <s v="36-45"/>
    <x v="0"/>
    <s v="Low"/>
  </r>
  <r>
    <x v="20"/>
    <x v="1"/>
    <n v="30.03"/>
    <x v="1"/>
    <x v="1"/>
    <x v="1"/>
    <x v="638"/>
    <x v="1"/>
    <s v="36-45"/>
    <x v="0"/>
    <s v="Low"/>
  </r>
  <r>
    <x v="20"/>
    <x v="1"/>
    <n v="30.03"/>
    <x v="1"/>
    <x v="1"/>
    <x v="0"/>
    <x v="639"/>
    <x v="1"/>
    <s v="36-45"/>
    <x v="0"/>
    <s v="Low"/>
  </r>
  <r>
    <x v="20"/>
    <x v="1"/>
    <n v="30.1"/>
    <x v="1"/>
    <x v="0"/>
    <x v="2"/>
    <x v="640"/>
    <x v="1"/>
    <s v="36-45"/>
    <x v="0"/>
    <s v="Low"/>
  </r>
  <r>
    <x v="20"/>
    <x v="1"/>
    <n v="30.1"/>
    <x v="1"/>
    <x v="1"/>
    <x v="3"/>
    <x v="641"/>
    <x v="1"/>
    <s v="36-45"/>
    <x v="0"/>
    <s v="Low"/>
  </r>
  <r>
    <x v="20"/>
    <x v="0"/>
    <n v="30.114999999999998"/>
    <x v="1"/>
    <x v="1"/>
    <x v="2"/>
    <x v="642"/>
    <x v="1"/>
    <s v="36-45"/>
    <x v="0"/>
    <s v="Low"/>
  </r>
  <r>
    <x v="20"/>
    <x v="1"/>
    <n v="30.114999999999998"/>
    <x v="1"/>
    <x v="1"/>
    <x v="1"/>
    <x v="643"/>
    <x v="1"/>
    <s v="36-45"/>
    <x v="0"/>
    <s v="Low"/>
  </r>
  <r>
    <x v="20"/>
    <x v="1"/>
    <n v="30.114999999999998"/>
    <x v="1"/>
    <x v="1"/>
    <x v="3"/>
    <x v="644"/>
    <x v="1"/>
    <s v="36-45"/>
    <x v="0"/>
    <s v="Low"/>
  </r>
  <r>
    <x v="20"/>
    <x v="1"/>
    <n v="30.114999999999998"/>
    <x v="1"/>
    <x v="1"/>
    <x v="2"/>
    <x v="645"/>
    <x v="1"/>
    <s v="36-45"/>
    <x v="0"/>
    <s v="Low"/>
  </r>
  <r>
    <x v="20"/>
    <x v="0"/>
    <n v="30.114999999999998"/>
    <x v="1"/>
    <x v="1"/>
    <x v="3"/>
    <x v="646"/>
    <x v="1"/>
    <s v="36-45"/>
    <x v="0"/>
    <s v="Low"/>
  </r>
  <r>
    <x v="20"/>
    <x v="1"/>
    <n v="30.114999999999998"/>
    <x v="1"/>
    <x v="1"/>
    <x v="3"/>
    <x v="647"/>
    <x v="1"/>
    <s v="36-45"/>
    <x v="0"/>
    <s v="Low"/>
  </r>
  <r>
    <x v="21"/>
    <x v="0"/>
    <n v="30.14"/>
    <x v="1"/>
    <x v="1"/>
    <x v="3"/>
    <x v="648"/>
    <x v="1"/>
    <s v="36-45"/>
    <x v="0"/>
    <s v="Low"/>
  </r>
  <r>
    <x v="21"/>
    <x v="0"/>
    <n v="30.14"/>
    <x v="1"/>
    <x v="1"/>
    <x v="1"/>
    <x v="649"/>
    <x v="1"/>
    <s v="36-45"/>
    <x v="0"/>
    <s v="Low"/>
  </r>
  <r>
    <x v="21"/>
    <x v="0"/>
    <n v="30.2"/>
    <x v="1"/>
    <x v="1"/>
    <x v="1"/>
    <x v="650"/>
    <x v="1"/>
    <s v="36-45"/>
    <x v="0"/>
    <s v="Low"/>
  </r>
  <r>
    <x v="21"/>
    <x v="0"/>
    <n v="30.2"/>
    <x v="1"/>
    <x v="1"/>
    <x v="1"/>
    <x v="651"/>
    <x v="1"/>
    <s v="36-45"/>
    <x v="0"/>
    <s v="Low"/>
  </r>
  <r>
    <x v="21"/>
    <x v="0"/>
    <n v="30.2"/>
    <x v="1"/>
    <x v="1"/>
    <x v="1"/>
    <x v="652"/>
    <x v="1"/>
    <s v="36-45"/>
    <x v="0"/>
    <s v="Low"/>
  </r>
  <r>
    <x v="21"/>
    <x v="0"/>
    <n v="30.2"/>
    <x v="1"/>
    <x v="1"/>
    <x v="1"/>
    <x v="653"/>
    <x v="1"/>
    <s v="36-45"/>
    <x v="0"/>
    <s v="Low"/>
  </r>
  <r>
    <x v="21"/>
    <x v="0"/>
    <n v="30.2"/>
    <x v="1"/>
    <x v="0"/>
    <x v="1"/>
    <x v="654"/>
    <x v="1"/>
    <s v="36-45"/>
    <x v="0"/>
    <s v="Low"/>
  </r>
  <r>
    <x v="21"/>
    <x v="0"/>
    <n v="30.2"/>
    <x v="1"/>
    <x v="1"/>
    <x v="0"/>
    <x v="655"/>
    <x v="1"/>
    <s v="36-45"/>
    <x v="0"/>
    <s v="Low"/>
  </r>
  <r>
    <x v="21"/>
    <x v="1"/>
    <n v="30.21"/>
    <x v="1"/>
    <x v="1"/>
    <x v="2"/>
    <x v="656"/>
    <x v="1"/>
    <s v="36-45"/>
    <x v="0"/>
    <s v="Low"/>
  </r>
  <r>
    <x v="21"/>
    <x v="0"/>
    <n v="30.21"/>
    <x v="1"/>
    <x v="1"/>
    <x v="3"/>
    <x v="657"/>
    <x v="1"/>
    <s v="36-45"/>
    <x v="0"/>
    <s v="Low"/>
  </r>
  <r>
    <x v="21"/>
    <x v="0"/>
    <n v="30.21"/>
    <x v="1"/>
    <x v="1"/>
    <x v="3"/>
    <x v="658"/>
    <x v="1"/>
    <s v="36-45"/>
    <x v="0"/>
    <s v="Low"/>
  </r>
  <r>
    <x v="21"/>
    <x v="1"/>
    <n v="30.21"/>
    <x v="1"/>
    <x v="1"/>
    <x v="1"/>
    <x v="659"/>
    <x v="1"/>
    <s v="36-45"/>
    <x v="0"/>
    <s v="Low"/>
  </r>
  <r>
    <x v="21"/>
    <x v="0"/>
    <n v="30.25"/>
    <x v="1"/>
    <x v="1"/>
    <x v="1"/>
    <x v="660"/>
    <x v="1"/>
    <s v="36-45"/>
    <x v="0"/>
    <s v="Low"/>
  </r>
  <r>
    <x v="21"/>
    <x v="0"/>
    <n v="30.25"/>
    <x v="1"/>
    <x v="1"/>
    <x v="3"/>
    <x v="661"/>
    <x v="1"/>
    <s v="36-45"/>
    <x v="0"/>
    <s v="Low"/>
  </r>
  <r>
    <x v="21"/>
    <x v="1"/>
    <n v="30.3"/>
    <x v="1"/>
    <x v="1"/>
    <x v="1"/>
    <x v="662"/>
    <x v="1"/>
    <s v="36-45"/>
    <x v="0"/>
    <s v="Low"/>
  </r>
  <r>
    <x v="21"/>
    <x v="0"/>
    <n v="30.3"/>
    <x v="1"/>
    <x v="0"/>
    <x v="1"/>
    <x v="663"/>
    <x v="1"/>
    <s v="36-45"/>
    <x v="0"/>
    <s v="Low"/>
  </r>
  <r>
    <x v="21"/>
    <x v="1"/>
    <n v="30.3"/>
    <x v="1"/>
    <x v="0"/>
    <x v="1"/>
    <x v="664"/>
    <x v="1"/>
    <s v="36-45"/>
    <x v="0"/>
    <s v="Low"/>
  </r>
  <r>
    <x v="21"/>
    <x v="1"/>
    <n v="30.305"/>
    <x v="1"/>
    <x v="1"/>
    <x v="0"/>
    <x v="665"/>
    <x v="1"/>
    <s v="36-45"/>
    <x v="0"/>
    <s v="Low"/>
  </r>
  <r>
    <x v="21"/>
    <x v="0"/>
    <n v="30.305"/>
    <x v="1"/>
    <x v="0"/>
    <x v="2"/>
    <x v="666"/>
    <x v="1"/>
    <s v="36-45"/>
    <x v="0"/>
    <s v="Low"/>
  </r>
  <r>
    <x v="21"/>
    <x v="1"/>
    <n v="30.36"/>
    <x v="1"/>
    <x v="0"/>
    <x v="3"/>
    <x v="667"/>
    <x v="1"/>
    <s v="36-45"/>
    <x v="0"/>
    <s v="Low"/>
  </r>
  <r>
    <x v="21"/>
    <x v="0"/>
    <n v="30.4"/>
    <x v="1"/>
    <x v="1"/>
    <x v="1"/>
    <x v="668"/>
    <x v="1"/>
    <s v="36-45"/>
    <x v="0"/>
    <s v="Low"/>
  </r>
  <r>
    <x v="21"/>
    <x v="1"/>
    <n v="30.4"/>
    <x v="1"/>
    <x v="1"/>
    <x v="1"/>
    <x v="669"/>
    <x v="1"/>
    <s v="36-45"/>
    <x v="0"/>
    <s v="Low"/>
  </r>
  <r>
    <x v="21"/>
    <x v="0"/>
    <n v="30.4"/>
    <x v="1"/>
    <x v="1"/>
    <x v="3"/>
    <x v="670"/>
    <x v="1"/>
    <s v="36-45"/>
    <x v="0"/>
    <s v="Low"/>
  </r>
  <r>
    <x v="21"/>
    <x v="1"/>
    <n v="30.4"/>
    <x v="1"/>
    <x v="1"/>
    <x v="1"/>
    <x v="671"/>
    <x v="1"/>
    <s v="36-45"/>
    <x v="0"/>
    <s v="Low"/>
  </r>
  <r>
    <x v="21"/>
    <x v="0"/>
    <n v="30.4"/>
    <x v="1"/>
    <x v="1"/>
    <x v="1"/>
    <x v="672"/>
    <x v="1"/>
    <s v="36-45"/>
    <x v="0"/>
    <s v="Low"/>
  </r>
  <r>
    <x v="22"/>
    <x v="0"/>
    <n v="30.495000000000001"/>
    <x v="1"/>
    <x v="0"/>
    <x v="1"/>
    <x v="673"/>
    <x v="1"/>
    <s v="36-45"/>
    <x v="0"/>
    <s v="Low"/>
  </r>
  <r>
    <x v="22"/>
    <x v="1"/>
    <n v="30.495000000000001"/>
    <x v="1"/>
    <x v="1"/>
    <x v="2"/>
    <x v="674"/>
    <x v="1"/>
    <s v="36-45"/>
    <x v="0"/>
    <s v="Low"/>
  </r>
  <r>
    <x v="22"/>
    <x v="0"/>
    <n v="30.495000000000001"/>
    <x v="1"/>
    <x v="1"/>
    <x v="1"/>
    <x v="675"/>
    <x v="1"/>
    <s v="36-45"/>
    <x v="0"/>
    <s v="Low"/>
  </r>
  <r>
    <x v="22"/>
    <x v="1"/>
    <n v="30.495000000000001"/>
    <x v="1"/>
    <x v="0"/>
    <x v="2"/>
    <x v="676"/>
    <x v="1"/>
    <s v="36-45"/>
    <x v="0"/>
    <s v="Low"/>
  </r>
  <r>
    <x v="22"/>
    <x v="1"/>
    <n v="30.495000000000001"/>
    <x v="1"/>
    <x v="1"/>
    <x v="0"/>
    <x v="677"/>
    <x v="1"/>
    <s v="36-45"/>
    <x v="0"/>
    <s v="Low"/>
  </r>
  <r>
    <x v="22"/>
    <x v="0"/>
    <n v="30.495000000000001"/>
    <x v="1"/>
    <x v="1"/>
    <x v="2"/>
    <x v="678"/>
    <x v="1"/>
    <s v="36-45"/>
    <x v="0"/>
    <s v="Low"/>
  </r>
  <r>
    <x v="22"/>
    <x v="0"/>
    <n v="30.495000000000001"/>
    <x v="1"/>
    <x v="1"/>
    <x v="0"/>
    <x v="679"/>
    <x v="1"/>
    <s v="36-45"/>
    <x v="0"/>
    <s v="Low"/>
  </r>
  <r>
    <x v="22"/>
    <x v="1"/>
    <n v="30.495000000000001"/>
    <x v="1"/>
    <x v="1"/>
    <x v="0"/>
    <x v="680"/>
    <x v="1"/>
    <s v="36-45"/>
    <x v="0"/>
    <s v="Low"/>
  </r>
  <r>
    <x v="22"/>
    <x v="1"/>
    <n v="30.5"/>
    <x v="1"/>
    <x v="0"/>
    <x v="0"/>
    <x v="681"/>
    <x v="1"/>
    <s v="36-45"/>
    <x v="0"/>
    <s v="Low"/>
  </r>
  <r>
    <x v="22"/>
    <x v="1"/>
    <n v="30.5"/>
    <x v="1"/>
    <x v="1"/>
    <x v="2"/>
    <x v="682"/>
    <x v="1"/>
    <s v="36-45"/>
    <x v="0"/>
    <s v="Low"/>
  </r>
  <r>
    <x v="22"/>
    <x v="0"/>
    <n v="30.5"/>
    <x v="1"/>
    <x v="1"/>
    <x v="0"/>
    <x v="683"/>
    <x v="1"/>
    <s v="36-45"/>
    <x v="0"/>
    <s v="Low"/>
  </r>
  <r>
    <x v="22"/>
    <x v="1"/>
    <n v="30.5"/>
    <x v="1"/>
    <x v="1"/>
    <x v="3"/>
    <x v="684"/>
    <x v="1"/>
    <s v="36-45"/>
    <x v="0"/>
    <s v="Low"/>
  </r>
  <r>
    <x v="22"/>
    <x v="1"/>
    <n v="30.59"/>
    <x v="1"/>
    <x v="1"/>
    <x v="3"/>
    <x v="685"/>
    <x v="1"/>
    <s v="36-45"/>
    <x v="0"/>
    <s v="Low"/>
  </r>
  <r>
    <x v="22"/>
    <x v="1"/>
    <n v="30.59"/>
    <x v="1"/>
    <x v="1"/>
    <x v="1"/>
    <x v="686"/>
    <x v="1"/>
    <s v="36-45"/>
    <x v="0"/>
    <s v="Low"/>
  </r>
  <r>
    <x v="22"/>
    <x v="0"/>
    <n v="30.59"/>
    <x v="1"/>
    <x v="1"/>
    <x v="0"/>
    <x v="687"/>
    <x v="1"/>
    <s v="36-45"/>
    <x v="0"/>
    <s v="Low"/>
  </r>
  <r>
    <x v="22"/>
    <x v="1"/>
    <n v="30.59"/>
    <x v="1"/>
    <x v="0"/>
    <x v="1"/>
    <x v="688"/>
    <x v="1"/>
    <s v="36-45"/>
    <x v="0"/>
    <s v="Low"/>
  </r>
  <r>
    <x v="22"/>
    <x v="1"/>
    <n v="30.59"/>
    <x v="1"/>
    <x v="1"/>
    <x v="3"/>
    <x v="689"/>
    <x v="1"/>
    <s v="36-45"/>
    <x v="0"/>
    <s v="Low"/>
  </r>
  <r>
    <x v="22"/>
    <x v="1"/>
    <n v="30.59"/>
    <x v="1"/>
    <x v="1"/>
    <x v="0"/>
    <x v="690"/>
    <x v="1"/>
    <s v="36-45"/>
    <x v="0"/>
    <s v="Low"/>
  </r>
  <r>
    <x v="22"/>
    <x v="1"/>
    <n v="30.684999999999999"/>
    <x v="1"/>
    <x v="1"/>
    <x v="2"/>
    <x v="691"/>
    <x v="1"/>
    <s v="36-45"/>
    <x v="0"/>
    <s v="Low"/>
  </r>
  <r>
    <x v="22"/>
    <x v="1"/>
    <n v="30.684999999999999"/>
    <x v="1"/>
    <x v="1"/>
    <x v="2"/>
    <x v="692"/>
    <x v="1"/>
    <s v="36-45"/>
    <x v="0"/>
    <s v="Low"/>
  </r>
  <r>
    <x v="22"/>
    <x v="0"/>
    <n v="30.684999999999999"/>
    <x v="1"/>
    <x v="1"/>
    <x v="0"/>
    <x v="693"/>
    <x v="1"/>
    <s v="36-45"/>
    <x v="0"/>
    <s v="Low"/>
  </r>
  <r>
    <x v="22"/>
    <x v="0"/>
    <n v="30.69"/>
    <x v="1"/>
    <x v="1"/>
    <x v="2"/>
    <x v="694"/>
    <x v="1"/>
    <s v="36-45"/>
    <x v="0"/>
    <s v="Low"/>
  </r>
  <r>
    <x v="22"/>
    <x v="0"/>
    <n v="30.69"/>
    <x v="1"/>
    <x v="1"/>
    <x v="3"/>
    <x v="695"/>
    <x v="1"/>
    <s v="36-45"/>
    <x v="0"/>
    <s v="Low"/>
  </r>
  <r>
    <x v="22"/>
    <x v="1"/>
    <n v="30.78"/>
    <x v="1"/>
    <x v="0"/>
    <x v="1"/>
    <x v="696"/>
    <x v="1"/>
    <s v="36-45"/>
    <x v="0"/>
    <s v="Low"/>
  </r>
  <r>
    <x v="22"/>
    <x v="1"/>
    <n v="30.78"/>
    <x v="1"/>
    <x v="1"/>
    <x v="2"/>
    <x v="697"/>
    <x v="1"/>
    <s v="36-45"/>
    <x v="0"/>
    <s v="Low"/>
  </r>
  <r>
    <x v="22"/>
    <x v="0"/>
    <n v="30.78"/>
    <x v="1"/>
    <x v="1"/>
    <x v="1"/>
    <x v="698"/>
    <x v="1"/>
    <s v="36-45"/>
    <x v="0"/>
    <s v="Low"/>
  </r>
  <r>
    <x v="22"/>
    <x v="0"/>
    <n v="30.78"/>
    <x v="1"/>
    <x v="1"/>
    <x v="1"/>
    <x v="699"/>
    <x v="1"/>
    <s v="36-45"/>
    <x v="0"/>
    <s v="Low"/>
  </r>
  <r>
    <x v="23"/>
    <x v="0"/>
    <n v="30.78"/>
    <x v="1"/>
    <x v="1"/>
    <x v="3"/>
    <x v="700"/>
    <x v="1"/>
    <s v="36-45"/>
    <x v="0"/>
    <s v="Low"/>
  </r>
  <r>
    <x v="23"/>
    <x v="1"/>
    <n v="30.8"/>
    <x v="1"/>
    <x v="1"/>
    <x v="1"/>
    <x v="701"/>
    <x v="1"/>
    <s v="36-45"/>
    <x v="0"/>
    <s v="Low"/>
  </r>
  <r>
    <x v="23"/>
    <x v="0"/>
    <n v="30.8"/>
    <x v="1"/>
    <x v="1"/>
    <x v="2"/>
    <x v="702"/>
    <x v="1"/>
    <s v="36-45"/>
    <x v="0"/>
    <s v="Low"/>
  </r>
  <r>
    <x v="23"/>
    <x v="0"/>
    <n v="30.8"/>
    <x v="1"/>
    <x v="1"/>
    <x v="2"/>
    <x v="703"/>
    <x v="1"/>
    <s v="36-45"/>
    <x v="0"/>
    <s v="Low"/>
  </r>
  <r>
    <x v="23"/>
    <x v="0"/>
    <n v="30.8"/>
    <x v="1"/>
    <x v="1"/>
    <x v="0"/>
    <x v="704"/>
    <x v="1"/>
    <s v="36-45"/>
    <x v="0"/>
    <s v="Low"/>
  </r>
  <r>
    <x v="23"/>
    <x v="0"/>
    <n v="30.8"/>
    <x v="1"/>
    <x v="0"/>
    <x v="1"/>
    <x v="705"/>
    <x v="1"/>
    <s v="36-45"/>
    <x v="0"/>
    <s v="Low"/>
  </r>
  <r>
    <x v="23"/>
    <x v="1"/>
    <n v="30.8"/>
    <x v="1"/>
    <x v="1"/>
    <x v="2"/>
    <x v="706"/>
    <x v="1"/>
    <s v="36-45"/>
    <x v="0"/>
    <s v="Low"/>
  </r>
  <r>
    <x v="23"/>
    <x v="0"/>
    <n v="30.8"/>
    <x v="1"/>
    <x v="1"/>
    <x v="3"/>
    <x v="707"/>
    <x v="1"/>
    <s v="36-45"/>
    <x v="0"/>
    <s v="Low"/>
  </r>
  <r>
    <x v="23"/>
    <x v="0"/>
    <n v="30.8"/>
    <x v="1"/>
    <x v="1"/>
    <x v="3"/>
    <x v="708"/>
    <x v="1"/>
    <s v="36-45"/>
    <x v="0"/>
    <s v="Low"/>
  </r>
  <r>
    <x v="23"/>
    <x v="1"/>
    <n v="30.875"/>
    <x v="1"/>
    <x v="1"/>
    <x v="1"/>
    <x v="709"/>
    <x v="1"/>
    <s v="36-45"/>
    <x v="0"/>
    <s v="Low"/>
  </r>
  <r>
    <x v="23"/>
    <x v="0"/>
    <n v="30.875"/>
    <x v="1"/>
    <x v="1"/>
    <x v="1"/>
    <x v="710"/>
    <x v="1"/>
    <s v="36-45"/>
    <x v="0"/>
    <s v="Low"/>
  </r>
  <r>
    <x v="23"/>
    <x v="0"/>
    <n v="30.875"/>
    <x v="1"/>
    <x v="1"/>
    <x v="2"/>
    <x v="711"/>
    <x v="1"/>
    <s v="36-45"/>
    <x v="0"/>
    <s v="Medium"/>
  </r>
  <r>
    <x v="23"/>
    <x v="1"/>
    <n v="30.875"/>
    <x v="1"/>
    <x v="1"/>
    <x v="3"/>
    <x v="712"/>
    <x v="1"/>
    <s v="36-45"/>
    <x v="0"/>
    <s v="Medium"/>
  </r>
  <r>
    <x v="23"/>
    <x v="0"/>
    <n v="30.875"/>
    <x v="1"/>
    <x v="1"/>
    <x v="0"/>
    <x v="713"/>
    <x v="1"/>
    <s v="36-45"/>
    <x v="0"/>
    <s v="Medium"/>
  </r>
  <r>
    <x v="23"/>
    <x v="1"/>
    <n v="30.875"/>
    <x v="1"/>
    <x v="1"/>
    <x v="0"/>
    <x v="714"/>
    <x v="1"/>
    <s v="36-45"/>
    <x v="0"/>
    <s v="Medium"/>
  </r>
  <r>
    <x v="23"/>
    <x v="0"/>
    <n v="30.875"/>
    <x v="1"/>
    <x v="1"/>
    <x v="2"/>
    <x v="715"/>
    <x v="1"/>
    <s v="36-45"/>
    <x v="0"/>
    <s v="Medium"/>
  </r>
  <r>
    <x v="23"/>
    <x v="1"/>
    <n v="30.875"/>
    <x v="1"/>
    <x v="1"/>
    <x v="2"/>
    <x v="716"/>
    <x v="1"/>
    <s v="36-45"/>
    <x v="0"/>
    <s v="Medium"/>
  </r>
  <r>
    <x v="23"/>
    <x v="0"/>
    <n v="30.9"/>
    <x v="1"/>
    <x v="1"/>
    <x v="2"/>
    <x v="717"/>
    <x v="1"/>
    <s v="36-45"/>
    <x v="0"/>
    <s v="Medium"/>
  </r>
  <r>
    <x v="23"/>
    <x v="0"/>
    <n v="30.9"/>
    <x v="1"/>
    <x v="1"/>
    <x v="2"/>
    <x v="718"/>
    <x v="1"/>
    <s v="36-45"/>
    <x v="0"/>
    <s v="Medium"/>
  </r>
  <r>
    <x v="23"/>
    <x v="0"/>
    <n v="30.9"/>
    <x v="1"/>
    <x v="1"/>
    <x v="3"/>
    <x v="719"/>
    <x v="1"/>
    <s v="36-45"/>
    <x v="0"/>
    <s v="Medium"/>
  </r>
  <r>
    <x v="23"/>
    <x v="1"/>
    <n v="30.97"/>
    <x v="1"/>
    <x v="1"/>
    <x v="0"/>
    <x v="720"/>
    <x v="1"/>
    <s v="36-45"/>
    <x v="0"/>
    <s v="Medium"/>
  </r>
  <r>
    <x v="23"/>
    <x v="1"/>
    <n v="31"/>
    <x v="1"/>
    <x v="1"/>
    <x v="0"/>
    <x v="721"/>
    <x v="1"/>
    <s v="36-45"/>
    <x v="0"/>
    <s v="Medium"/>
  </r>
  <r>
    <x v="23"/>
    <x v="1"/>
    <n v="31"/>
    <x v="1"/>
    <x v="1"/>
    <x v="0"/>
    <x v="722"/>
    <x v="1"/>
    <s v="36-45"/>
    <x v="0"/>
    <s v="Medium"/>
  </r>
  <r>
    <x v="23"/>
    <x v="0"/>
    <n v="31.02"/>
    <x v="1"/>
    <x v="1"/>
    <x v="3"/>
    <x v="723"/>
    <x v="1"/>
    <s v="36-45"/>
    <x v="0"/>
    <s v="Medium"/>
  </r>
  <r>
    <x v="23"/>
    <x v="0"/>
    <n v="31.02"/>
    <x v="1"/>
    <x v="0"/>
    <x v="1"/>
    <x v="724"/>
    <x v="1"/>
    <s v="36-45"/>
    <x v="0"/>
    <s v="Medium"/>
  </r>
  <r>
    <x v="23"/>
    <x v="1"/>
    <n v="31.02"/>
    <x v="1"/>
    <x v="1"/>
    <x v="2"/>
    <x v="725"/>
    <x v="1"/>
    <s v="36-45"/>
    <x v="0"/>
    <s v="Medium"/>
  </r>
  <r>
    <x v="23"/>
    <x v="0"/>
    <n v="31.065000000000001"/>
    <x v="1"/>
    <x v="0"/>
    <x v="3"/>
    <x v="726"/>
    <x v="1"/>
    <s v="36-45"/>
    <x v="0"/>
    <s v="Medium"/>
  </r>
  <r>
    <x v="24"/>
    <x v="0"/>
    <n v="31.065000000000001"/>
    <x v="1"/>
    <x v="1"/>
    <x v="3"/>
    <x v="727"/>
    <x v="1"/>
    <s v="36-45"/>
    <x v="0"/>
    <s v="Medium"/>
  </r>
  <r>
    <x v="24"/>
    <x v="0"/>
    <n v="31.065000000000001"/>
    <x v="1"/>
    <x v="1"/>
    <x v="1"/>
    <x v="728"/>
    <x v="1"/>
    <s v="36-45"/>
    <x v="0"/>
    <s v="Medium"/>
  </r>
  <r>
    <x v="24"/>
    <x v="1"/>
    <n v="31.065000000000001"/>
    <x v="1"/>
    <x v="0"/>
    <x v="1"/>
    <x v="729"/>
    <x v="1"/>
    <s v="36-45"/>
    <x v="0"/>
    <s v="Medium"/>
  </r>
  <r>
    <x v="24"/>
    <x v="1"/>
    <n v="31.1"/>
    <x v="1"/>
    <x v="1"/>
    <x v="0"/>
    <x v="730"/>
    <x v="1"/>
    <s v="36-45"/>
    <x v="0"/>
    <s v="Medium"/>
  </r>
  <r>
    <x v="24"/>
    <x v="0"/>
    <n v="31.13"/>
    <x v="1"/>
    <x v="1"/>
    <x v="0"/>
    <x v="731"/>
    <x v="1"/>
    <s v="36-45"/>
    <x v="0"/>
    <s v="Medium"/>
  </r>
  <r>
    <x v="24"/>
    <x v="0"/>
    <n v="31.13"/>
    <x v="1"/>
    <x v="1"/>
    <x v="3"/>
    <x v="732"/>
    <x v="1"/>
    <s v="36-45"/>
    <x v="0"/>
    <s v="Medium"/>
  </r>
  <r>
    <x v="24"/>
    <x v="0"/>
    <n v="31.13"/>
    <x v="1"/>
    <x v="1"/>
    <x v="0"/>
    <x v="733"/>
    <x v="1"/>
    <s v="36-45"/>
    <x v="0"/>
    <s v="Medium"/>
  </r>
  <r>
    <x v="24"/>
    <x v="0"/>
    <n v="31.13"/>
    <x v="1"/>
    <x v="1"/>
    <x v="2"/>
    <x v="734"/>
    <x v="1"/>
    <s v="36-45"/>
    <x v="0"/>
    <s v="Medium"/>
  </r>
  <r>
    <x v="24"/>
    <x v="0"/>
    <n v="31.16"/>
    <x v="1"/>
    <x v="0"/>
    <x v="1"/>
    <x v="735"/>
    <x v="1"/>
    <s v="36-45"/>
    <x v="0"/>
    <s v="Medium"/>
  </r>
  <r>
    <x v="24"/>
    <x v="1"/>
    <n v="31.16"/>
    <x v="1"/>
    <x v="1"/>
    <x v="0"/>
    <x v="736"/>
    <x v="1"/>
    <s v="36-45"/>
    <x v="0"/>
    <s v="Medium"/>
  </r>
  <r>
    <x v="24"/>
    <x v="1"/>
    <n v="31.16"/>
    <x v="1"/>
    <x v="0"/>
    <x v="3"/>
    <x v="737"/>
    <x v="1"/>
    <s v="36-45"/>
    <x v="0"/>
    <s v="Medium"/>
  </r>
  <r>
    <x v="24"/>
    <x v="1"/>
    <n v="31.16"/>
    <x v="1"/>
    <x v="0"/>
    <x v="0"/>
    <x v="738"/>
    <x v="1"/>
    <s v="36-45"/>
    <x v="0"/>
    <s v="Medium"/>
  </r>
  <r>
    <x v="24"/>
    <x v="1"/>
    <n v="31.2"/>
    <x v="1"/>
    <x v="1"/>
    <x v="3"/>
    <x v="739"/>
    <x v="1"/>
    <s v="36-45"/>
    <x v="0"/>
    <s v="Medium"/>
  </r>
  <r>
    <x v="24"/>
    <x v="1"/>
    <n v="31.24"/>
    <x v="1"/>
    <x v="0"/>
    <x v="1"/>
    <x v="740"/>
    <x v="1"/>
    <s v="36-45"/>
    <x v="0"/>
    <s v="Medium"/>
  </r>
  <r>
    <x v="24"/>
    <x v="1"/>
    <n v="31.254999999999999"/>
    <x v="1"/>
    <x v="0"/>
    <x v="3"/>
    <x v="741"/>
    <x v="1"/>
    <s v="36-45"/>
    <x v="0"/>
    <s v="Medium"/>
  </r>
  <r>
    <x v="24"/>
    <x v="0"/>
    <n v="31.254999999999999"/>
    <x v="1"/>
    <x v="1"/>
    <x v="1"/>
    <x v="742"/>
    <x v="1"/>
    <s v="36-45"/>
    <x v="0"/>
    <s v="Medium"/>
  </r>
  <r>
    <x v="24"/>
    <x v="1"/>
    <n v="31.254999999999999"/>
    <x v="1"/>
    <x v="1"/>
    <x v="2"/>
    <x v="743"/>
    <x v="1"/>
    <s v="36-45"/>
    <x v="0"/>
    <s v="Medium"/>
  </r>
  <r>
    <x v="24"/>
    <x v="0"/>
    <n v="31.3"/>
    <x v="1"/>
    <x v="1"/>
    <x v="2"/>
    <x v="744"/>
    <x v="1"/>
    <s v="36-45"/>
    <x v="0"/>
    <s v="Medium"/>
  </r>
  <r>
    <x v="24"/>
    <x v="1"/>
    <n v="31.35"/>
    <x v="1"/>
    <x v="1"/>
    <x v="0"/>
    <x v="745"/>
    <x v="1"/>
    <s v="36-45"/>
    <x v="0"/>
    <s v="Medium"/>
  </r>
  <r>
    <x v="24"/>
    <x v="1"/>
    <n v="31.35"/>
    <x v="1"/>
    <x v="1"/>
    <x v="2"/>
    <x v="746"/>
    <x v="1"/>
    <s v="36-45"/>
    <x v="0"/>
    <s v="Medium"/>
  </r>
  <r>
    <x v="24"/>
    <x v="0"/>
    <n v="31.35"/>
    <x v="1"/>
    <x v="1"/>
    <x v="0"/>
    <x v="747"/>
    <x v="1"/>
    <s v="36-45"/>
    <x v="0"/>
    <s v="Medium"/>
  </r>
  <r>
    <x v="24"/>
    <x v="1"/>
    <n v="31.35"/>
    <x v="1"/>
    <x v="1"/>
    <x v="2"/>
    <x v="748"/>
    <x v="1"/>
    <s v="36-45"/>
    <x v="0"/>
    <s v="Medium"/>
  </r>
  <r>
    <x v="24"/>
    <x v="0"/>
    <n v="31.35"/>
    <x v="1"/>
    <x v="0"/>
    <x v="1"/>
    <x v="749"/>
    <x v="1"/>
    <s v="36-45"/>
    <x v="0"/>
    <s v="Medium"/>
  </r>
  <r>
    <x v="24"/>
    <x v="1"/>
    <n v="31.35"/>
    <x v="1"/>
    <x v="1"/>
    <x v="2"/>
    <x v="750"/>
    <x v="1"/>
    <s v="36-45"/>
    <x v="0"/>
    <s v="Medium"/>
  </r>
  <r>
    <x v="24"/>
    <x v="1"/>
    <n v="31.35"/>
    <x v="1"/>
    <x v="1"/>
    <x v="2"/>
    <x v="751"/>
    <x v="1"/>
    <s v="36-45"/>
    <x v="0"/>
    <s v="Medium"/>
  </r>
  <r>
    <x v="24"/>
    <x v="0"/>
    <n v="31.35"/>
    <x v="1"/>
    <x v="1"/>
    <x v="1"/>
    <x v="752"/>
    <x v="1"/>
    <s v="36-45"/>
    <x v="0"/>
    <s v="Medium"/>
  </r>
  <r>
    <x v="24"/>
    <x v="1"/>
    <n v="31.4"/>
    <x v="1"/>
    <x v="1"/>
    <x v="3"/>
    <x v="753"/>
    <x v="1"/>
    <s v="36-45"/>
    <x v="0"/>
    <s v="Medium"/>
  </r>
  <r>
    <x v="25"/>
    <x v="1"/>
    <n v="31.4"/>
    <x v="1"/>
    <x v="1"/>
    <x v="3"/>
    <x v="754"/>
    <x v="1"/>
    <s v="36-45"/>
    <x v="0"/>
    <s v="Medium"/>
  </r>
  <r>
    <x v="25"/>
    <x v="0"/>
    <n v="31.4"/>
    <x v="1"/>
    <x v="1"/>
    <x v="3"/>
    <x v="755"/>
    <x v="1"/>
    <s v="36-45"/>
    <x v="0"/>
    <s v="Medium"/>
  </r>
  <r>
    <x v="25"/>
    <x v="0"/>
    <n v="31.445"/>
    <x v="1"/>
    <x v="0"/>
    <x v="1"/>
    <x v="756"/>
    <x v="1"/>
    <s v="36-45"/>
    <x v="0"/>
    <s v="Medium"/>
  </r>
  <r>
    <x v="25"/>
    <x v="1"/>
    <n v="31.445"/>
    <x v="1"/>
    <x v="1"/>
    <x v="3"/>
    <x v="757"/>
    <x v="1"/>
    <s v="36-45"/>
    <x v="0"/>
    <s v="Medium"/>
  </r>
  <r>
    <x v="25"/>
    <x v="1"/>
    <n v="31.46"/>
    <x v="1"/>
    <x v="0"/>
    <x v="1"/>
    <x v="758"/>
    <x v="1"/>
    <s v="36-45"/>
    <x v="0"/>
    <s v="Medium"/>
  </r>
  <r>
    <x v="25"/>
    <x v="0"/>
    <n v="31.46"/>
    <x v="1"/>
    <x v="1"/>
    <x v="3"/>
    <x v="759"/>
    <x v="1"/>
    <s v="36-45"/>
    <x v="0"/>
    <s v="Medium"/>
  </r>
  <r>
    <x v="25"/>
    <x v="1"/>
    <n v="31.5"/>
    <x v="1"/>
    <x v="1"/>
    <x v="0"/>
    <x v="760"/>
    <x v="1"/>
    <s v="36-45"/>
    <x v="0"/>
    <s v="Medium"/>
  </r>
  <r>
    <x v="25"/>
    <x v="1"/>
    <n v="31.5"/>
    <x v="1"/>
    <x v="0"/>
    <x v="0"/>
    <x v="761"/>
    <x v="1"/>
    <s v="36-45"/>
    <x v="0"/>
    <s v="Medium"/>
  </r>
  <r>
    <x v="25"/>
    <x v="1"/>
    <n v="31.54"/>
    <x v="1"/>
    <x v="1"/>
    <x v="3"/>
    <x v="762"/>
    <x v="1"/>
    <s v="36-45"/>
    <x v="0"/>
    <s v="Medium"/>
  </r>
  <r>
    <x v="25"/>
    <x v="0"/>
    <n v="31.54"/>
    <x v="1"/>
    <x v="1"/>
    <x v="3"/>
    <x v="763"/>
    <x v="1"/>
    <s v="36-45"/>
    <x v="0"/>
    <s v="Medium"/>
  </r>
  <r>
    <x v="25"/>
    <x v="0"/>
    <n v="31.57"/>
    <x v="1"/>
    <x v="1"/>
    <x v="2"/>
    <x v="764"/>
    <x v="1"/>
    <s v="36-45"/>
    <x v="0"/>
    <s v="Medium"/>
  </r>
  <r>
    <x v="25"/>
    <x v="1"/>
    <n v="31.57"/>
    <x v="1"/>
    <x v="1"/>
    <x v="0"/>
    <x v="765"/>
    <x v="1"/>
    <s v="36-45"/>
    <x v="0"/>
    <s v="Medium"/>
  </r>
  <r>
    <x v="25"/>
    <x v="0"/>
    <n v="31.6"/>
    <x v="1"/>
    <x v="1"/>
    <x v="0"/>
    <x v="766"/>
    <x v="1"/>
    <s v="36-45"/>
    <x v="0"/>
    <s v="Medium"/>
  </r>
  <r>
    <x v="25"/>
    <x v="0"/>
    <n v="31.6"/>
    <x v="1"/>
    <x v="1"/>
    <x v="0"/>
    <x v="767"/>
    <x v="1"/>
    <s v="36-45"/>
    <x v="0"/>
    <s v="Medium"/>
  </r>
  <r>
    <x v="25"/>
    <x v="0"/>
    <n v="31.6"/>
    <x v="1"/>
    <x v="1"/>
    <x v="2"/>
    <x v="768"/>
    <x v="1"/>
    <s v="36-45"/>
    <x v="0"/>
    <s v="Medium"/>
  </r>
  <r>
    <x v="25"/>
    <x v="1"/>
    <n v="31.635000000000002"/>
    <x v="1"/>
    <x v="1"/>
    <x v="0"/>
    <x v="769"/>
    <x v="1"/>
    <s v="36-45"/>
    <x v="0"/>
    <s v="Medium"/>
  </r>
  <r>
    <x v="25"/>
    <x v="0"/>
    <n v="31.635000000000002"/>
    <x v="1"/>
    <x v="1"/>
    <x v="0"/>
    <x v="770"/>
    <x v="1"/>
    <s v="36-45"/>
    <x v="0"/>
    <s v="Medium"/>
  </r>
  <r>
    <x v="25"/>
    <x v="0"/>
    <n v="31.68"/>
    <x v="1"/>
    <x v="1"/>
    <x v="3"/>
    <x v="771"/>
    <x v="1"/>
    <s v="36-45"/>
    <x v="0"/>
    <s v="Medium"/>
  </r>
  <r>
    <x v="25"/>
    <x v="0"/>
    <n v="31.68"/>
    <x v="1"/>
    <x v="0"/>
    <x v="2"/>
    <x v="772"/>
    <x v="1"/>
    <s v="36-45"/>
    <x v="0"/>
    <s v="Medium"/>
  </r>
  <r>
    <x v="25"/>
    <x v="1"/>
    <n v="31.73"/>
    <x v="1"/>
    <x v="1"/>
    <x v="2"/>
    <x v="773"/>
    <x v="1"/>
    <s v="36-45"/>
    <x v="0"/>
    <s v="Medium"/>
  </r>
  <r>
    <x v="25"/>
    <x v="1"/>
    <n v="31.73"/>
    <x v="1"/>
    <x v="1"/>
    <x v="1"/>
    <x v="774"/>
    <x v="1"/>
    <s v="36-45"/>
    <x v="0"/>
    <s v="Medium"/>
  </r>
  <r>
    <x v="25"/>
    <x v="1"/>
    <n v="31.73"/>
    <x v="1"/>
    <x v="1"/>
    <x v="2"/>
    <x v="775"/>
    <x v="1"/>
    <s v="36-45"/>
    <x v="0"/>
    <s v="Medium"/>
  </r>
  <r>
    <x v="25"/>
    <x v="1"/>
    <n v="31.73"/>
    <x v="1"/>
    <x v="1"/>
    <x v="3"/>
    <x v="776"/>
    <x v="1"/>
    <s v="36-45"/>
    <x v="0"/>
    <s v="Medium"/>
  </r>
  <r>
    <x v="25"/>
    <x v="1"/>
    <n v="31.73"/>
    <x v="1"/>
    <x v="1"/>
    <x v="1"/>
    <x v="777"/>
    <x v="1"/>
    <s v="36-45"/>
    <x v="0"/>
    <s v="Medium"/>
  </r>
  <r>
    <x v="25"/>
    <x v="1"/>
    <n v="31.73"/>
    <x v="1"/>
    <x v="1"/>
    <x v="2"/>
    <x v="778"/>
    <x v="1"/>
    <s v="36-45"/>
    <x v="0"/>
    <s v="Medium"/>
  </r>
  <r>
    <x v="25"/>
    <x v="1"/>
    <n v="31.79"/>
    <x v="1"/>
    <x v="0"/>
    <x v="0"/>
    <x v="779"/>
    <x v="1"/>
    <s v="36-45"/>
    <x v="0"/>
    <s v="Medium"/>
  </r>
  <r>
    <x v="25"/>
    <x v="1"/>
    <n v="31.79"/>
    <x v="1"/>
    <x v="1"/>
    <x v="1"/>
    <x v="780"/>
    <x v="1"/>
    <s v="36-45"/>
    <x v="0"/>
    <s v="Medium"/>
  </r>
  <r>
    <x v="26"/>
    <x v="1"/>
    <n v="31.79"/>
    <x v="1"/>
    <x v="1"/>
    <x v="1"/>
    <x v="781"/>
    <x v="1"/>
    <s v="36-45"/>
    <x v="0"/>
    <s v="Medium"/>
  </r>
  <r>
    <x v="26"/>
    <x v="0"/>
    <n v="31.79"/>
    <x v="1"/>
    <x v="0"/>
    <x v="0"/>
    <x v="782"/>
    <x v="1"/>
    <s v="36-45"/>
    <x v="0"/>
    <s v="Medium"/>
  </r>
  <r>
    <x v="26"/>
    <x v="0"/>
    <n v="31.8"/>
    <x v="1"/>
    <x v="1"/>
    <x v="1"/>
    <x v="783"/>
    <x v="1"/>
    <s v="36-45"/>
    <x v="0"/>
    <s v="Medium"/>
  </r>
  <r>
    <x v="26"/>
    <x v="0"/>
    <n v="31.824999999999999"/>
    <x v="1"/>
    <x v="1"/>
    <x v="0"/>
    <x v="784"/>
    <x v="1"/>
    <s v="36-45"/>
    <x v="0"/>
    <s v="Medium"/>
  </r>
  <r>
    <x v="26"/>
    <x v="1"/>
    <n v="31.824999999999999"/>
    <x v="1"/>
    <x v="1"/>
    <x v="3"/>
    <x v="785"/>
    <x v="1"/>
    <s v="36-45"/>
    <x v="0"/>
    <s v="Medium"/>
  </r>
  <r>
    <x v="26"/>
    <x v="1"/>
    <n v="31.824999999999999"/>
    <x v="1"/>
    <x v="1"/>
    <x v="2"/>
    <x v="786"/>
    <x v="1"/>
    <s v="36-45"/>
    <x v="0"/>
    <s v="Medium"/>
  </r>
  <r>
    <x v="26"/>
    <x v="1"/>
    <n v="31.824999999999999"/>
    <x v="1"/>
    <x v="1"/>
    <x v="3"/>
    <x v="787"/>
    <x v="1"/>
    <s v="36-45"/>
    <x v="0"/>
    <s v="Medium"/>
  </r>
  <r>
    <x v="26"/>
    <x v="0"/>
    <n v="31.824999999999999"/>
    <x v="1"/>
    <x v="1"/>
    <x v="1"/>
    <x v="788"/>
    <x v="1"/>
    <s v="36-45"/>
    <x v="0"/>
    <s v="Medium"/>
  </r>
  <r>
    <x v="26"/>
    <x v="0"/>
    <n v="31.9"/>
    <x v="1"/>
    <x v="1"/>
    <x v="1"/>
    <x v="789"/>
    <x v="1"/>
    <s v="36-45"/>
    <x v="0"/>
    <s v="Medium"/>
  </r>
  <r>
    <x v="26"/>
    <x v="1"/>
    <n v="31.9"/>
    <x v="1"/>
    <x v="1"/>
    <x v="0"/>
    <x v="790"/>
    <x v="1"/>
    <s v="36-45"/>
    <x v="0"/>
    <s v="Medium"/>
  </r>
  <r>
    <x v="26"/>
    <x v="0"/>
    <n v="31.9"/>
    <x v="1"/>
    <x v="1"/>
    <x v="3"/>
    <x v="791"/>
    <x v="1"/>
    <s v="36-45"/>
    <x v="0"/>
    <s v="Medium"/>
  </r>
  <r>
    <x v="26"/>
    <x v="1"/>
    <n v="31.92"/>
    <x v="1"/>
    <x v="0"/>
    <x v="1"/>
    <x v="792"/>
    <x v="1"/>
    <s v="36-45"/>
    <x v="0"/>
    <s v="Medium"/>
  </r>
  <r>
    <x v="26"/>
    <x v="0"/>
    <n v="31.92"/>
    <x v="1"/>
    <x v="1"/>
    <x v="2"/>
    <x v="793"/>
    <x v="1"/>
    <s v="36-45"/>
    <x v="0"/>
    <s v="Medium"/>
  </r>
  <r>
    <x v="26"/>
    <x v="1"/>
    <n v="31.92"/>
    <x v="1"/>
    <x v="0"/>
    <x v="2"/>
    <x v="794"/>
    <x v="1"/>
    <s v="36-45"/>
    <x v="0"/>
    <s v="Medium"/>
  </r>
  <r>
    <x v="26"/>
    <x v="1"/>
    <n v="31.92"/>
    <x v="1"/>
    <x v="1"/>
    <x v="1"/>
    <x v="795"/>
    <x v="1"/>
    <s v="36-45"/>
    <x v="0"/>
    <s v="Medium"/>
  </r>
  <r>
    <x v="26"/>
    <x v="0"/>
    <n v="31.92"/>
    <x v="1"/>
    <x v="1"/>
    <x v="3"/>
    <x v="796"/>
    <x v="1"/>
    <s v="36-45"/>
    <x v="0"/>
    <s v="Medium"/>
  </r>
  <r>
    <x v="26"/>
    <x v="0"/>
    <n v="32"/>
    <x v="1"/>
    <x v="1"/>
    <x v="0"/>
    <x v="797"/>
    <x v="1"/>
    <s v="36-45"/>
    <x v="0"/>
    <s v="Medium"/>
  </r>
  <r>
    <x v="26"/>
    <x v="1"/>
    <n v="32.01"/>
    <x v="1"/>
    <x v="0"/>
    <x v="3"/>
    <x v="798"/>
    <x v="1"/>
    <s v="36-45"/>
    <x v="0"/>
    <s v="Medium"/>
  </r>
  <r>
    <x v="26"/>
    <x v="0"/>
    <n v="32.01"/>
    <x v="1"/>
    <x v="1"/>
    <x v="1"/>
    <x v="799"/>
    <x v="1"/>
    <s v="36-45"/>
    <x v="0"/>
    <s v="Medium"/>
  </r>
  <r>
    <x v="26"/>
    <x v="0"/>
    <n v="32.015000000000001"/>
    <x v="1"/>
    <x v="1"/>
    <x v="1"/>
    <x v="800"/>
    <x v="1"/>
    <s v="36-45"/>
    <x v="0"/>
    <s v="Medium"/>
  </r>
  <r>
    <x v="26"/>
    <x v="1"/>
    <n v="32.015000000000001"/>
    <x v="1"/>
    <x v="1"/>
    <x v="0"/>
    <x v="801"/>
    <x v="1"/>
    <s v="36-45"/>
    <x v="0"/>
    <s v="Medium"/>
  </r>
  <r>
    <x v="26"/>
    <x v="0"/>
    <n v="32.1"/>
    <x v="1"/>
    <x v="0"/>
    <x v="1"/>
    <x v="802"/>
    <x v="1"/>
    <s v="36-45"/>
    <x v="0"/>
    <s v="Medium"/>
  </r>
  <r>
    <x v="26"/>
    <x v="1"/>
    <n v="32.11"/>
    <x v="1"/>
    <x v="1"/>
    <x v="1"/>
    <x v="803"/>
    <x v="1"/>
    <s v="36-45"/>
    <x v="0"/>
    <s v="Medium"/>
  </r>
  <r>
    <x v="26"/>
    <x v="0"/>
    <n v="32.11"/>
    <x v="1"/>
    <x v="1"/>
    <x v="2"/>
    <x v="804"/>
    <x v="1"/>
    <s v="36-45"/>
    <x v="0"/>
    <s v="Medium"/>
  </r>
  <r>
    <x v="26"/>
    <x v="0"/>
    <n v="32.11"/>
    <x v="1"/>
    <x v="1"/>
    <x v="2"/>
    <x v="805"/>
    <x v="1"/>
    <s v="36-45"/>
    <x v="0"/>
    <s v="Medium"/>
  </r>
  <r>
    <x v="26"/>
    <x v="0"/>
    <n v="32.11"/>
    <x v="1"/>
    <x v="1"/>
    <x v="2"/>
    <x v="806"/>
    <x v="1"/>
    <s v="36-45"/>
    <x v="0"/>
    <s v="Medium"/>
  </r>
  <r>
    <x v="26"/>
    <x v="1"/>
    <n v="32.11"/>
    <x v="1"/>
    <x v="1"/>
    <x v="1"/>
    <x v="807"/>
    <x v="1"/>
    <s v="36-45"/>
    <x v="0"/>
    <s v="Medium"/>
  </r>
  <r>
    <x v="27"/>
    <x v="1"/>
    <n v="32.11"/>
    <x v="1"/>
    <x v="1"/>
    <x v="3"/>
    <x v="808"/>
    <x v="1"/>
    <s v="36-45"/>
    <x v="0"/>
    <s v="Medium"/>
  </r>
  <r>
    <x v="27"/>
    <x v="0"/>
    <n v="32.11"/>
    <x v="1"/>
    <x v="1"/>
    <x v="0"/>
    <x v="809"/>
    <x v="1"/>
    <s v="36-45"/>
    <x v="0"/>
    <s v="Medium"/>
  </r>
  <r>
    <x v="27"/>
    <x v="0"/>
    <n v="32.119999999999997"/>
    <x v="1"/>
    <x v="1"/>
    <x v="2"/>
    <x v="810"/>
    <x v="1"/>
    <s v="36-45"/>
    <x v="0"/>
    <s v="Medium"/>
  </r>
  <r>
    <x v="27"/>
    <x v="1"/>
    <n v="32.200000000000003"/>
    <x v="1"/>
    <x v="1"/>
    <x v="1"/>
    <x v="811"/>
    <x v="1"/>
    <s v="36-45"/>
    <x v="0"/>
    <s v="Medium"/>
  </r>
  <r>
    <x v="27"/>
    <x v="1"/>
    <n v="32.200000000000003"/>
    <x v="1"/>
    <x v="1"/>
    <x v="3"/>
    <x v="812"/>
    <x v="1"/>
    <s v="36-45"/>
    <x v="0"/>
    <s v="Medium"/>
  </r>
  <r>
    <x v="27"/>
    <x v="1"/>
    <n v="32.200000000000003"/>
    <x v="1"/>
    <x v="1"/>
    <x v="1"/>
    <x v="813"/>
    <x v="1"/>
    <s v="36-45"/>
    <x v="0"/>
    <s v="Medium"/>
  </r>
  <r>
    <x v="27"/>
    <x v="0"/>
    <n v="32.204999999999998"/>
    <x v="1"/>
    <x v="1"/>
    <x v="1"/>
    <x v="814"/>
    <x v="1"/>
    <s v="36-45"/>
    <x v="0"/>
    <s v="Medium"/>
  </r>
  <r>
    <x v="27"/>
    <x v="0"/>
    <n v="32.204999999999998"/>
    <x v="1"/>
    <x v="1"/>
    <x v="2"/>
    <x v="815"/>
    <x v="1"/>
    <s v="36-45"/>
    <x v="0"/>
    <s v="Medium"/>
  </r>
  <r>
    <x v="27"/>
    <x v="1"/>
    <n v="32.229999999999997"/>
    <x v="1"/>
    <x v="1"/>
    <x v="0"/>
    <x v="816"/>
    <x v="1"/>
    <s v="36-45"/>
    <x v="0"/>
    <s v="Medium"/>
  </r>
  <r>
    <x v="27"/>
    <x v="0"/>
    <n v="32.229999999999997"/>
    <x v="1"/>
    <x v="0"/>
    <x v="3"/>
    <x v="817"/>
    <x v="1"/>
    <s v="36-45"/>
    <x v="0"/>
    <s v="Medium"/>
  </r>
  <r>
    <x v="27"/>
    <x v="0"/>
    <n v="32.299999999999997"/>
    <x v="1"/>
    <x v="0"/>
    <x v="2"/>
    <x v="818"/>
    <x v="1"/>
    <s v="36-45"/>
    <x v="0"/>
    <s v="Medium"/>
  </r>
  <r>
    <x v="27"/>
    <x v="1"/>
    <n v="32.299999999999997"/>
    <x v="1"/>
    <x v="1"/>
    <x v="0"/>
    <x v="819"/>
    <x v="1"/>
    <s v="36-45"/>
    <x v="0"/>
    <s v="Medium"/>
  </r>
  <r>
    <x v="27"/>
    <x v="1"/>
    <n v="32.299999999999997"/>
    <x v="1"/>
    <x v="1"/>
    <x v="2"/>
    <x v="820"/>
    <x v="1"/>
    <s v="36-45"/>
    <x v="0"/>
    <s v="Medium"/>
  </r>
  <r>
    <x v="27"/>
    <x v="0"/>
    <n v="32.299999999999997"/>
    <x v="1"/>
    <x v="1"/>
    <x v="1"/>
    <x v="821"/>
    <x v="1"/>
    <s v="36-45"/>
    <x v="0"/>
    <s v="Medium"/>
  </r>
  <r>
    <x v="27"/>
    <x v="0"/>
    <n v="32.299999999999997"/>
    <x v="1"/>
    <x v="1"/>
    <x v="1"/>
    <x v="822"/>
    <x v="1"/>
    <s v="36-45"/>
    <x v="0"/>
    <s v="Medium"/>
  </r>
  <r>
    <x v="27"/>
    <x v="1"/>
    <n v="32.299999999999997"/>
    <x v="1"/>
    <x v="1"/>
    <x v="2"/>
    <x v="823"/>
    <x v="1"/>
    <s v="36-45"/>
    <x v="0"/>
    <s v="Medium"/>
  </r>
  <r>
    <x v="27"/>
    <x v="0"/>
    <n v="32.299999999999997"/>
    <x v="1"/>
    <x v="1"/>
    <x v="3"/>
    <x v="824"/>
    <x v="1"/>
    <s v="36-45"/>
    <x v="0"/>
    <s v="Medium"/>
  </r>
  <r>
    <x v="27"/>
    <x v="1"/>
    <n v="32.299999999999997"/>
    <x v="1"/>
    <x v="0"/>
    <x v="1"/>
    <x v="825"/>
    <x v="1"/>
    <s v="36-45"/>
    <x v="0"/>
    <s v="Medium"/>
  </r>
  <r>
    <x v="27"/>
    <x v="1"/>
    <n v="32.299999999999997"/>
    <x v="1"/>
    <x v="0"/>
    <x v="3"/>
    <x v="826"/>
    <x v="1"/>
    <s v="36-45"/>
    <x v="0"/>
    <s v="Medium"/>
  </r>
  <r>
    <x v="27"/>
    <x v="1"/>
    <n v="32.299999999999997"/>
    <x v="1"/>
    <x v="0"/>
    <x v="3"/>
    <x v="827"/>
    <x v="1"/>
    <s v="36-45"/>
    <x v="0"/>
    <s v="Medium"/>
  </r>
  <r>
    <x v="27"/>
    <x v="1"/>
    <n v="32.299999999999997"/>
    <x v="1"/>
    <x v="1"/>
    <x v="2"/>
    <x v="828"/>
    <x v="1"/>
    <s v="36-45"/>
    <x v="0"/>
    <s v="Medium"/>
  </r>
  <r>
    <x v="27"/>
    <x v="1"/>
    <n v="32.299999999999997"/>
    <x v="1"/>
    <x v="1"/>
    <x v="0"/>
    <x v="829"/>
    <x v="1"/>
    <s v="36-45"/>
    <x v="0"/>
    <s v="Medium"/>
  </r>
  <r>
    <x v="27"/>
    <x v="0"/>
    <n v="32.299999999999997"/>
    <x v="1"/>
    <x v="1"/>
    <x v="2"/>
    <x v="830"/>
    <x v="1"/>
    <s v="36-45"/>
    <x v="0"/>
    <s v="Medium"/>
  </r>
  <r>
    <x v="27"/>
    <x v="0"/>
    <n v="32.340000000000003"/>
    <x v="1"/>
    <x v="1"/>
    <x v="2"/>
    <x v="831"/>
    <x v="1"/>
    <s v="36-45"/>
    <x v="0"/>
    <s v="Medium"/>
  </r>
  <r>
    <x v="27"/>
    <x v="1"/>
    <n v="32.340000000000003"/>
    <x v="1"/>
    <x v="1"/>
    <x v="2"/>
    <x v="832"/>
    <x v="1"/>
    <s v="36-45"/>
    <x v="0"/>
    <s v="Medium"/>
  </r>
  <r>
    <x v="27"/>
    <x v="1"/>
    <n v="32.395000000000003"/>
    <x v="1"/>
    <x v="1"/>
    <x v="2"/>
    <x v="833"/>
    <x v="1"/>
    <s v="36-45"/>
    <x v="0"/>
    <s v="Medium"/>
  </r>
  <r>
    <x v="27"/>
    <x v="1"/>
    <n v="32.395000000000003"/>
    <x v="1"/>
    <x v="1"/>
    <x v="1"/>
    <x v="834"/>
    <x v="1"/>
    <s v="36-45"/>
    <x v="0"/>
    <s v="Medium"/>
  </r>
  <r>
    <x v="27"/>
    <x v="1"/>
    <n v="32.395000000000003"/>
    <x v="1"/>
    <x v="1"/>
    <x v="0"/>
    <x v="835"/>
    <x v="1"/>
    <s v="36-45"/>
    <x v="0"/>
    <s v="Medium"/>
  </r>
  <r>
    <x v="27"/>
    <x v="0"/>
    <n v="32.395000000000003"/>
    <x v="1"/>
    <x v="1"/>
    <x v="3"/>
    <x v="836"/>
    <x v="1"/>
    <s v="36-45"/>
    <x v="0"/>
    <s v="Medium"/>
  </r>
  <r>
    <x v="28"/>
    <x v="0"/>
    <n v="32.395000000000003"/>
    <x v="1"/>
    <x v="1"/>
    <x v="3"/>
    <x v="837"/>
    <x v="1"/>
    <s v="46-60"/>
    <x v="0"/>
    <s v="Medium"/>
  </r>
  <r>
    <x v="28"/>
    <x v="0"/>
    <n v="32.4"/>
    <x v="1"/>
    <x v="1"/>
    <x v="2"/>
    <x v="838"/>
    <x v="1"/>
    <s v="46-60"/>
    <x v="0"/>
    <s v="Medium"/>
  </r>
  <r>
    <x v="28"/>
    <x v="1"/>
    <n v="32.450000000000003"/>
    <x v="1"/>
    <x v="1"/>
    <x v="0"/>
    <x v="839"/>
    <x v="1"/>
    <s v="46-60"/>
    <x v="0"/>
    <s v="Medium"/>
  </r>
  <r>
    <x v="28"/>
    <x v="1"/>
    <n v="32.49"/>
    <x v="1"/>
    <x v="1"/>
    <x v="3"/>
    <x v="840"/>
    <x v="1"/>
    <s v="46-60"/>
    <x v="0"/>
    <s v="Medium"/>
  </r>
  <r>
    <x v="28"/>
    <x v="0"/>
    <n v="32.49"/>
    <x v="1"/>
    <x v="0"/>
    <x v="1"/>
    <x v="841"/>
    <x v="1"/>
    <s v="46-60"/>
    <x v="0"/>
    <s v="Medium"/>
  </r>
  <r>
    <x v="28"/>
    <x v="0"/>
    <n v="32.5"/>
    <x v="1"/>
    <x v="0"/>
    <x v="1"/>
    <x v="842"/>
    <x v="1"/>
    <s v="46-60"/>
    <x v="0"/>
    <s v="Medium"/>
  </r>
  <r>
    <x v="28"/>
    <x v="1"/>
    <n v="32.56"/>
    <x v="1"/>
    <x v="1"/>
    <x v="3"/>
    <x v="843"/>
    <x v="1"/>
    <s v="46-60"/>
    <x v="0"/>
    <s v="Medium"/>
  </r>
  <r>
    <x v="28"/>
    <x v="0"/>
    <n v="32.56"/>
    <x v="1"/>
    <x v="0"/>
    <x v="1"/>
    <x v="844"/>
    <x v="1"/>
    <s v="46-60"/>
    <x v="0"/>
    <s v="Medium"/>
  </r>
  <r>
    <x v="28"/>
    <x v="0"/>
    <n v="32.585000000000001"/>
    <x v="1"/>
    <x v="1"/>
    <x v="0"/>
    <x v="845"/>
    <x v="1"/>
    <s v="46-60"/>
    <x v="0"/>
    <s v="Medium"/>
  </r>
  <r>
    <x v="28"/>
    <x v="1"/>
    <n v="32.6"/>
    <x v="1"/>
    <x v="1"/>
    <x v="1"/>
    <x v="846"/>
    <x v="1"/>
    <s v="46-60"/>
    <x v="0"/>
    <s v="Medium"/>
  </r>
  <r>
    <x v="28"/>
    <x v="0"/>
    <n v="32.6"/>
    <x v="1"/>
    <x v="1"/>
    <x v="0"/>
    <x v="847"/>
    <x v="1"/>
    <s v="46-60"/>
    <x v="0"/>
    <s v="Medium"/>
  </r>
  <r>
    <x v="28"/>
    <x v="1"/>
    <n v="32.67"/>
    <x v="1"/>
    <x v="1"/>
    <x v="2"/>
    <x v="848"/>
    <x v="1"/>
    <s v="46-60"/>
    <x v="0"/>
    <s v="Medium"/>
  </r>
  <r>
    <x v="28"/>
    <x v="0"/>
    <n v="32.67"/>
    <x v="1"/>
    <x v="0"/>
    <x v="3"/>
    <x v="849"/>
    <x v="1"/>
    <s v="46-60"/>
    <x v="0"/>
    <s v="Medium"/>
  </r>
  <r>
    <x v="28"/>
    <x v="1"/>
    <n v="32.68"/>
    <x v="1"/>
    <x v="1"/>
    <x v="2"/>
    <x v="850"/>
    <x v="1"/>
    <s v="46-60"/>
    <x v="0"/>
    <s v="Medium"/>
  </r>
  <r>
    <x v="28"/>
    <x v="0"/>
    <n v="32.68"/>
    <x v="1"/>
    <x v="0"/>
    <x v="3"/>
    <x v="851"/>
    <x v="1"/>
    <s v="46-60"/>
    <x v="0"/>
    <s v="Medium"/>
  </r>
  <r>
    <x v="28"/>
    <x v="0"/>
    <n v="32.68"/>
    <x v="1"/>
    <x v="1"/>
    <x v="3"/>
    <x v="852"/>
    <x v="1"/>
    <s v="46-60"/>
    <x v="0"/>
    <s v="Medium"/>
  </r>
  <r>
    <x v="28"/>
    <x v="0"/>
    <n v="32.68"/>
    <x v="1"/>
    <x v="0"/>
    <x v="3"/>
    <x v="853"/>
    <x v="1"/>
    <s v="46-60"/>
    <x v="0"/>
    <s v="Medium"/>
  </r>
  <r>
    <x v="28"/>
    <x v="0"/>
    <n v="32.700000000000003"/>
    <x v="1"/>
    <x v="1"/>
    <x v="0"/>
    <x v="854"/>
    <x v="1"/>
    <s v="46-60"/>
    <x v="0"/>
    <s v="Medium"/>
  </r>
  <r>
    <x v="28"/>
    <x v="0"/>
    <n v="32.700000000000003"/>
    <x v="1"/>
    <x v="0"/>
    <x v="1"/>
    <x v="855"/>
    <x v="1"/>
    <s v="46-60"/>
    <x v="0"/>
    <s v="Medium"/>
  </r>
  <r>
    <x v="28"/>
    <x v="1"/>
    <n v="32.774999999999999"/>
    <x v="1"/>
    <x v="0"/>
    <x v="2"/>
    <x v="856"/>
    <x v="1"/>
    <s v="46-60"/>
    <x v="0"/>
    <s v="Medium"/>
  </r>
  <r>
    <x v="28"/>
    <x v="0"/>
    <n v="32.774999999999999"/>
    <x v="1"/>
    <x v="1"/>
    <x v="1"/>
    <x v="857"/>
    <x v="1"/>
    <s v="46-60"/>
    <x v="0"/>
    <s v="Medium"/>
  </r>
  <r>
    <x v="28"/>
    <x v="1"/>
    <n v="32.774999999999999"/>
    <x v="1"/>
    <x v="1"/>
    <x v="0"/>
    <x v="858"/>
    <x v="1"/>
    <s v="46-60"/>
    <x v="0"/>
    <s v="Medium"/>
  </r>
  <r>
    <x v="28"/>
    <x v="0"/>
    <n v="32.774999999999999"/>
    <x v="1"/>
    <x v="0"/>
    <x v="0"/>
    <x v="859"/>
    <x v="1"/>
    <s v="46-60"/>
    <x v="0"/>
    <s v="Medium"/>
  </r>
  <r>
    <x v="28"/>
    <x v="0"/>
    <n v="32.774999999999999"/>
    <x v="1"/>
    <x v="1"/>
    <x v="0"/>
    <x v="860"/>
    <x v="1"/>
    <s v="46-60"/>
    <x v="0"/>
    <s v="Medium"/>
  </r>
  <r>
    <x v="28"/>
    <x v="0"/>
    <n v="32.774999999999999"/>
    <x v="1"/>
    <x v="1"/>
    <x v="2"/>
    <x v="861"/>
    <x v="1"/>
    <s v="46-60"/>
    <x v="0"/>
    <s v="Medium"/>
  </r>
  <r>
    <x v="28"/>
    <x v="0"/>
    <n v="32.774999999999999"/>
    <x v="1"/>
    <x v="1"/>
    <x v="3"/>
    <x v="862"/>
    <x v="1"/>
    <s v="46-60"/>
    <x v="0"/>
    <s v="Medium"/>
  </r>
  <r>
    <x v="28"/>
    <x v="1"/>
    <n v="32.78"/>
    <x v="1"/>
    <x v="1"/>
    <x v="0"/>
    <x v="863"/>
    <x v="1"/>
    <s v="46-60"/>
    <x v="0"/>
    <s v="Medium"/>
  </r>
  <r>
    <x v="28"/>
    <x v="1"/>
    <n v="32.799999999999997"/>
    <x v="1"/>
    <x v="1"/>
    <x v="0"/>
    <x v="864"/>
    <x v="1"/>
    <s v="46-60"/>
    <x v="0"/>
    <s v="Medium"/>
  </r>
  <r>
    <x v="28"/>
    <x v="1"/>
    <n v="32.799999999999997"/>
    <x v="1"/>
    <x v="1"/>
    <x v="1"/>
    <x v="865"/>
    <x v="1"/>
    <s v="46-60"/>
    <x v="0"/>
    <s v="Medium"/>
  </r>
  <r>
    <x v="29"/>
    <x v="1"/>
    <n v="32.799999999999997"/>
    <x v="1"/>
    <x v="1"/>
    <x v="0"/>
    <x v="866"/>
    <x v="1"/>
    <s v="46-60"/>
    <x v="0"/>
    <s v="Medium"/>
  </r>
  <r>
    <x v="29"/>
    <x v="1"/>
    <n v="32.869999999999997"/>
    <x v="1"/>
    <x v="1"/>
    <x v="3"/>
    <x v="867"/>
    <x v="1"/>
    <s v="46-60"/>
    <x v="0"/>
    <s v="Medium"/>
  </r>
  <r>
    <x v="29"/>
    <x v="0"/>
    <n v="32.9"/>
    <x v="1"/>
    <x v="1"/>
    <x v="0"/>
    <x v="868"/>
    <x v="1"/>
    <s v="46-60"/>
    <x v="0"/>
    <s v="Medium"/>
  </r>
  <r>
    <x v="29"/>
    <x v="1"/>
    <n v="32.9"/>
    <x v="1"/>
    <x v="1"/>
    <x v="0"/>
    <x v="869"/>
    <x v="1"/>
    <s v="46-60"/>
    <x v="0"/>
    <s v="Medium"/>
  </r>
  <r>
    <x v="29"/>
    <x v="0"/>
    <n v="32.9"/>
    <x v="1"/>
    <x v="1"/>
    <x v="1"/>
    <x v="870"/>
    <x v="1"/>
    <s v="46-60"/>
    <x v="0"/>
    <s v="Medium"/>
  </r>
  <r>
    <x v="29"/>
    <x v="1"/>
    <n v="32.965000000000003"/>
    <x v="1"/>
    <x v="1"/>
    <x v="1"/>
    <x v="871"/>
    <x v="1"/>
    <s v="46-60"/>
    <x v="0"/>
    <s v="Medium"/>
  </r>
  <r>
    <x v="29"/>
    <x v="1"/>
    <n v="32.965000000000003"/>
    <x v="1"/>
    <x v="1"/>
    <x v="0"/>
    <x v="872"/>
    <x v="1"/>
    <s v="46-60"/>
    <x v="0"/>
    <s v="Medium"/>
  </r>
  <r>
    <x v="29"/>
    <x v="1"/>
    <n v="32.965000000000003"/>
    <x v="1"/>
    <x v="1"/>
    <x v="3"/>
    <x v="873"/>
    <x v="1"/>
    <s v="46-60"/>
    <x v="0"/>
    <s v="Medium"/>
  </r>
  <r>
    <x v="29"/>
    <x v="0"/>
    <n v="32.965000000000003"/>
    <x v="1"/>
    <x v="1"/>
    <x v="2"/>
    <x v="874"/>
    <x v="1"/>
    <s v="46-60"/>
    <x v="0"/>
    <s v="Medium"/>
  </r>
  <r>
    <x v="29"/>
    <x v="0"/>
    <n v="33"/>
    <x v="1"/>
    <x v="1"/>
    <x v="0"/>
    <x v="875"/>
    <x v="1"/>
    <s v="46-60"/>
    <x v="0"/>
    <s v="Medium"/>
  </r>
  <r>
    <x v="29"/>
    <x v="1"/>
    <n v="33"/>
    <x v="1"/>
    <x v="1"/>
    <x v="1"/>
    <x v="876"/>
    <x v="1"/>
    <s v="46-60"/>
    <x v="0"/>
    <s v="Medium"/>
  </r>
  <r>
    <x v="29"/>
    <x v="1"/>
    <n v="33"/>
    <x v="1"/>
    <x v="1"/>
    <x v="0"/>
    <x v="877"/>
    <x v="1"/>
    <s v="46-60"/>
    <x v="0"/>
    <s v="Medium"/>
  </r>
  <r>
    <x v="29"/>
    <x v="0"/>
    <n v="33"/>
    <x v="1"/>
    <x v="1"/>
    <x v="0"/>
    <x v="878"/>
    <x v="1"/>
    <s v="46-60"/>
    <x v="0"/>
    <s v="Medium"/>
  </r>
  <r>
    <x v="29"/>
    <x v="1"/>
    <n v="33"/>
    <x v="1"/>
    <x v="1"/>
    <x v="0"/>
    <x v="879"/>
    <x v="1"/>
    <s v="46-60"/>
    <x v="0"/>
    <s v="Medium"/>
  </r>
  <r>
    <x v="29"/>
    <x v="1"/>
    <n v="33"/>
    <x v="1"/>
    <x v="1"/>
    <x v="2"/>
    <x v="880"/>
    <x v="1"/>
    <s v="46-60"/>
    <x v="0"/>
    <s v="Medium"/>
  </r>
  <r>
    <x v="29"/>
    <x v="0"/>
    <n v="33.06"/>
    <x v="1"/>
    <x v="1"/>
    <x v="3"/>
    <x v="881"/>
    <x v="1"/>
    <s v="46-60"/>
    <x v="0"/>
    <s v="Medium"/>
  </r>
  <r>
    <x v="29"/>
    <x v="0"/>
    <n v="33.1"/>
    <x v="1"/>
    <x v="0"/>
    <x v="3"/>
    <x v="882"/>
    <x v="1"/>
    <s v="46-60"/>
    <x v="0"/>
    <s v="Medium"/>
  </r>
  <r>
    <x v="29"/>
    <x v="1"/>
    <n v="33.1"/>
    <x v="1"/>
    <x v="1"/>
    <x v="2"/>
    <x v="883"/>
    <x v="1"/>
    <s v="46-60"/>
    <x v="0"/>
    <s v="Medium"/>
  </r>
  <r>
    <x v="29"/>
    <x v="1"/>
    <n v="33.1"/>
    <x v="1"/>
    <x v="0"/>
    <x v="1"/>
    <x v="884"/>
    <x v="1"/>
    <s v="46-60"/>
    <x v="0"/>
    <s v="Medium"/>
  </r>
  <r>
    <x v="29"/>
    <x v="1"/>
    <n v="33.1"/>
    <x v="1"/>
    <x v="0"/>
    <x v="3"/>
    <x v="885"/>
    <x v="1"/>
    <s v="46-60"/>
    <x v="0"/>
    <s v="Medium"/>
  </r>
  <r>
    <x v="29"/>
    <x v="0"/>
    <n v="33.11"/>
    <x v="1"/>
    <x v="1"/>
    <x v="2"/>
    <x v="886"/>
    <x v="1"/>
    <s v="46-60"/>
    <x v="0"/>
    <s v="Medium"/>
  </r>
  <r>
    <x v="29"/>
    <x v="1"/>
    <n v="33.11"/>
    <x v="1"/>
    <x v="1"/>
    <x v="0"/>
    <x v="887"/>
    <x v="1"/>
    <s v="46-60"/>
    <x v="0"/>
    <s v="Medium"/>
  </r>
  <r>
    <x v="29"/>
    <x v="1"/>
    <n v="33.11"/>
    <x v="1"/>
    <x v="1"/>
    <x v="2"/>
    <x v="888"/>
    <x v="1"/>
    <s v="46-60"/>
    <x v="0"/>
    <s v="Medium"/>
  </r>
  <r>
    <x v="29"/>
    <x v="0"/>
    <n v="33.11"/>
    <x v="1"/>
    <x v="0"/>
    <x v="2"/>
    <x v="889"/>
    <x v="1"/>
    <s v="46-60"/>
    <x v="0"/>
    <s v="Medium"/>
  </r>
  <r>
    <x v="29"/>
    <x v="0"/>
    <n v="33.155000000000001"/>
    <x v="1"/>
    <x v="1"/>
    <x v="1"/>
    <x v="890"/>
    <x v="1"/>
    <s v="46-60"/>
    <x v="0"/>
    <s v="Medium"/>
  </r>
  <r>
    <x v="29"/>
    <x v="1"/>
    <n v="33.155000000000001"/>
    <x v="1"/>
    <x v="1"/>
    <x v="3"/>
    <x v="891"/>
    <x v="1"/>
    <s v="46-60"/>
    <x v="0"/>
    <s v="Medium"/>
  </r>
  <r>
    <x v="29"/>
    <x v="1"/>
    <n v="33.155000000000001"/>
    <x v="1"/>
    <x v="0"/>
    <x v="1"/>
    <x v="892"/>
    <x v="1"/>
    <s v="46-60"/>
    <x v="0"/>
    <s v="Medium"/>
  </r>
  <r>
    <x v="29"/>
    <x v="1"/>
    <n v="33.155000000000001"/>
    <x v="1"/>
    <x v="1"/>
    <x v="3"/>
    <x v="893"/>
    <x v="1"/>
    <s v="46-60"/>
    <x v="0"/>
    <s v="Medium"/>
  </r>
  <r>
    <x v="29"/>
    <x v="0"/>
    <n v="33.155000000000001"/>
    <x v="1"/>
    <x v="1"/>
    <x v="0"/>
    <x v="894"/>
    <x v="1"/>
    <s v="46-60"/>
    <x v="0"/>
    <s v="Medium"/>
  </r>
  <r>
    <x v="30"/>
    <x v="0"/>
    <n v="33.200000000000003"/>
    <x v="1"/>
    <x v="0"/>
    <x v="3"/>
    <x v="895"/>
    <x v="1"/>
    <s v="46-60"/>
    <x v="0"/>
    <s v="Medium"/>
  </r>
  <r>
    <x v="30"/>
    <x v="1"/>
    <n v="33.25"/>
    <x v="1"/>
    <x v="1"/>
    <x v="2"/>
    <x v="896"/>
    <x v="1"/>
    <s v="46-60"/>
    <x v="0"/>
    <s v="Medium"/>
  </r>
  <r>
    <x v="30"/>
    <x v="0"/>
    <n v="33.25"/>
    <x v="2"/>
    <x v="1"/>
    <x v="1"/>
    <x v="897"/>
    <x v="1"/>
    <s v="46-60"/>
    <x v="0"/>
    <s v="Medium"/>
  </r>
  <r>
    <x v="30"/>
    <x v="0"/>
    <n v="33.25"/>
    <x v="2"/>
    <x v="1"/>
    <x v="2"/>
    <x v="898"/>
    <x v="1"/>
    <s v="46-60"/>
    <x v="0"/>
    <s v="Medium"/>
  </r>
  <r>
    <x v="30"/>
    <x v="1"/>
    <n v="33.299999999999997"/>
    <x v="2"/>
    <x v="1"/>
    <x v="3"/>
    <x v="899"/>
    <x v="1"/>
    <s v="46-60"/>
    <x v="0"/>
    <s v="Medium"/>
  </r>
  <r>
    <x v="30"/>
    <x v="1"/>
    <n v="33.299999999999997"/>
    <x v="2"/>
    <x v="0"/>
    <x v="1"/>
    <x v="900"/>
    <x v="1"/>
    <s v="46-60"/>
    <x v="0"/>
    <s v="Medium"/>
  </r>
  <r>
    <x v="30"/>
    <x v="1"/>
    <n v="33.33"/>
    <x v="2"/>
    <x v="1"/>
    <x v="3"/>
    <x v="901"/>
    <x v="1"/>
    <s v="46-60"/>
    <x v="0"/>
    <s v="Medium"/>
  </r>
  <r>
    <x v="30"/>
    <x v="1"/>
    <n v="33.33"/>
    <x v="2"/>
    <x v="1"/>
    <x v="1"/>
    <x v="902"/>
    <x v="1"/>
    <s v="46-60"/>
    <x v="0"/>
    <s v="Medium"/>
  </r>
  <r>
    <x v="30"/>
    <x v="0"/>
    <n v="33.33"/>
    <x v="2"/>
    <x v="1"/>
    <x v="0"/>
    <x v="903"/>
    <x v="1"/>
    <s v="46-60"/>
    <x v="0"/>
    <s v="Medium"/>
  </r>
  <r>
    <x v="30"/>
    <x v="0"/>
    <n v="33.33"/>
    <x v="2"/>
    <x v="1"/>
    <x v="3"/>
    <x v="904"/>
    <x v="1"/>
    <s v="46-60"/>
    <x v="0"/>
    <s v="Medium"/>
  </r>
  <r>
    <x v="30"/>
    <x v="1"/>
    <n v="33.33"/>
    <x v="2"/>
    <x v="1"/>
    <x v="3"/>
    <x v="905"/>
    <x v="1"/>
    <s v="46-60"/>
    <x v="0"/>
    <s v="Medium"/>
  </r>
  <r>
    <x v="30"/>
    <x v="0"/>
    <n v="33.33"/>
    <x v="2"/>
    <x v="1"/>
    <x v="1"/>
    <x v="906"/>
    <x v="1"/>
    <s v="46-60"/>
    <x v="0"/>
    <s v="Medium"/>
  </r>
  <r>
    <x v="30"/>
    <x v="1"/>
    <n v="33.33"/>
    <x v="2"/>
    <x v="1"/>
    <x v="0"/>
    <x v="907"/>
    <x v="1"/>
    <s v="46-60"/>
    <x v="0"/>
    <s v="Medium"/>
  </r>
  <r>
    <x v="30"/>
    <x v="0"/>
    <n v="33.344999999999999"/>
    <x v="2"/>
    <x v="0"/>
    <x v="0"/>
    <x v="908"/>
    <x v="1"/>
    <s v="46-60"/>
    <x v="0"/>
    <s v="Medium"/>
  </r>
  <r>
    <x v="30"/>
    <x v="1"/>
    <n v="33.344999999999999"/>
    <x v="2"/>
    <x v="1"/>
    <x v="2"/>
    <x v="909"/>
    <x v="1"/>
    <s v="46-60"/>
    <x v="0"/>
    <s v="Medium"/>
  </r>
  <r>
    <x v="30"/>
    <x v="1"/>
    <n v="33.344999999999999"/>
    <x v="2"/>
    <x v="0"/>
    <x v="3"/>
    <x v="910"/>
    <x v="1"/>
    <s v="46-60"/>
    <x v="0"/>
    <s v="Medium"/>
  </r>
  <r>
    <x v="30"/>
    <x v="0"/>
    <n v="33.344999999999999"/>
    <x v="2"/>
    <x v="1"/>
    <x v="2"/>
    <x v="911"/>
    <x v="1"/>
    <s v="46-60"/>
    <x v="0"/>
    <s v="Medium"/>
  </r>
  <r>
    <x v="30"/>
    <x v="0"/>
    <n v="33.344999999999999"/>
    <x v="2"/>
    <x v="1"/>
    <x v="0"/>
    <x v="912"/>
    <x v="1"/>
    <s v="46-60"/>
    <x v="0"/>
    <s v="Medium"/>
  </r>
  <r>
    <x v="30"/>
    <x v="1"/>
    <n v="33.4"/>
    <x v="2"/>
    <x v="1"/>
    <x v="2"/>
    <x v="913"/>
    <x v="1"/>
    <s v="46-60"/>
    <x v="0"/>
    <s v="Medium"/>
  </r>
  <r>
    <x v="30"/>
    <x v="0"/>
    <n v="33.4"/>
    <x v="2"/>
    <x v="1"/>
    <x v="1"/>
    <x v="914"/>
    <x v="1"/>
    <s v="46-60"/>
    <x v="0"/>
    <s v="Medium"/>
  </r>
  <r>
    <x v="30"/>
    <x v="0"/>
    <n v="33.4"/>
    <x v="2"/>
    <x v="0"/>
    <x v="2"/>
    <x v="915"/>
    <x v="1"/>
    <s v="46-60"/>
    <x v="0"/>
    <s v="Medium"/>
  </r>
  <r>
    <x v="30"/>
    <x v="1"/>
    <n v="33.44"/>
    <x v="2"/>
    <x v="0"/>
    <x v="3"/>
    <x v="916"/>
    <x v="1"/>
    <s v="46-60"/>
    <x v="0"/>
    <s v="Medium"/>
  </r>
  <r>
    <x v="30"/>
    <x v="0"/>
    <n v="33.44"/>
    <x v="2"/>
    <x v="1"/>
    <x v="0"/>
    <x v="917"/>
    <x v="1"/>
    <s v="46-60"/>
    <x v="0"/>
    <s v="Medium"/>
  </r>
  <r>
    <x v="30"/>
    <x v="0"/>
    <n v="33.44"/>
    <x v="2"/>
    <x v="1"/>
    <x v="1"/>
    <x v="918"/>
    <x v="1"/>
    <s v="46-60"/>
    <x v="0"/>
    <s v="Medium"/>
  </r>
  <r>
    <x v="30"/>
    <x v="0"/>
    <n v="33.44"/>
    <x v="2"/>
    <x v="1"/>
    <x v="0"/>
    <x v="919"/>
    <x v="1"/>
    <s v="46-60"/>
    <x v="0"/>
    <s v="Medium"/>
  </r>
  <r>
    <x v="30"/>
    <x v="0"/>
    <n v="33.5"/>
    <x v="2"/>
    <x v="1"/>
    <x v="0"/>
    <x v="920"/>
    <x v="1"/>
    <s v="46-60"/>
    <x v="0"/>
    <s v="Medium"/>
  </r>
  <r>
    <x v="30"/>
    <x v="1"/>
    <n v="33.534999999999997"/>
    <x v="2"/>
    <x v="1"/>
    <x v="0"/>
    <x v="921"/>
    <x v="1"/>
    <s v="46-60"/>
    <x v="0"/>
    <s v="Medium"/>
  </r>
  <r>
    <x v="30"/>
    <x v="1"/>
    <n v="33.534999999999997"/>
    <x v="2"/>
    <x v="1"/>
    <x v="2"/>
    <x v="922"/>
    <x v="1"/>
    <s v="46-60"/>
    <x v="0"/>
    <s v="Medium"/>
  </r>
  <r>
    <x v="30"/>
    <x v="1"/>
    <n v="33.534999999999997"/>
    <x v="2"/>
    <x v="1"/>
    <x v="0"/>
    <x v="923"/>
    <x v="1"/>
    <s v="46-60"/>
    <x v="0"/>
    <s v="Medium"/>
  </r>
  <r>
    <x v="31"/>
    <x v="1"/>
    <n v="33.549999999999997"/>
    <x v="2"/>
    <x v="1"/>
    <x v="3"/>
    <x v="924"/>
    <x v="1"/>
    <s v="46-60"/>
    <x v="0"/>
    <s v="Medium"/>
  </r>
  <r>
    <x v="31"/>
    <x v="0"/>
    <n v="33.630000000000003"/>
    <x v="2"/>
    <x v="1"/>
    <x v="0"/>
    <x v="925"/>
    <x v="1"/>
    <s v="46-60"/>
    <x v="0"/>
    <s v="Medium"/>
  </r>
  <r>
    <x v="31"/>
    <x v="0"/>
    <n v="33.630000000000003"/>
    <x v="2"/>
    <x v="1"/>
    <x v="0"/>
    <x v="926"/>
    <x v="1"/>
    <s v="46-60"/>
    <x v="0"/>
    <s v="Medium"/>
  </r>
  <r>
    <x v="31"/>
    <x v="0"/>
    <n v="33.630000000000003"/>
    <x v="2"/>
    <x v="1"/>
    <x v="1"/>
    <x v="927"/>
    <x v="1"/>
    <s v="46-60"/>
    <x v="0"/>
    <s v="Medium"/>
  </r>
  <r>
    <x v="31"/>
    <x v="1"/>
    <n v="33.630000000000003"/>
    <x v="2"/>
    <x v="1"/>
    <x v="1"/>
    <x v="928"/>
    <x v="1"/>
    <s v="46-60"/>
    <x v="0"/>
    <s v="Medium"/>
  </r>
  <r>
    <x v="31"/>
    <x v="1"/>
    <n v="33.630000000000003"/>
    <x v="2"/>
    <x v="1"/>
    <x v="1"/>
    <x v="929"/>
    <x v="1"/>
    <s v="46-60"/>
    <x v="0"/>
    <s v="Medium"/>
  </r>
  <r>
    <x v="31"/>
    <x v="0"/>
    <n v="33.630000000000003"/>
    <x v="2"/>
    <x v="1"/>
    <x v="0"/>
    <x v="930"/>
    <x v="1"/>
    <s v="46-60"/>
    <x v="0"/>
    <s v="Medium"/>
  </r>
  <r>
    <x v="31"/>
    <x v="1"/>
    <n v="33.659999999999997"/>
    <x v="2"/>
    <x v="1"/>
    <x v="0"/>
    <x v="931"/>
    <x v="1"/>
    <s v="46-60"/>
    <x v="0"/>
    <s v="Medium"/>
  </r>
  <r>
    <x v="31"/>
    <x v="0"/>
    <n v="33.659999999999997"/>
    <x v="2"/>
    <x v="1"/>
    <x v="0"/>
    <x v="932"/>
    <x v="1"/>
    <s v="46-60"/>
    <x v="0"/>
    <s v="Medium"/>
  </r>
  <r>
    <x v="31"/>
    <x v="1"/>
    <n v="33.659999999999997"/>
    <x v="2"/>
    <x v="1"/>
    <x v="1"/>
    <x v="933"/>
    <x v="1"/>
    <s v="46-60"/>
    <x v="0"/>
    <s v="Medium"/>
  </r>
  <r>
    <x v="31"/>
    <x v="0"/>
    <n v="33.659999999999997"/>
    <x v="2"/>
    <x v="1"/>
    <x v="0"/>
    <x v="934"/>
    <x v="1"/>
    <s v="46-60"/>
    <x v="0"/>
    <s v="Medium"/>
  </r>
  <r>
    <x v="31"/>
    <x v="1"/>
    <n v="33.659999999999997"/>
    <x v="2"/>
    <x v="1"/>
    <x v="3"/>
    <x v="935"/>
    <x v="1"/>
    <s v="46-60"/>
    <x v="0"/>
    <s v="Medium"/>
  </r>
  <r>
    <x v="31"/>
    <x v="0"/>
    <n v="33.700000000000003"/>
    <x v="2"/>
    <x v="1"/>
    <x v="2"/>
    <x v="936"/>
    <x v="1"/>
    <s v="46-60"/>
    <x v="0"/>
    <s v="Medium"/>
  </r>
  <r>
    <x v="31"/>
    <x v="1"/>
    <n v="33.700000000000003"/>
    <x v="2"/>
    <x v="1"/>
    <x v="1"/>
    <x v="937"/>
    <x v="1"/>
    <s v="46-60"/>
    <x v="0"/>
    <s v="Medium"/>
  </r>
  <r>
    <x v="31"/>
    <x v="1"/>
    <n v="33.700000000000003"/>
    <x v="2"/>
    <x v="1"/>
    <x v="1"/>
    <x v="938"/>
    <x v="1"/>
    <s v="46-60"/>
    <x v="0"/>
    <s v="Medium"/>
  </r>
  <r>
    <x v="31"/>
    <x v="1"/>
    <n v="33.725000000000001"/>
    <x v="2"/>
    <x v="1"/>
    <x v="1"/>
    <x v="939"/>
    <x v="1"/>
    <s v="46-60"/>
    <x v="0"/>
    <s v="Medium"/>
  </r>
  <r>
    <x v="31"/>
    <x v="0"/>
    <n v="33.725000000000001"/>
    <x v="2"/>
    <x v="1"/>
    <x v="1"/>
    <x v="940"/>
    <x v="1"/>
    <s v="46-60"/>
    <x v="0"/>
    <s v="Medium"/>
  </r>
  <r>
    <x v="31"/>
    <x v="0"/>
    <n v="33.770000000000003"/>
    <x v="2"/>
    <x v="1"/>
    <x v="3"/>
    <x v="941"/>
    <x v="1"/>
    <s v="46-60"/>
    <x v="0"/>
    <s v="Medium"/>
  </r>
  <r>
    <x v="31"/>
    <x v="1"/>
    <n v="33.770000000000003"/>
    <x v="2"/>
    <x v="1"/>
    <x v="2"/>
    <x v="942"/>
    <x v="1"/>
    <s v="46-60"/>
    <x v="0"/>
    <s v="Medium"/>
  </r>
  <r>
    <x v="31"/>
    <x v="1"/>
    <n v="33.799999999999997"/>
    <x v="2"/>
    <x v="1"/>
    <x v="1"/>
    <x v="943"/>
    <x v="1"/>
    <s v="46-60"/>
    <x v="0"/>
    <s v="Medium"/>
  </r>
  <r>
    <x v="31"/>
    <x v="0"/>
    <n v="33.82"/>
    <x v="2"/>
    <x v="1"/>
    <x v="0"/>
    <x v="944"/>
    <x v="1"/>
    <s v="46-60"/>
    <x v="0"/>
    <s v="Medium"/>
  </r>
  <r>
    <x v="31"/>
    <x v="1"/>
    <n v="33.82"/>
    <x v="2"/>
    <x v="1"/>
    <x v="0"/>
    <x v="945"/>
    <x v="1"/>
    <s v="46-60"/>
    <x v="0"/>
    <s v="Medium"/>
  </r>
  <r>
    <x v="31"/>
    <x v="1"/>
    <n v="33.82"/>
    <x v="2"/>
    <x v="0"/>
    <x v="3"/>
    <x v="946"/>
    <x v="1"/>
    <s v="46-60"/>
    <x v="0"/>
    <s v="Medium"/>
  </r>
  <r>
    <x v="31"/>
    <x v="1"/>
    <n v="33.82"/>
    <x v="2"/>
    <x v="1"/>
    <x v="2"/>
    <x v="947"/>
    <x v="1"/>
    <s v="46-60"/>
    <x v="0"/>
    <s v="Medium"/>
  </r>
  <r>
    <x v="31"/>
    <x v="1"/>
    <n v="33.880000000000003"/>
    <x v="2"/>
    <x v="0"/>
    <x v="0"/>
    <x v="948"/>
    <x v="1"/>
    <s v="46-60"/>
    <x v="0"/>
    <s v="Medium"/>
  </r>
  <r>
    <x v="31"/>
    <x v="1"/>
    <n v="33.880000000000003"/>
    <x v="2"/>
    <x v="1"/>
    <x v="3"/>
    <x v="949"/>
    <x v="1"/>
    <s v="46-60"/>
    <x v="0"/>
    <s v="Medium"/>
  </r>
  <r>
    <x v="31"/>
    <x v="1"/>
    <n v="33.880000000000003"/>
    <x v="2"/>
    <x v="0"/>
    <x v="1"/>
    <x v="950"/>
    <x v="1"/>
    <s v="46-60"/>
    <x v="0"/>
    <s v="Medium"/>
  </r>
  <r>
    <x v="31"/>
    <x v="0"/>
    <n v="33.914999999999999"/>
    <x v="2"/>
    <x v="1"/>
    <x v="2"/>
    <x v="951"/>
    <x v="1"/>
    <s v="46-60"/>
    <x v="0"/>
    <s v="Medium"/>
  </r>
  <r>
    <x v="32"/>
    <x v="1"/>
    <n v="33.914999999999999"/>
    <x v="2"/>
    <x v="0"/>
    <x v="0"/>
    <x v="952"/>
    <x v="1"/>
    <s v="46-60"/>
    <x v="0"/>
    <s v="Medium"/>
  </r>
  <r>
    <x v="32"/>
    <x v="1"/>
    <n v="33.914999999999999"/>
    <x v="2"/>
    <x v="0"/>
    <x v="2"/>
    <x v="953"/>
    <x v="1"/>
    <s v="46-60"/>
    <x v="0"/>
    <s v="Medium"/>
  </r>
  <r>
    <x v="32"/>
    <x v="1"/>
    <n v="33.914999999999999"/>
    <x v="2"/>
    <x v="1"/>
    <x v="1"/>
    <x v="954"/>
    <x v="1"/>
    <s v="46-60"/>
    <x v="0"/>
    <s v="Medium"/>
  </r>
  <r>
    <x v="32"/>
    <x v="1"/>
    <n v="33.99"/>
    <x v="2"/>
    <x v="0"/>
    <x v="1"/>
    <x v="955"/>
    <x v="1"/>
    <s v="46-60"/>
    <x v="0"/>
    <s v="Medium"/>
  </r>
  <r>
    <x v="32"/>
    <x v="1"/>
    <n v="33.99"/>
    <x v="2"/>
    <x v="1"/>
    <x v="2"/>
    <x v="956"/>
    <x v="1"/>
    <s v="46-60"/>
    <x v="0"/>
    <s v="Medium"/>
  </r>
  <r>
    <x v="32"/>
    <x v="1"/>
    <n v="34.01"/>
    <x v="2"/>
    <x v="0"/>
    <x v="3"/>
    <x v="957"/>
    <x v="1"/>
    <s v="46-60"/>
    <x v="0"/>
    <s v="Medium"/>
  </r>
  <r>
    <x v="32"/>
    <x v="1"/>
    <n v="34.1"/>
    <x v="2"/>
    <x v="1"/>
    <x v="2"/>
    <x v="958"/>
    <x v="1"/>
    <s v="46-60"/>
    <x v="0"/>
    <s v="Medium"/>
  </r>
  <r>
    <x v="32"/>
    <x v="0"/>
    <n v="34.1"/>
    <x v="2"/>
    <x v="1"/>
    <x v="2"/>
    <x v="959"/>
    <x v="1"/>
    <s v="46-60"/>
    <x v="0"/>
    <s v="Medium"/>
  </r>
  <r>
    <x v="32"/>
    <x v="0"/>
    <n v="34.1"/>
    <x v="2"/>
    <x v="1"/>
    <x v="0"/>
    <x v="960"/>
    <x v="1"/>
    <s v="46-60"/>
    <x v="0"/>
    <s v="Medium"/>
  </r>
  <r>
    <x v="32"/>
    <x v="0"/>
    <n v="34.1"/>
    <x v="2"/>
    <x v="1"/>
    <x v="1"/>
    <x v="961"/>
    <x v="1"/>
    <s v="46-60"/>
    <x v="0"/>
    <s v="Medium"/>
  </r>
  <r>
    <x v="32"/>
    <x v="1"/>
    <n v="34.1"/>
    <x v="2"/>
    <x v="1"/>
    <x v="3"/>
    <x v="962"/>
    <x v="1"/>
    <s v="46-60"/>
    <x v="0"/>
    <s v="Medium"/>
  </r>
  <r>
    <x v="32"/>
    <x v="1"/>
    <n v="34.1"/>
    <x v="2"/>
    <x v="1"/>
    <x v="2"/>
    <x v="963"/>
    <x v="1"/>
    <s v="46-60"/>
    <x v="0"/>
    <s v="Medium"/>
  </r>
  <r>
    <x v="32"/>
    <x v="1"/>
    <n v="34.1"/>
    <x v="2"/>
    <x v="1"/>
    <x v="0"/>
    <x v="964"/>
    <x v="1"/>
    <s v="46-60"/>
    <x v="0"/>
    <s v="Medium"/>
  </r>
  <r>
    <x v="32"/>
    <x v="1"/>
    <n v="34.1"/>
    <x v="2"/>
    <x v="0"/>
    <x v="2"/>
    <x v="965"/>
    <x v="1"/>
    <s v="46-60"/>
    <x v="0"/>
    <s v="Medium"/>
  </r>
  <r>
    <x v="32"/>
    <x v="1"/>
    <n v="34.104999999999997"/>
    <x v="2"/>
    <x v="1"/>
    <x v="2"/>
    <x v="966"/>
    <x v="1"/>
    <s v="46-60"/>
    <x v="0"/>
    <s v="Medium"/>
  </r>
  <r>
    <x v="32"/>
    <x v="1"/>
    <n v="34.104999999999997"/>
    <x v="2"/>
    <x v="1"/>
    <x v="3"/>
    <x v="967"/>
    <x v="1"/>
    <s v="46-60"/>
    <x v="0"/>
    <s v="Medium"/>
  </r>
  <r>
    <x v="32"/>
    <x v="0"/>
    <n v="34.104999999999997"/>
    <x v="2"/>
    <x v="1"/>
    <x v="1"/>
    <x v="968"/>
    <x v="1"/>
    <s v="46-60"/>
    <x v="0"/>
    <s v="Medium"/>
  </r>
  <r>
    <x v="32"/>
    <x v="0"/>
    <n v="34.104999999999997"/>
    <x v="2"/>
    <x v="1"/>
    <x v="1"/>
    <x v="969"/>
    <x v="1"/>
    <s v="46-60"/>
    <x v="0"/>
    <s v="Medium"/>
  </r>
  <r>
    <x v="32"/>
    <x v="0"/>
    <n v="34.200000000000003"/>
    <x v="2"/>
    <x v="1"/>
    <x v="3"/>
    <x v="970"/>
    <x v="1"/>
    <s v="46-60"/>
    <x v="0"/>
    <s v="Medium"/>
  </r>
  <r>
    <x v="32"/>
    <x v="0"/>
    <n v="34.200000000000003"/>
    <x v="2"/>
    <x v="1"/>
    <x v="2"/>
    <x v="971"/>
    <x v="1"/>
    <s v="46-60"/>
    <x v="0"/>
    <s v="Medium"/>
  </r>
  <r>
    <x v="32"/>
    <x v="0"/>
    <n v="34.200000000000003"/>
    <x v="2"/>
    <x v="1"/>
    <x v="0"/>
    <x v="972"/>
    <x v="1"/>
    <s v="46-60"/>
    <x v="0"/>
    <s v="Medium"/>
  </r>
  <r>
    <x v="32"/>
    <x v="1"/>
    <n v="34.200000000000003"/>
    <x v="2"/>
    <x v="1"/>
    <x v="1"/>
    <x v="973"/>
    <x v="1"/>
    <s v="46-60"/>
    <x v="0"/>
    <s v="Medium"/>
  </r>
  <r>
    <x v="32"/>
    <x v="1"/>
    <n v="34.200000000000003"/>
    <x v="2"/>
    <x v="0"/>
    <x v="3"/>
    <x v="974"/>
    <x v="1"/>
    <s v="46-60"/>
    <x v="0"/>
    <s v="Medium"/>
  </r>
  <r>
    <x v="32"/>
    <x v="1"/>
    <n v="34.21"/>
    <x v="2"/>
    <x v="1"/>
    <x v="1"/>
    <x v="975"/>
    <x v="1"/>
    <s v="46-60"/>
    <x v="0"/>
    <s v="Medium"/>
  </r>
  <r>
    <x v="32"/>
    <x v="1"/>
    <n v="34.21"/>
    <x v="2"/>
    <x v="1"/>
    <x v="1"/>
    <x v="976"/>
    <x v="1"/>
    <s v="46-60"/>
    <x v="0"/>
    <s v="Medium"/>
  </r>
  <r>
    <x v="32"/>
    <x v="0"/>
    <n v="34.21"/>
    <x v="2"/>
    <x v="1"/>
    <x v="3"/>
    <x v="977"/>
    <x v="1"/>
    <s v="46-60"/>
    <x v="0"/>
    <s v="Medium"/>
  </r>
  <r>
    <x v="32"/>
    <x v="0"/>
    <n v="34.21"/>
    <x v="2"/>
    <x v="1"/>
    <x v="1"/>
    <x v="978"/>
    <x v="1"/>
    <s v="46-60"/>
    <x v="0"/>
    <s v="Medium"/>
  </r>
  <r>
    <x v="32"/>
    <x v="1"/>
    <n v="34.295000000000002"/>
    <x v="2"/>
    <x v="1"/>
    <x v="3"/>
    <x v="979"/>
    <x v="1"/>
    <s v="46-60"/>
    <x v="0"/>
    <s v="Medium"/>
  </r>
  <r>
    <x v="32"/>
    <x v="1"/>
    <n v="34.299999999999997"/>
    <x v="2"/>
    <x v="1"/>
    <x v="3"/>
    <x v="980"/>
    <x v="1"/>
    <s v="46-60"/>
    <x v="0"/>
    <s v="Medium"/>
  </r>
  <r>
    <x v="33"/>
    <x v="1"/>
    <n v="34.32"/>
    <x v="2"/>
    <x v="0"/>
    <x v="0"/>
    <x v="981"/>
    <x v="2"/>
    <s v="46-60"/>
    <x v="0"/>
    <s v="Medium"/>
  </r>
  <r>
    <x v="33"/>
    <x v="0"/>
    <n v="34.32"/>
    <x v="2"/>
    <x v="1"/>
    <x v="3"/>
    <x v="982"/>
    <x v="2"/>
    <s v="46-60"/>
    <x v="0"/>
    <s v="Medium"/>
  </r>
  <r>
    <x v="33"/>
    <x v="1"/>
    <n v="34.32"/>
    <x v="2"/>
    <x v="1"/>
    <x v="3"/>
    <x v="983"/>
    <x v="2"/>
    <s v="46-60"/>
    <x v="0"/>
    <s v="Medium"/>
  </r>
  <r>
    <x v="33"/>
    <x v="0"/>
    <n v="34.39"/>
    <x v="2"/>
    <x v="1"/>
    <x v="0"/>
    <x v="984"/>
    <x v="2"/>
    <s v="46-60"/>
    <x v="0"/>
    <s v="Medium"/>
  </r>
  <r>
    <x v="33"/>
    <x v="1"/>
    <n v="34.39"/>
    <x v="2"/>
    <x v="1"/>
    <x v="2"/>
    <x v="985"/>
    <x v="2"/>
    <s v="46-60"/>
    <x v="0"/>
    <s v="Medium"/>
  </r>
  <r>
    <x v="33"/>
    <x v="0"/>
    <n v="34.4"/>
    <x v="2"/>
    <x v="1"/>
    <x v="2"/>
    <x v="986"/>
    <x v="2"/>
    <s v="46-60"/>
    <x v="0"/>
    <s v="Medium"/>
  </r>
  <r>
    <x v="33"/>
    <x v="1"/>
    <n v="34.4"/>
    <x v="2"/>
    <x v="1"/>
    <x v="3"/>
    <x v="987"/>
    <x v="2"/>
    <s v="46-60"/>
    <x v="0"/>
    <s v="Medium"/>
  </r>
  <r>
    <x v="33"/>
    <x v="0"/>
    <n v="34.4"/>
    <x v="2"/>
    <x v="0"/>
    <x v="3"/>
    <x v="988"/>
    <x v="2"/>
    <s v="46-60"/>
    <x v="0"/>
    <s v="Medium"/>
  </r>
  <r>
    <x v="33"/>
    <x v="0"/>
    <n v="34.4"/>
    <x v="2"/>
    <x v="1"/>
    <x v="0"/>
    <x v="989"/>
    <x v="2"/>
    <s v="46-60"/>
    <x v="0"/>
    <s v="Medium"/>
  </r>
  <r>
    <x v="33"/>
    <x v="0"/>
    <n v="34.43"/>
    <x v="2"/>
    <x v="1"/>
    <x v="3"/>
    <x v="990"/>
    <x v="2"/>
    <s v="46-60"/>
    <x v="0"/>
    <s v="Medium"/>
  </r>
  <r>
    <x v="33"/>
    <x v="0"/>
    <n v="34.43"/>
    <x v="2"/>
    <x v="1"/>
    <x v="0"/>
    <x v="991"/>
    <x v="2"/>
    <s v="46-60"/>
    <x v="0"/>
    <s v="Medium"/>
  </r>
  <r>
    <x v="33"/>
    <x v="1"/>
    <n v="34.43"/>
    <x v="2"/>
    <x v="1"/>
    <x v="1"/>
    <x v="992"/>
    <x v="2"/>
    <s v="46-60"/>
    <x v="0"/>
    <s v="Medium"/>
  </r>
  <r>
    <x v="33"/>
    <x v="0"/>
    <n v="34.43"/>
    <x v="2"/>
    <x v="0"/>
    <x v="2"/>
    <x v="993"/>
    <x v="2"/>
    <s v="46-60"/>
    <x v="0"/>
    <s v="Medium"/>
  </r>
  <r>
    <x v="33"/>
    <x v="0"/>
    <n v="34.484999999999999"/>
    <x v="2"/>
    <x v="1"/>
    <x v="3"/>
    <x v="994"/>
    <x v="2"/>
    <s v="46-60"/>
    <x v="0"/>
    <s v="Medium"/>
  </r>
  <r>
    <x v="33"/>
    <x v="0"/>
    <n v="34.484999999999999"/>
    <x v="2"/>
    <x v="1"/>
    <x v="0"/>
    <x v="995"/>
    <x v="2"/>
    <s v="46-60"/>
    <x v="0"/>
    <s v="Medium"/>
  </r>
  <r>
    <x v="33"/>
    <x v="0"/>
    <n v="34.5"/>
    <x v="2"/>
    <x v="1"/>
    <x v="1"/>
    <x v="996"/>
    <x v="2"/>
    <s v="46-60"/>
    <x v="0"/>
    <s v="Medium"/>
  </r>
  <r>
    <x v="33"/>
    <x v="0"/>
    <n v="34.58"/>
    <x v="2"/>
    <x v="1"/>
    <x v="3"/>
    <x v="997"/>
    <x v="2"/>
    <s v="46-60"/>
    <x v="0"/>
    <s v="Medium"/>
  </r>
  <r>
    <x v="33"/>
    <x v="0"/>
    <n v="34.58"/>
    <x v="2"/>
    <x v="1"/>
    <x v="2"/>
    <x v="998"/>
    <x v="2"/>
    <s v="46-60"/>
    <x v="0"/>
    <s v="Medium"/>
  </r>
  <r>
    <x v="33"/>
    <x v="1"/>
    <n v="34.6"/>
    <x v="2"/>
    <x v="0"/>
    <x v="2"/>
    <x v="999"/>
    <x v="2"/>
    <s v="46-60"/>
    <x v="0"/>
    <s v="Medium"/>
  </r>
  <r>
    <x v="33"/>
    <x v="1"/>
    <n v="34.6"/>
    <x v="2"/>
    <x v="0"/>
    <x v="0"/>
    <x v="1000"/>
    <x v="2"/>
    <s v="46-60"/>
    <x v="0"/>
    <s v="Medium"/>
  </r>
  <r>
    <x v="33"/>
    <x v="1"/>
    <n v="34.674999999999997"/>
    <x v="2"/>
    <x v="1"/>
    <x v="0"/>
    <x v="1001"/>
    <x v="2"/>
    <s v="46-60"/>
    <x v="0"/>
    <s v="Medium"/>
  </r>
  <r>
    <x v="33"/>
    <x v="1"/>
    <n v="34.700000000000003"/>
    <x v="2"/>
    <x v="1"/>
    <x v="0"/>
    <x v="1002"/>
    <x v="2"/>
    <s v="46-60"/>
    <x v="0"/>
    <s v="Medium"/>
  </r>
  <r>
    <x v="33"/>
    <x v="1"/>
    <n v="34.700000000000003"/>
    <x v="2"/>
    <x v="1"/>
    <x v="3"/>
    <x v="1003"/>
    <x v="2"/>
    <s v="46-60"/>
    <x v="0"/>
    <s v="Medium"/>
  </r>
  <r>
    <x v="33"/>
    <x v="1"/>
    <n v="34.770000000000003"/>
    <x v="2"/>
    <x v="1"/>
    <x v="2"/>
    <x v="1004"/>
    <x v="2"/>
    <s v="46-60"/>
    <x v="0"/>
    <s v="Medium"/>
  </r>
  <r>
    <x v="33"/>
    <x v="1"/>
    <n v="34.770000000000003"/>
    <x v="2"/>
    <x v="1"/>
    <x v="3"/>
    <x v="1005"/>
    <x v="2"/>
    <s v="46-60"/>
    <x v="0"/>
    <s v="Medium"/>
  </r>
  <r>
    <x v="33"/>
    <x v="1"/>
    <n v="34.770000000000003"/>
    <x v="2"/>
    <x v="0"/>
    <x v="2"/>
    <x v="1006"/>
    <x v="2"/>
    <s v="46-60"/>
    <x v="0"/>
    <s v="Medium"/>
  </r>
  <r>
    <x v="33"/>
    <x v="1"/>
    <n v="34.799999999999997"/>
    <x v="2"/>
    <x v="1"/>
    <x v="3"/>
    <x v="1007"/>
    <x v="2"/>
    <s v="46-60"/>
    <x v="0"/>
    <s v="Medium"/>
  </r>
  <r>
    <x v="33"/>
    <x v="1"/>
    <n v="34.799999999999997"/>
    <x v="2"/>
    <x v="1"/>
    <x v="3"/>
    <x v="1008"/>
    <x v="2"/>
    <s v="46-60"/>
    <x v="0"/>
    <s v="Medium"/>
  </r>
  <r>
    <x v="33"/>
    <x v="0"/>
    <n v="34.799999999999997"/>
    <x v="2"/>
    <x v="1"/>
    <x v="0"/>
    <x v="1009"/>
    <x v="2"/>
    <s v="46-60"/>
    <x v="0"/>
    <s v="Medium"/>
  </r>
  <r>
    <x v="34"/>
    <x v="1"/>
    <n v="34.799999999999997"/>
    <x v="2"/>
    <x v="0"/>
    <x v="1"/>
    <x v="1010"/>
    <x v="2"/>
    <s v="46-60"/>
    <x v="0"/>
    <s v="Medium"/>
  </r>
  <r>
    <x v="34"/>
    <x v="0"/>
    <n v="34.799999999999997"/>
    <x v="2"/>
    <x v="1"/>
    <x v="1"/>
    <x v="1011"/>
    <x v="2"/>
    <s v="46-60"/>
    <x v="0"/>
    <s v="Medium"/>
  </r>
  <r>
    <x v="34"/>
    <x v="1"/>
    <n v="34.799999999999997"/>
    <x v="2"/>
    <x v="1"/>
    <x v="2"/>
    <x v="1012"/>
    <x v="2"/>
    <s v="46-60"/>
    <x v="0"/>
    <s v="Medium"/>
  </r>
  <r>
    <x v="34"/>
    <x v="0"/>
    <n v="34.799999999999997"/>
    <x v="2"/>
    <x v="1"/>
    <x v="0"/>
    <x v="1013"/>
    <x v="2"/>
    <s v="46-60"/>
    <x v="0"/>
    <s v="Medium"/>
  </r>
  <r>
    <x v="34"/>
    <x v="1"/>
    <n v="34.865000000000002"/>
    <x v="2"/>
    <x v="1"/>
    <x v="2"/>
    <x v="1014"/>
    <x v="2"/>
    <s v="46-60"/>
    <x v="0"/>
    <s v="Medium"/>
  </r>
  <r>
    <x v="34"/>
    <x v="0"/>
    <n v="34.865000000000002"/>
    <x v="2"/>
    <x v="1"/>
    <x v="2"/>
    <x v="1015"/>
    <x v="2"/>
    <s v="46-60"/>
    <x v="0"/>
    <s v="Medium"/>
  </r>
  <r>
    <x v="34"/>
    <x v="0"/>
    <n v="34.869999999999997"/>
    <x v="2"/>
    <x v="1"/>
    <x v="0"/>
    <x v="1016"/>
    <x v="2"/>
    <s v="46-60"/>
    <x v="0"/>
    <s v="Medium"/>
  </r>
  <r>
    <x v="34"/>
    <x v="0"/>
    <n v="34.9"/>
    <x v="2"/>
    <x v="1"/>
    <x v="2"/>
    <x v="1017"/>
    <x v="2"/>
    <s v="46-60"/>
    <x v="0"/>
    <s v="Medium"/>
  </r>
  <r>
    <x v="34"/>
    <x v="0"/>
    <n v="34.96"/>
    <x v="2"/>
    <x v="1"/>
    <x v="2"/>
    <x v="1018"/>
    <x v="2"/>
    <s v="46-60"/>
    <x v="0"/>
    <s v="Medium"/>
  </r>
  <r>
    <x v="34"/>
    <x v="1"/>
    <n v="34.96"/>
    <x v="2"/>
    <x v="1"/>
    <x v="0"/>
    <x v="1019"/>
    <x v="2"/>
    <s v="46-60"/>
    <x v="0"/>
    <s v="Medium"/>
  </r>
  <r>
    <x v="34"/>
    <x v="0"/>
    <n v="34.96"/>
    <x v="2"/>
    <x v="0"/>
    <x v="1"/>
    <x v="1020"/>
    <x v="2"/>
    <s v="46-60"/>
    <x v="0"/>
    <s v="Medium"/>
  </r>
  <r>
    <x v="34"/>
    <x v="1"/>
    <n v="35.090000000000003"/>
    <x v="2"/>
    <x v="0"/>
    <x v="1"/>
    <x v="1021"/>
    <x v="2"/>
    <s v="46-60"/>
    <x v="0"/>
    <s v="Medium"/>
  </r>
  <r>
    <x v="34"/>
    <x v="1"/>
    <n v="35.1"/>
    <x v="2"/>
    <x v="1"/>
    <x v="1"/>
    <x v="1022"/>
    <x v="2"/>
    <s v="46-60"/>
    <x v="0"/>
    <s v="Medium"/>
  </r>
  <r>
    <x v="34"/>
    <x v="0"/>
    <n v="35.15"/>
    <x v="2"/>
    <x v="1"/>
    <x v="1"/>
    <x v="1023"/>
    <x v="2"/>
    <s v="46-60"/>
    <x v="0"/>
    <s v="Medium"/>
  </r>
  <r>
    <x v="34"/>
    <x v="0"/>
    <n v="35.200000000000003"/>
    <x v="2"/>
    <x v="1"/>
    <x v="0"/>
    <x v="1024"/>
    <x v="2"/>
    <s v="46-60"/>
    <x v="0"/>
    <s v="Medium"/>
  </r>
  <r>
    <x v="34"/>
    <x v="1"/>
    <n v="35.200000000000003"/>
    <x v="2"/>
    <x v="0"/>
    <x v="2"/>
    <x v="1025"/>
    <x v="2"/>
    <s v="46-60"/>
    <x v="0"/>
    <s v="Medium"/>
  </r>
  <r>
    <x v="34"/>
    <x v="1"/>
    <n v="35.200000000000003"/>
    <x v="2"/>
    <x v="1"/>
    <x v="2"/>
    <x v="1026"/>
    <x v="2"/>
    <s v="46-60"/>
    <x v="0"/>
    <s v="Medium"/>
  </r>
  <r>
    <x v="34"/>
    <x v="1"/>
    <n v="35.200000000000003"/>
    <x v="2"/>
    <x v="1"/>
    <x v="0"/>
    <x v="1027"/>
    <x v="2"/>
    <s v="46-60"/>
    <x v="0"/>
    <s v="Medium"/>
  </r>
  <r>
    <x v="34"/>
    <x v="0"/>
    <n v="35.200000000000003"/>
    <x v="2"/>
    <x v="1"/>
    <x v="3"/>
    <x v="1028"/>
    <x v="2"/>
    <s v="46-60"/>
    <x v="0"/>
    <s v="Medium"/>
  </r>
  <r>
    <x v="34"/>
    <x v="0"/>
    <n v="35.200000000000003"/>
    <x v="2"/>
    <x v="0"/>
    <x v="2"/>
    <x v="1029"/>
    <x v="2"/>
    <s v="46-60"/>
    <x v="0"/>
    <s v="Medium"/>
  </r>
  <r>
    <x v="34"/>
    <x v="0"/>
    <n v="35.200000000000003"/>
    <x v="2"/>
    <x v="0"/>
    <x v="1"/>
    <x v="1030"/>
    <x v="2"/>
    <s v="46-60"/>
    <x v="0"/>
    <s v="Medium"/>
  </r>
  <r>
    <x v="34"/>
    <x v="0"/>
    <n v="35.244999999999997"/>
    <x v="2"/>
    <x v="1"/>
    <x v="3"/>
    <x v="1031"/>
    <x v="2"/>
    <s v="46-60"/>
    <x v="0"/>
    <s v="Medium"/>
  </r>
  <r>
    <x v="34"/>
    <x v="1"/>
    <n v="35.244999999999997"/>
    <x v="2"/>
    <x v="0"/>
    <x v="3"/>
    <x v="1032"/>
    <x v="2"/>
    <s v="46-60"/>
    <x v="0"/>
    <s v="Medium"/>
  </r>
  <r>
    <x v="34"/>
    <x v="1"/>
    <n v="35.299999999999997"/>
    <x v="2"/>
    <x v="1"/>
    <x v="2"/>
    <x v="1033"/>
    <x v="2"/>
    <s v="46-60"/>
    <x v="0"/>
    <s v="Medium"/>
  </r>
  <r>
    <x v="34"/>
    <x v="0"/>
    <n v="35.299999999999997"/>
    <x v="2"/>
    <x v="1"/>
    <x v="0"/>
    <x v="1034"/>
    <x v="2"/>
    <s v="46-60"/>
    <x v="0"/>
    <s v="Medium"/>
  </r>
  <r>
    <x v="34"/>
    <x v="1"/>
    <n v="35.299999999999997"/>
    <x v="2"/>
    <x v="0"/>
    <x v="1"/>
    <x v="1035"/>
    <x v="2"/>
    <s v="46-60"/>
    <x v="0"/>
    <s v="Medium"/>
  </r>
  <r>
    <x v="34"/>
    <x v="0"/>
    <n v="35.299999999999997"/>
    <x v="2"/>
    <x v="0"/>
    <x v="2"/>
    <x v="1036"/>
    <x v="2"/>
    <s v="46-60"/>
    <x v="0"/>
    <s v="Medium"/>
  </r>
  <r>
    <x v="34"/>
    <x v="1"/>
    <n v="35.31"/>
    <x v="2"/>
    <x v="1"/>
    <x v="3"/>
    <x v="1037"/>
    <x v="2"/>
    <s v="46-60"/>
    <x v="0"/>
    <s v="Medium"/>
  </r>
  <r>
    <x v="34"/>
    <x v="1"/>
    <n v="35.31"/>
    <x v="2"/>
    <x v="1"/>
    <x v="2"/>
    <x v="1038"/>
    <x v="2"/>
    <s v="46-60"/>
    <x v="0"/>
    <s v="Medium"/>
  </r>
  <r>
    <x v="35"/>
    <x v="0"/>
    <n v="35.4"/>
    <x v="2"/>
    <x v="0"/>
    <x v="2"/>
    <x v="1039"/>
    <x v="2"/>
    <s v="46-60"/>
    <x v="0"/>
    <s v="Medium"/>
  </r>
  <r>
    <x v="35"/>
    <x v="1"/>
    <n v="35.42"/>
    <x v="2"/>
    <x v="1"/>
    <x v="3"/>
    <x v="1040"/>
    <x v="2"/>
    <s v="46-60"/>
    <x v="0"/>
    <s v="Medium"/>
  </r>
  <r>
    <x v="35"/>
    <x v="1"/>
    <n v="35.435000000000002"/>
    <x v="2"/>
    <x v="0"/>
    <x v="3"/>
    <x v="1041"/>
    <x v="2"/>
    <s v="46-60"/>
    <x v="0"/>
    <s v="Medium"/>
  </r>
  <r>
    <x v="35"/>
    <x v="0"/>
    <n v="35.5"/>
    <x v="2"/>
    <x v="1"/>
    <x v="0"/>
    <x v="1042"/>
    <x v="2"/>
    <s v="46-60"/>
    <x v="0"/>
    <s v="Medium"/>
  </r>
  <r>
    <x v="35"/>
    <x v="1"/>
    <n v="35.53"/>
    <x v="2"/>
    <x v="1"/>
    <x v="3"/>
    <x v="1043"/>
    <x v="2"/>
    <s v="46-60"/>
    <x v="0"/>
    <s v="Medium"/>
  </r>
  <r>
    <x v="35"/>
    <x v="0"/>
    <n v="35.53"/>
    <x v="2"/>
    <x v="0"/>
    <x v="2"/>
    <x v="1044"/>
    <x v="2"/>
    <s v="46-60"/>
    <x v="0"/>
    <s v="Medium"/>
  </r>
  <r>
    <x v="35"/>
    <x v="0"/>
    <n v="35.53"/>
    <x v="2"/>
    <x v="1"/>
    <x v="3"/>
    <x v="1045"/>
    <x v="2"/>
    <s v="46-60"/>
    <x v="0"/>
    <s v="Medium"/>
  </r>
  <r>
    <x v="35"/>
    <x v="1"/>
    <n v="35.53"/>
    <x v="2"/>
    <x v="0"/>
    <x v="1"/>
    <x v="1046"/>
    <x v="2"/>
    <s v="46-60"/>
    <x v="0"/>
    <s v="Medium"/>
  </r>
  <r>
    <x v="35"/>
    <x v="0"/>
    <n v="35.53"/>
    <x v="2"/>
    <x v="1"/>
    <x v="2"/>
    <x v="1047"/>
    <x v="2"/>
    <s v="46-60"/>
    <x v="0"/>
    <s v="Medium"/>
  </r>
  <r>
    <x v="35"/>
    <x v="1"/>
    <n v="35.53"/>
    <x v="2"/>
    <x v="0"/>
    <x v="0"/>
    <x v="1048"/>
    <x v="2"/>
    <s v="46-60"/>
    <x v="0"/>
    <s v="Medium"/>
  </r>
  <r>
    <x v="35"/>
    <x v="0"/>
    <n v="35.6"/>
    <x v="2"/>
    <x v="1"/>
    <x v="2"/>
    <x v="1049"/>
    <x v="2"/>
    <s v="46-60"/>
    <x v="0"/>
    <s v="Medium"/>
  </r>
  <r>
    <x v="35"/>
    <x v="1"/>
    <n v="35.625"/>
    <x v="2"/>
    <x v="1"/>
    <x v="3"/>
    <x v="1050"/>
    <x v="2"/>
    <s v="46-60"/>
    <x v="0"/>
    <s v="Medium"/>
  </r>
  <r>
    <x v="35"/>
    <x v="1"/>
    <n v="35.625"/>
    <x v="2"/>
    <x v="1"/>
    <x v="3"/>
    <x v="1051"/>
    <x v="2"/>
    <s v="46-60"/>
    <x v="0"/>
    <s v="Medium"/>
  </r>
  <r>
    <x v="35"/>
    <x v="1"/>
    <n v="35.625"/>
    <x v="2"/>
    <x v="0"/>
    <x v="0"/>
    <x v="1052"/>
    <x v="2"/>
    <s v="46-60"/>
    <x v="0"/>
    <s v="Medium"/>
  </r>
  <r>
    <x v="35"/>
    <x v="0"/>
    <n v="35.625"/>
    <x v="2"/>
    <x v="1"/>
    <x v="2"/>
    <x v="1053"/>
    <x v="2"/>
    <s v="46-60"/>
    <x v="0"/>
    <s v="Medium"/>
  </r>
  <r>
    <x v="35"/>
    <x v="1"/>
    <n v="35.64"/>
    <x v="2"/>
    <x v="1"/>
    <x v="2"/>
    <x v="1054"/>
    <x v="2"/>
    <s v="46-60"/>
    <x v="0"/>
    <s v="Medium"/>
  </r>
  <r>
    <x v="35"/>
    <x v="0"/>
    <n v="35.700000000000003"/>
    <x v="2"/>
    <x v="1"/>
    <x v="0"/>
    <x v="1055"/>
    <x v="2"/>
    <s v="46-60"/>
    <x v="0"/>
    <s v="Medium"/>
  </r>
  <r>
    <x v="35"/>
    <x v="0"/>
    <n v="35.72"/>
    <x v="2"/>
    <x v="1"/>
    <x v="1"/>
    <x v="1056"/>
    <x v="2"/>
    <s v="46-60"/>
    <x v="0"/>
    <s v="Medium"/>
  </r>
  <r>
    <x v="35"/>
    <x v="0"/>
    <n v="35.72"/>
    <x v="2"/>
    <x v="1"/>
    <x v="1"/>
    <x v="1057"/>
    <x v="2"/>
    <s v="46-60"/>
    <x v="0"/>
    <s v="Medium"/>
  </r>
  <r>
    <x v="35"/>
    <x v="1"/>
    <n v="35.75"/>
    <x v="2"/>
    <x v="1"/>
    <x v="2"/>
    <x v="1058"/>
    <x v="2"/>
    <s v="46-60"/>
    <x v="0"/>
    <s v="Medium"/>
  </r>
  <r>
    <x v="35"/>
    <x v="1"/>
    <n v="35.75"/>
    <x v="2"/>
    <x v="1"/>
    <x v="1"/>
    <x v="1059"/>
    <x v="2"/>
    <s v="46-60"/>
    <x v="0"/>
    <s v="Medium"/>
  </r>
  <r>
    <x v="35"/>
    <x v="1"/>
    <n v="35.75"/>
    <x v="2"/>
    <x v="1"/>
    <x v="1"/>
    <x v="1060"/>
    <x v="2"/>
    <s v="46-60"/>
    <x v="0"/>
    <s v="Medium"/>
  </r>
  <r>
    <x v="35"/>
    <x v="1"/>
    <n v="35.799999999999997"/>
    <x v="2"/>
    <x v="0"/>
    <x v="1"/>
    <x v="1061"/>
    <x v="2"/>
    <s v="46-60"/>
    <x v="0"/>
    <s v="Medium"/>
  </r>
  <r>
    <x v="35"/>
    <x v="1"/>
    <n v="35.799999999999997"/>
    <x v="2"/>
    <x v="1"/>
    <x v="2"/>
    <x v="1062"/>
    <x v="2"/>
    <s v="46-60"/>
    <x v="0"/>
    <s v="Medium"/>
  </r>
  <r>
    <x v="35"/>
    <x v="0"/>
    <n v="35.814999999999998"/>
    <x v="2"/>
    <x v="1"/>
    <x v="0"/>
    <x v="1063"/>
    <x v="2"/>
    <s v="46-60"/>
    <x v="0"/>
    <s v="Medium"/>
  </r>
  <r>
    <x v="35"/>
    <x v="0"/>
    <n v="35.814999999999998"/>
    <x v="2"/>
    <x v="1"/>
    <x v="0"/>
    <x v="1064"/>
    <x v="2"/>
    <s v="46-60"/>
    <x v="0"/>
    <s v="Medium"/>
  </r>
  <r>
    <x v="35"/>
    <x v="1"/>
    <n v="35.814999999999998"/>
    <x v="2"/>
    <x v="1"/>
    <x v="1"/>
    <x v="1065"/>
    <x v="2"/>
    <s v="46-60"/>
    <x v="0"/>
    <s v="Medium"/>
  </r>
  <r>
    <x v="35"/>
    <x v="1"/>
    <n v="35.814999999999998"/>
    <x v="2"/>
    <x v="1"/>
    <x v="3"/>
    <x v="1066"/>
    <x v="2"/>
    <s v="46-60"/>
    <x v="0"/>
    <s v="Medium"/>
  </r>
  <r>
    <x v="36"/>
    <x v="1"/>
    <n v="35.86"/>
    <x v="2"/>
    <x v="1"/>
    <x v="2"/>
    <x v="1067"/>
    <x v="2"/>
    <s v="46-60"/>
    <x v="0"/>
    <s v="Medium"/>
  </r>
  <r>
    <x v="36"/>
    <x v="0"/>
    <n v="35.86"/>
    <x v="2"/>
    <x v="1"/>
    <x v="1"/>
    <x v="1068"/>
    <x v="2"/>
    <s v="46-60"/>
    <x v="0"/>
    <s v="Medium"/>
  </r>
  <r>
    <x v="36"/>
    <x v="1"/>
    <n v="35.86"/>
    <x v="2"/>
    <x v="0"/>
    <x v="1"/>
    <x v="1069"/>
    <x v="2"/>
    <s v="46-60"/>
    <x v="0"/>
    <s v="Medium"/>
  </r>
  <r>
    <x v="36"/>
    <x v="1"/>
    <n v="35.86"/>
    <x v="2"/>
    <x v="1"/>
    <x v="3"/>
    <x v="1070"/>
    <x v="2"/>
    <s v="46-60"/>
    <x v="0"/>
    <s v="Medium"/>
  </r>
  <r>
    <x v="36"/>
    <x v="1"/>
    <n v="35.9"/>
    <x v="2"/>
    <x v="1"/>
    <x v="2"/>
    <x v="1071"/>
    <x v="2"/>
    <s v="46-60"/>
    <x v="0"/>
    <s v="Medium"/>
  </r>
  <r>
    <x v="36"/>
    <x v="0"/>
    <n v="35.909999999999997"/>
    <x v="2"/>
    <x v="1"/>
    <x v="3"/>
    <x v="1072"/>
    <x v="2"/>
    <s v="46-60"/>
    <x v="0"/>
    <s v="Medium"/>
  </r>
  <r>
    <x v="36"/>
    <x v="0"/>
    <n v="35.909999999999997"/>
    <x v="2"/>
    <x v="1"/>
    <x v="3"/>
    <x v="1073"/>
    <x v="2"/>
    <s v="46-60"/>
    <x v="0"/>
    <s v="Medium"/>
  </r>
  <r>
    <x v="36"/>
    <x v="0"/>
    <n v="35.97"/>
    <x v="2"/>
    <x v="1"/>
    <x v="1"/>
    <x v="1074"/>
    <x v="2"/>
    <s v="46-60"/>
    <x v="0"/>
    <s v="Medium"/>
  </r>
  <r>
    <x v="36"/>
    <x v="0"/>
    <n v="35.97"/>
    <x v="2"/>
    <x v="1"/>
    <x v="0"/>
    <x v="1075"/>
    <x v="2"/>
    <s v="46-60"/>
    <x v="0"/>
    <s v="Medium"/>
  </r>
  <r>
    <x v="36"/>
    <x v="1"/>
    <n v="35.97"/>
    <x v="2"/>
    <x v="1"/>
    <x v="3"/>
    <x v="1076"/>
    <x v="2"/>
    <s v="46-60"/>
    <x v="0"/>
    <s v="Medium"/>
  </r>
  <r>
    <x v="36"/>
    <x v="1"/>
    <n v="35.97"/>
    <x v="2"/>
    <x v="0"/>
    <x v="1"/>
    <x v="1077"/>
    <x v="2"/>
    <s v="46-60"/>
    <x v="0"/>
    <s v="Medium"/>
  </r>
  <r>
    <x v="36"/>
    <x v="1"/>
    <n v="36"/>
    <x v="2"/>
    <x v="1"/>
    <x v="1"/>
    <x v="1078"/>
    <x v="2"/>
    <s v="46-60"/>
    <x v="0"/>
    <s v="Medium"/>
  </r>
  <r>
    <x v="36"/>
    <x v="1"/>
    <n v="36"/>
    <x v="2"/>
    <x v="1"/>
    <x v="1"/>
    <x v="1079"/>
    <x v="2"/>
    <s v="46-60"/>
    <x v="0"/>
    <s v="Medium"/>
  </r>
  <r>
    <x v="36"/>
    <x v="1"/>
    <n v="36.005000000000003"/>
    <x v="2"/>
    <x v="1"/>
    <x v="2"/>
    <x v="1080"/>
    <x v="2"/>
    <s v="46-60"/>
    <x v="0"/>
    <s v="Medium"/>
  </r>
  <r>
    <x v="36"/>
    <x v="1"/>
    <n v="36.08"/>
    <x v="2"/>
    <x v="1"/>
    <x v="2"/>
    <x v="1081"/>
    <x v="2"/>
    <s v="46-60"/>
    <x v="0"/>
    <s v="Medium"/>
  </r>
  <r>
    <x v="36"/>
    <x v="1"/>
    <n v="36.08"/>
    <x v="2"/>
    <x v="1"/>
    <x v="0"/>
    <x v="1082"/>
    <x v="2"/>
    <s v="46-60"/>
    <x v="0"/>
    <s v="Medium"/>
  </r>
  <r>
    <x v="36"/>
    <x v="0"/>
    <n v="36.08"/>
    <x v="2"/>
    <x v="1"/>
    <x v="2"/>
    <x v="1083"/>
    <x v="2"/>
    <s v="46-60"/>
    <x v="0"/>
    <s v="Medium"/>
  </r>
  <r>
    <x v="36"/>
    <x v="0"/>
    <n v="36.08"/>
    <x v="2"/>
    <x v="0"/>
    <x v="0"/>
    <x v="1084"/>
    <x v="2"/>
    <s v="46-60"/>
    <x v="0"/>
    <s v="Medium"/>
  </r>
  <r>
    <x v="36"/>
    <x v="1"/>
    <n v="36.1"/>
    <x v="2"/>
    <x v="1"/>
    <x v="3"/>
    <x v="1085"/>
    <x v="2"/>
    <s v="46-60"/>
    <x v="0"/>
    <s v="Medium"/>
  </r>
  <r>
    <x v="36"/>
    <x v="1"/>
    <n v="36.1"/>
    <x v="2"/>
    <x v="1"/>
    <x v="2"/>
    <x v="1086"/>
    <x v="2"/>
    <s v="46-60"/>
    <x v="0"/>
    <s v="Medium"/>
  </r>
  <r>
    <x v="36"/>
    <x v="1"/>
    <n v="36.1"/>
    <x v="2"/>
    <x v="1"/>
    <x v="1"/>
    <x v="1087"/>
    <x v="2"/>
    <s v="46-60"/>
    <x v="0"/>
    <s v="Medium"/>
  </r>
  <r>
    <x v="36"/>
    <x v="1"/>
    <n v="36.19"/>
    <x v="2"/>
    <x v="1"/>
    <x v="0"/>
    <x v="1088"/>
    <x v="2"/>
    <s v="46-60"/>
    <x v="0"/>
    <s v="Medium"/>
  </r>
  <r>
    <x v="36"/>
    <x v="1"/>
    <n v="36.19"/>
    <x v="2"/>
    <x v="0"/>
    <x v="1"/>
    <x v="1089"/>
    <x v="2"/>
    <s v="46-60"/>
    <x v="0"/>
    <s v="Medium"/>
  </r>
  <r>
    <x v="36"/>
    <x v="0"/>
    <n v="36.19"/>
    <x v="2"/>
    <x v="1"/>
    <x v="3"/>
    <x v="1090"/>
    <x v="2"/>
    <s v="46-60"/>
    <x v="0"/>
    <s v="Medium"/>
  </r>
  <r>
    <x v="36"/>
    <x v="1"/>
    <n v="36.195"/>
    <x v="2"/>
    <x v="1"/>
    <x v="0"/>
    <x v="1091"/>
    <x v="2"/>
    <s v="46-60"/>
    <x v="0"/>
    <s v="Medium"/>
  </r>
  <r>
    <x v="36"/>
    <x v="0"/>
    <n v="36.200000000000003"/>
    <x v="2"/>
    <x v="0"/>
    <x v="2"/>
    <x v="1092"/>
    <x v="2"/>
    <s v="46-60"/>
    <x v="0"/>
    <s v="Medium"/>
  </r>
  <r>
    <x v="36"/>
    <x v="0"/>
    <n v="36.200000000000003"/>
    <x v="2"/>
    <x v="1"/>
    <x v="0"/>
    <x v="1093"/>
    <x v="2"/>
    <s v="46-60"/>
    <x v="0"/>
    <s v="Medium"/>
  </r>
  <r>
    <x v="36"/>
    <x v="0"/>
    <n v="36.29"/>
    <x v="2"/>
    <x v="1"/>
    <x v="3"/>
    <x v="1094"/>
    <x v="2"/>
    <s v="46-60"/>
    <x v="0"/>
    <s v="Medium"/>
  </r>
  <r>
    <x v="37"/>
    <x v="0"/>
    <n v="36.299999999999997"/>
    <x v="2"/>
    <x v="0"/>
    <x v="3"/>
    <x v="1095"/>
    <x v="2"/>
    <s v="46-60"/>
    <x v="0"/>
    <s v="Medium"/>
  </r>
  <r>
    <x v="37"/>
    <x v="1"/>
    <n v="36.299999999999997"/>
    <x v="2"/>
    <x v="1"/>
    <x v="1"/>
    <x v="1096"/>
    <x v="2"/>
    <s v="46-60"/>
    <x v="0"/>
    <s v="Medium"/>
  </r>
  <r>
    <x v="37"/>
    <x v="0"/>
    <n v="36.299999999999997"/>
    <x v="2"/>
    <x v="1"/>
    <x v="3"/>
    <x v="1097"/>
    <x v="2"/>
    <s v="46-60"/>
    <x v="0"/>
    <s v="Medium"/>
  </r>
  <r>
    <x v="37"/>
    <x v="0"/>
    <n v="36.299999999999997"/>
    <x v="2"/>
    <x v="1"/>
    <x v="1"/>
    <x v="1098"/>
    <x v="2"/>
    <s v="46-60"/>
    <x v="0"/>
    <s v="Medium"/>
  </r>
  <r>
    <x v="37"/>
    <x v="0"/>
    <n v="36.384999999999998"/>
    <x v="2"/>
    <x v="0"/>
    <x v="3"/>
    <x v="1099"/>
    <x v="2"/>
    <s v="46-60"/>
    <x v="0"/>
    <s v="Medium"/>
  </r>
  <r>
    <x v="37"/>
    <x v="1"/>
    <n v="36.384999999999998"/>
    <x v="2"/>
    <x v="1"/>
    <x v="0"/>
    <x v="1100"/>
    <x v="2"/>
    <s v="46-60"/>
    <x v="0"/>
    <s v="Medium"/>
  </r>
  <r>
    <x v="37"/>
    <x v="1"/>
    <n v="36.4"/>
    <x v="2"/>
    <x v="1"/>
    <x v="1"/>
    <x v="1101"/>
    <x v="2"/>
    <s v="46-60"/>
    <x v="0"/>
    <s v="Medium"/>
  </r>
  <r>
    <x v="37"/>
    <x v="1"/>
    <n v="36.479999999999997"/>
    <x v="2"/>
    <x v="1"/>
    <x v="1"/>
    <x v="1102"/>
    <x v="2"/>
    <s v="46-60"/>
    <x v="0"/>
    <s v="Medium"/>
  </r>
  <r>
    <x v="37"/>
    <x v="1"/>
    <n v="36.479999999999997"/>
    <x v="2"/>
    <x v="1"/>
    <x v="0"/>
    <x v="1103"/>
    <x v="2"/>
    <s v="46-60"/>
    <x v="0"/>
    <s v="Medium"/>
  </r>
  <r>
    <x v="37"/>
    <x v="0"/>
    <n v="36.479999999999997"/>
    <x v="2"/>
    <x v="1"/>
    <x v="1"/>
    <x v="1104"/>
    <x v="2"/>
    <s v="46-60"/>
    <x v="0"/>
    <s v="Medium"/>
  </r>
  <r>
    <x v="37"/>
    <x v="0"/>
    <n v="36.520000000000003"/>
    <x v="2"/>
    <x v="1"/>
    <x v="2"/>
    <x v="1105"/>
    <x v="2"/>
    <s v="46-60"/>
    <x v="0"/>
    <s v="Medium"/>
  </r>
  <r>
    <x v="37"/>
    <x v="0"/>
    <n v="36.575000000000003"/>
    <x v="2"/>
    <x v="1"/>
    <x v="2"/>
    <x v="1106"/>
    <x v="2"/>
    <s v="46-60"/>
    <x v="0"/>
    <s v="Medium"/>
  </r>
  <r>
    <x v="37"/>
    <x v="1"/>
    <n v="36.575000000000003"/>
    <x v="2"/>
    <x v="1"/>
    <x v="0"/>
    <x v="1107"/>
    <x v="2"/>
    <s v="46-60"/>
    <x v="0"/>
    <s v="Medium"/>
  </r>
  <r>
    <x v="37"/>
    <x v="1"/>
    <n v="36.6"/>
    <x v="2"/>
    <x v="1"/>
    <x v="1"/>
    <x v="1108"/>
    <x v="2"/>
    <s v="46-60"/>
    <x v="0"/>
    <s v="Medium"/>
  </r>
  <r>
    <x v="37"/>
    <x v="0"/>
    <n v="36.630000000000003"/>
    <x v="2"/>
    <x v="1"/>
    <x v="3"/>
    <x v="1109"/>
    <x v="2"/>
    <s v="46-60"/>
    <x v="0"/>
    <s v="Medium"/>
  </r>
  <r>
    <x v="37"/>
    <x v="1"/>
    <n v="36.630000000000003"/>
    <x v="2"/>
    <x v="0"/>
    <x v="1"/>
    <x v="1110"/>
    <x v="2"/>
    <s v="46-60"/>
    <x v="0"/>
    <s v="Medium"/>
  </r>
  <r>
    <x v="37"/>
    <x v="0"/>
    <n v="36.630000000000003"/>
    <x v="2"/>
    <x v="0"/>
    <x v="1"/>
    <x v="1111"/>
    <x v="2"/>
    <s v="46-60"/>
    <x v="0"/>
    <s v="Medium"/>
  </r>
  <r>
    <x v="37"/>
    <x v="0"/>
    <n v="36.67"/>
    <x v="2"/>
    <x v="1"/>
    <x v="2"/>
    <x v="1112"/>
    <x v="2"/>
    <s v="46-60"/>
    <x v="0"/>
    <s v="Medium"/>
  </r>
  <r>
    <x v="37"/>
    <x v="1"/>
    <n v="36.67"/>
    <x v="2"/>
    <x v="1"/>
    <x v="3"/>
    <x v="1113"/>
    <x v="2"/>
    <s v="46-60"/>
    <x v="0"/>
    <s v="Medium"/>
  </r>
  <r>
    <x v="37"/>
    <x v="1"/>
    <n v="36.67"/>
    <x v="2"/>
    <x v="1"/>
    <x v="1"/>
    <x v="1114"/>
    <x v="2"/>
    <s v="46-60"/>
    <x v="0"/>
    <s v="Medium"/>
  </r>
  <r>
    <x v="37"/>
    <x v="1"/>
    <n v="36.67"/>
    <x v="2"/>
    <x v="1"/>
    <x v="3"/>
    <x v="1115"/>
    <x v="2"/>
    <s v="46-60"/>
    <x v="0"/>
    <s v="Medium"/>
  </r>
  <r>
    <x v="37"/>
    <x v="1"/>
    <n v="36.700000000000003"/>
    <x v="2"/>
    <x v="0"/>
    <x v="1"/>
    <x v="1116"/>
    <x v="2"/>
    <s v="46-60"/>
    <x v="0"/>
    <s v="Medium"/>
  </r>
  <r>
    <x v="37"/>
    <x v="1"/>
    <n v="36.765000000000001"/>
    <x v="2"/>
    <x v="0"/>
    <x v="1"/>
    <x v="1117"/>
    <x v="2"/>
    <s v="46-60"/>
    <x v="0"/>
    <s v="Medium"/>
  </r>
  <r>
    <x v="37"/>
    <x v="0"/>
    <n v="36.765000000000001"/>
    <x v="2"/>
    <x v="1"/>
    <x v="2"/>
    <x v="1118"/>
    <x v="2"/>
    <s v="46-60"/>
    <x v="0"/>
    <s v="Medium"/>
  </r>
  <r>
    <x v="37"/>
    <x v="0"/>
    <n v="36.765000000000001"/>
    <x v="2"/>
    <x v="0"/>
    <x v="0"/>
    <x v="1119"/>
    <x v="2"/>
    <s v="46-60"/>
    <x v="0"/>
    <s v="Medium"/>
  </r>
  <r>
    <x v="37"/>
    <x v="1"/>
    <n v="36.85"/>
    <x v="2"/>
    <x v="1"/>
    <x v="1"/>
    <x v="1120"/>
    <x v="2"/>
    <s v="46-60"/>
    <x v="0"/>
    <s v="Medium"/>
  </r>
  <r>
    <x v="38"/>
    <x v="0"/>
    <n v="36.85"/>
    <x v="2"/>
    <x v="0"/>
    <x v="2"/>
    <x v="1121"/>
    <x v="2"/>
    <s v="46-60"/>
    <x v="0"/>
    <s v="Medium"/>
  </r>
  <r>
    <x v="38"/>
    <x v="0"/>
    <n v="36.85"/>
    <x v="2"/>
    <x v="1"/>
    <x v="3"/>
    <x v="1122"/>
    <x v="2"/>
    <s v="46-60"/>
    <x v="0"/>
    <s v="Medium"/>
  </r>
  <r>
    <x v="38"/>
    <x v="0"/>
    <n v="36.85"/>
    <x v="2"/>
    <x v="0"/>
    <x v="3"/>
    <x v="1123"/>
    <x v="2"/>
    <s v="46-60"/>
    <x v="0"/>
    <s v="Medium"/>
  </r>
  <r>
    <x v="38"/>
    <x v="0"/>
    <n v="36.85"/>
    <x v="2"/>
    <x v="1"/>
    <x v="2"/>
    <x v="1124"/>
    <x v="2"/>
    <s v="46-60"/>
    <x v="0"/>
    <s v="Medium"/>
  </r>
  <r>
    <x v="38"/>
    <x v="1"/>
    <n v="36.86"/>
    <x v="2"/>
    <x v="1"/>
    <x v="0"/>
    <x v="1125"/>
    <x v="2"/>
    <s v="46-60"/>
    <x v="0"/>
    <s v="Medium"/>
  </r>
  <r>
    <x v="38"/>
    <x v="0"/>
    <n v="36.86"/>
    <x v="2"/>
    <x v="1"/>
    <x v="1"/>
    <x v="1126"/>
    <x v="2"/>
    <s v="46-60"/>
    <x v="0"/>
    <s v="Medium"/>
  </r>
  <r>
    <x v="38"/>
    <x v="1"/>
    <n v="36.86"/>
    <x v="2"/>
    <x v="1"/>
    <x v="0"/>
    <x v="1127"/>
    <x v="2"/>
    <s v="46-60"/>
    <x v="0"/>
    <s v="Medium"/>
  </r>
  <r>
    <x v="38"/>
    <x v="0"/>
    <n v="36.954999999999998"/>
    <x v="2"/>
    <x v="1"/>
    <x v="0"/>
    <x v="1128"/>
    <x v="2"/>
    <s v="46-60"/>
    <x v="0"/>
    <s v="Medium"/>
  </r>
  <r>
    <x v="38"/>
    <x v="0"/>
    <n v="36.954999999999998"/>
    <x v="2"/>
    <x v="1"/>
    <x v="1"/>
    <x v="1129"/>
    <x v="2"/>
    <s v="46-60"/>
    <x v="0"/>
    <s v="Medium"/>
  </r>
  <r>
    <x v="38"/>
    <x v="1"/>
    <n v="36.954999999999998"/>
    <x v="2"/>
    <x v="1"/>
    <x v="0"/>
    <x v="1130"/>
    <x v="2"/>
    <s v="46-60"/>
    <x v="0"/>
    <s v="Medium"/>
  </r>
  <r>
    <x v="38"/>
    <x v="1"/>
    <n v="36.954999999999998"/>
    <x v="2"/>
    <x v="1"/>
    <x v="3"/>
    <x v="1131"/>
    <x v="2"/>
    <s v="46-60"/>
    <x v="0"/>
    <s v="Medium"/>
  </r>
  <r>
    <x v="38"/>
    <x v="0"/>
    <n v="36.96"/>
    <x v="2"/>
    <x v="1"/>
    <x v="2"/>
    <x v="1132"/>
    <x v="2"/>
    <s v="46-60"/>
    <x v="0"/>
    <s v="Medium"/>
  </r>
  <r>
    <x v="38"/>
    <x v="1"/>
    <n v="37"/>
    <x v="2"/>
    <x v="1"/>
    <x v="2"/>
    <x v="1133"/>
    <x v="2"/>
    <s v="46-60"/>
    <x v="0"/>
    <s v="Medium"/>
  </r>
  <r>
    <x v="38"/>
    <x v="0"/>
    <n v="37"/>
    <x v="2"/>
    <x v="1"/>
    <x v="2"/>
    <x v="1134"/>
    <x v="2"/>
    <s v="46-60"/>
    <x v="0"/>
    <s v="Medium"/>
  </r>
  <r>
    <x v="38"/>
    <x v="0"/>
    <n v="37.049999999999997"/>
    <x v="2"/>
    <x v="1"/>
    <x v="0"/>
    <x v="1135"/>
    <x v="2"/>
    <s v="46-60"/>
    <x v="0"/>
    <s v="Medium"/>
  </r>
  <r>
    <x v="38"/>
    <x v="0"/>
    <n v="37.049999999999997"/>
    <x v="2"/>
    <x v="1"/>
    <x v="2"/>
    <x v="1136"/>
    <x v="2"/>
    <s v="46-60"/>
    <x v="0"/>
    <s v="High"/>
  </r>
  <r>
    <x v="38"/>
    <x v="1"/>
    <n v="37.049999999999997"/>
    <x v="3"/>
    <x v="1"/>
    <x v="1"/>
    <x v="1137"/>
    <x v="2"/>
    <s v="46-60"/>
    <x v="0"/>
    <s v="High"/>
  </r>
  <r>
    <x v="38"/>
    <x v="0"/>
    <n v="37.07"/>
    <x v="3"/>
    <x v="0"/>
    <x v="2"/>
    <x v="1138"/>
    <x v="2"/>
    <s v="46-60"/>
    <x v="0"/>
    <s v="High"/>
  </r>
  <r>
    <x v="38"/>
    <x v="1"/>
    <n v="37.07"/>
    <x v="3"/>
    <x v="1"/>
    <x v="1"/>
    <x v="1139"/>
    <x v="2"/>
    <s v="46-60"/>
    <x v="0"/>
    <s v="High"/>
  </r>
  <r>
    <x v="38"/>
    <x v="0"/>
    <n v="37.07"/>
    <x v="3"/>
    <x v="1"/>
    <x v="0"/>
    <x v="1140"/>
    <x v="2"/>
    <s v="46-60"/>
    <x v="0"/>
    <s v="High"/>
  </r>
  <r>
    <x v="38"/>
    <x v="0"/>
    <n v="37.1"/>
    <x v="3"/>
    <x v="1"/>
    <x v="1"/>
    <x v="1141"/>
    <x v="2"/>
    <s v="46-60"/>
    <x v="0"/>
    <s v="High"/>
  </r>
  <r>
    <x v="38"/>
    <x v="1"/>
    <n v="37.1"/>
    <x v="3"/>
    <x v="1"/>
    <x v="1"/>
    <x v="1142"/>
    <x v="2"/>
    <s v="46-60"/>
    <x v="0"/>
    <s v="High"/>
  </r>
  <r>
    <x v="38"/>
    <x v="1"/>
    <n v="37.1"/>
    <x v="3"/>
    <x v="1"/>
    <x v="0"/>
    <x v="1143"/>
    <x v="2"/>
    <s v="46-60"/>
    <x v="0"/>
    <s v="High"/>
  </r>
  <r>
    <x v="38"/>
    <x v="1"/>
    <n v="37.1"/>
    <x v="3"/>
    <x v="1"/>
    <x v="2"/>
    <x v="1144"/>
    <x v="2"/>
    <s v="46-60"/>
    <x v="0"/>
    <s v="High"/>
  </r>
  <r>
    <x v="38"/>
    <x v="1"/>
    <n v="37.1"/>
    <x v="3"/>
    <x v="0"/>
    <x v="0"/>
    <x v="1145"/>
    <x v="2"/>
    <s v="46-60"/>
    <x v="0"/>
    <s v="High"/>
  </r>
  <r>
    <x v="38"/>
    <x v="0"/>
    <n v="37.1"/>
    <x v="3"/>
    <x v="1"/>
    <x v="2"/>
    <x v="1146"/>
    <x v="2"/>
    <s v="46-60"/>
    <x v="0"/>
    <s v="High"/>
  </r>
  <r>
    <x v="39"/>
    <x v="1"/>
    <n v="37.145000000000003"/>
    <x v="3"/>
    <x v="1"/>
    <x v="0"/>
    <x v="1147"/>
    <x v="2"/>
    <s v="46-60"/>
    <x v="0"/>
    <s v="High"/>
  </r>
  <r>
    <x v="39"/>
    <x v="1"/>
    <n v="37.18"/>
    <x v="3"/>
    <x v="1"/>
    <x v="0"/>
    <x v="1148"/>
    <x v="2"/>
    <s v="46-60"/>
    <x v="0"/>
    <s v="High"/>
  </r>
  <r>
    <x v="39"/>
    <x v="0"/>
    <n v="37.18"/>
    <x v="3"/>
    <x v="1"/>
    <x v="3"/>
    <x v="1149"/>
    <x v="2"/>
    <s v="46-60"/>
    <x v="0"/>
    <s v="High"/>
  </r>
  <r>
    <x v="39"/>
    <x v="0"/>
    <n v="37.29"/>
    <x v="3"/>
    <x v="1"/>
    <x v="2"/>
    <x v="1150"/>
    <x v="2"/>
    <s v="46-60"/>
    <x v="0"/>
    <s v="High"/>
  </r>
  <r>
    <x v="39"/>
    <x v="0"/>
    <n v="37.29"/>
    <x v="3"/>
    <x v="0"/>
    <x v="1"/>
    <x v="1151"/>
    <x v="2"/>
    <s v="46-60"/>
    <x v="0"/>
    <s v="High"/>
  </r>
  <r>
    <x v="39"/>
    <x v="0"/>
    <n v="37.29"/>
    <x v="3"/>
    <x v="1"/>
    <x v="2"/>
    <x v="1152"/>
    <x v="2"/>
    <s v="46-60"/>
    <x v="0"/>
    <s v="High"/>
  </r>
  <r>
    <x v="39"/>
    <x v="0"/>
    <n v="37.29"/>
    <x v="3"/>
    <x v="1"/>
    <x v="2"/>
    <x v="1153"/>
    <x v="2"/>
    <s v="46-60"/>
    <x v="0"/>
    <s v="High"/>
  </r>
  <r>
    <x v="39"/>
    <x v="0"/>
    <n v="37.299999999999997"/>
    <x v="3"/>
    <x v="1"/>
    <x v="3"/>
    <x v="1154"/>
    <x v="2"/>
    <s v="46-60"/>
    <x v="0"/>
    <s v="High"/>
  </r>
  <r>
    <x v="39"/>
    <x v="1"/>
    <n v="37.335000000000001"/>
    <x v="3"/>
    <x v="0"/>
    <x v="1"/>
    <x v="1155"/>
    <x v="2"/>
    <s v="46-60"/>
    <x v="0"/>
    <s v="High"/>
  </r>
  <r>
    <x v="39"/>
    <x v="0"/>
    <n v="37.335000000000001"/>
    <x v="3"/>
    <x v="1"/>
    <x v="2"/>
    <x v="1156"/>
    <x v="2"/>
    <s v="46-60"/>
    <x v="0"/>
    <s v="High"/>
  </r>
  <r>
    <x v="39"/>
    <x v="0"/>
    <n v="37.4"/>
    <x v="3"/>
    <x v="1"/>
    <x v="3"/>
    <x v="1157"/>
    <x v="2"/>
    <s v="46-60"/>
    <x v="0"/>
    <s v="High"/>
  </r>
  <r>
    <x v="39"/>
    <x v="0"/>
    <n v="37.4"/>
    <x v="3"/>
    <x v="1"/>
    <x v="0"/>
    <x v="1158"/>
    <x v="2"/>
    <s v="46-60"/>
    <x v="0"/>
    <s v="High"/>
  </r>
  <r>
    <x v="39"/>
    <x v="0"/>
    <n v="37.4"/>
    <x v="3"/>
    <x v="1"/>
    <x v="2"/>
    <x v="1159"/>
    <x v="2"/>
    <s v="46-60"/>
    <x v="0"/>
    <s v="High"/>
  </r>
  <r>
    <x v="39"/>
    <x v="1"/>
    <n v="37.43"/>
    <x v="3"/>
    <x v="1"/>
    <x v="1"/>
    <x v="1160"/>
    <x v="2"/>
    <s v="46-60"/>
    <x v="0"/>
    <s v="High"/>
  </r>
  <r>
    <x v="39"/>
    <x v="1"/>
    <n v="37.43"/>
    <x v="3"/>
    <x v="1"/>
    <x v="1"/>
    <x v="1161"/>
    <x v="2"/>
    <s v="46-60"/>
    <x v="0"/>
    <s v="High"/>
  </r>
  <r>
    <x v="39"/>
    <x v="0"/>
    <n v="37.43"/>
    <x v="3"/>
    <x v="1"/>
    <x v="3"/>
    <x v="1162"/>
    <x v="2"/>
    <s v="46-60"/>
    <x v="0"/>
    <s v="High"/>
  </r>
  <r>
    <x v="39"/>
    <x v="0"/>
    <n v="37.51"/>
    <x v="3"/>
    <x v="1"/>
    <x v="2"/>
    <x v="1163"/>
    <x v="2"/>
    <s v="46-60"/>
    <x v="0"/>
    <s v="High"/>
  </r>
  <r>
    <x v="39"/>
    <x v="0"/>
    <n v="37.51"/>
    <x v="3"/>
    <x v="1"/>
    <x v="3"/>
    <x v="1164"/>
    <x v="2"/>
    <s v="46-60"/>
    <x v="0"/>
    <s v="High"/>
  </r>
  <r>
    <x v="39"/>
    <x v="1"/>
    <n v="37.524999999999999"/>
    <x v="3"/>
    <x v="1"/>
    <x v="1"/>
    <x v="1165"/>
    <x v="2"/>
    <s v="46-60"/>
    <x v="0"/>
    <s v="High"/>
  </r>
  <r>
    <x v="39"/>
    <x v="0"/>
    <n v="37.619999999999997"/>
    <x v="3"/>
    <x v="1"/>
    <x v="0"/>
    <x v="1166"/>
    <x v="2"/>
    <s v="46-60"/>
    <x v="0"/>
    <s v="High"/>
  </r>
  <r>
    <x v="39"/>
    <x v="1"/>
    <n v="37.619999999999997"/>
    <x v="3"/>
    <x v="1"/>
    <x v="0"/>
    <x v="1167"/>
    <x v="2"/>
    <s v="46-60"/>
    <x v="0"/>
    <s v="High"/>
  </r>
  <r>
    <x v="39"/>
    <x v="0"/>
    <n v="37.700000000000003"/>
    <x v="3"/>
    <x v="1"/>
    <x v="2"/>
    <x v="1168"/>
    <x v="2"/>
    <s v="46-60"/>
    <x v="0"/>
    <s v="High"/>
  </r>
  <r>
    <x v="39"/>
    <x v="1"/>
    <n v="37.715000000000003"/>
    <x v="3"/>
    <x v="0"/>
    <x v="3"/>
    <x v="1169"/>
    <x v="2"/>
    <s v="46-60"/>
    <x v="0"/>
    <s v="High"/>
  </r>
  <r>
    <x v="39"/>
    <x v="0"/>
    <n v="37.729999999999997"/>
    <x v="3"/>
    <x v="0"/>
    <x v="0"/>
    <x v="1170"/>
    <x v="2"/>
    <s v="46-60"/>
    <x v="0"/>
    <s v="High"/>
  </r>
  <r>
    <x v="39"/>
    <x v="0"/>
    <n v="37.729999999999997"/>
    <x v="3"/>
    <x v="1"/>
    <x v="1"/>
    <x v="1171"/>
    <x v="2"/>
    <s v="46-60"/>
    <x v="0"/>
    <s v="High"/>
  </r>
  <r>
    <x v="39"/>
    <x v="1"/>
    <n v="37.799999999999997"/>
    <x v="3"/>
    <x v="1"/>
    <x v="2"/>
    <x v="1172"/>
    <x v="2"/>
    <s v="46-60"/>
    <x v="0"/>
    <s v="High"/>
  </r>
  <r>
    <x v="40"/>
    <x v="1"/>
    <n v="37.9"/>
    <x v="3"/>
    <x v="1"/>
    <x v="2"/>
    <x v="1173"/>
    <x v="2"/>
    <s v="46-60"/>
    <x v="0"/>
    <s v="High"/>
  </r>
  <r>
    <x v="40"/>
    <x v="0"/>
    <n v="37.905000000000001"/>
    <x v="3"/>
    <x v="1"/>
    <x v="0"/>
    <x v="1174"/>
    <x v="2"/>
    <s v="46-60"/>
    <x v="0"/>
    <s v="High"/>
  </r>
  <r>
    <x v="40"/>
    <x v="0"/>
    <n v="38"/>
    <x v="3"/>
    <x v="0"/>
    <x v="2"/>
    <x v="1175"/>
    <x v="2"/>
    <s v="46-60"/>
    <x v="0"/>
    <s v="High"/>
  </r>
  <r>
    <x v="40"/>
    <x v="0"/>
    <n v="38"/>
    <x v="3"/>
    <x v="1"/>
    <x v="0"/>
    <x v="1176"/>
    <x v="2"/>
    <s v="46-60"/>
    <x v="0"/>
    <s v="High"/>
  </r>
  <r>
    <x v="40"/>
    <x v="0"/>
    <n v="38"/>
    <x v="3"/>
    <x v="1"/>
    <x v="3"/>
    <x v="1177"/>
    <x v="2"/>
    <s v="46-60"/>
    <x v="0"/>
    <s v="High"/>
  </r>
  <r>
    <x v="40"/>
    <x v="1"/>
    <n v="38.06"/>
    <x v="3"/>
    <x v="0"/>
    <x v="1"/>
    <x v="1178"/>
    <x v="2"/>
    <s v="46-60"/>
    <x v="0"/>
    <s v="High"/>
  </r>
  <r>
    <x v="40"/>
    <x v="0"/>
    <n v="38.06"/>
    <x v="3"/>
    <x v="1"/>
    <x v="3"/>
    <x v="1179"/>
    <x v="2"/>
    <s v="46-60"/>
    <x v="0"/>
    <s v="High"/>
  </r>
  <r>
    <x v="40"/>
    <x v="0"/>
    <n v="38.06"/>
    <x v="3"/>
    <x v="1"/>
    <x v="2"/>
    <x v="1180"/>
    <x v="2"/>
    <s v="46-60"/>
    <x v="0"/>
    <s v="High"/>
  </r>
  <r>
    <x v="40"/>
    <x v="0"/>
    <n v="38.06"/>
    <x v="3"/>
    <x v="1"/>
    <x v="0"/>
    <x v="1181"/>
    <x v="2"/>
    <s v="46-60"/>
    <x v="0"/>
    <s v="High"/>
  </r>
  <r>
    <x v="40"/>
    <x v="0"/>
    <n v="38.06"/>
    <x v="3"/>
    <x v="1"/>
    <x v="3"/>
    <x v="1182"/>
    <x v="2"/>
    <s v="46-60"/>
    <x v="0"/>
    <s v="High"/>
  </r>
  <r>
    <x v="40"/>
    <x v="0"/>
    <n v="38.06"/>
    <x v="3"/>
    <x v="0"/>
    <x v="1"/>
    <x v="1183"/>
    <x v="2"/>
    <s v="46-60"/>
    <x v="0"/>
    <s v="High"/>
  </r>
  <r>
    <x v="40"/>
    <x v="1"/>
    <n v="38.06"/>
    <x v="3"/>
    <x v="1"/>
    <x v="3"/>
    <x v="1184"/>
    <x v="2"/>
    <s v="46-60"/>
    <x v="0"/>
    <s v="High"/>
  </r>
  <r>
    <x v="40"/>
    <x v="1"/>
    <n v="38.094999999999999"/>
    <x v="3"/>
    <x v="0"/>
    <x v="2"/>
    <x v="1185"/>
    <x v="2"/>
    <s v="46-60"/>
    <x v="0"/>
    <s v="High"/>
  </r>
  <r>
    <x v="40"/>
    <x v="0"/>
    <n v="38.094999999999999"/>
    <x v="3"/>
    <x v="1"/>
    <x v="2"/>
    <x v="1186"/>
    <x v="2"/>
    <s v="46-60"/>
    <x v="0"/>
    <s v="High"/>
  </r>
  <r>
    <x v="40"/>
    <x v="0"/>
    <n v="38.094999999999999"/>
    <x v="3"/>
    <x v="0"/>
    <x v="3"/>
    <x v="1187"/>
    <x v="2"/>
    <s v="46-60"/>
    <x v="0"/>
    <s v="High"/>
  </r>
  <r>
    <x v="40"/>
    <x v="0"/>
    <n v="38.17"/>
    <x v="3"/>
    <x v="1"/>
    <x v="0"/>
    <x v="1188"/>
    <x v="2"/>
    <s v="46-60"/>
    <x v="0"/>
    <s v="High"/>
  </r>
  <r>
    <x v="40"/>
    <x v="0"/>
    <n v="38.17"/>
    <x v="3"/>
    <x v="1"/>
    <x v="2"/>
    <x v="1189"/>
    <x v="2"/>
    <s v="46-60"/>
    <x v="0"/>
    <s v="High"/>
  </r>
  <r>
    <x v="40"/>
    <x v="0"/>
    <n v="38.17"/>
    <x v="3"/>
    <x v="1"/>
    <x v="3"/>
    <x v="1190"/>
    <x v="2"/>
    <s v="46-60"/>
    <x v="0"/>
    <s v="High"/>
  </r>
  <r>
    <x v="40"/>
    <x v="0"/>
    <n v="38.19"/>
    <x v="3"/>
    <x v="1"/>
    <x v="3"/>
    <x v="1191"/>
    <x v="2"/>
    <s v="46-60"/>
    <x v="0"/>
    <s v="High"/>
  </r>
  <r>
    <x v="40"/>
    <x v="0"/>
    <n v="38.28"/>
    <x v="3"/>
    <x v="1"/>
    <x v="2"/>
    <x v="1192"/>
    <x v="2"/>
    <s v="46-60"/>
    <x v="0"/>
    <s v="High"/>
  </r>
  <r>
    <x v="40"/>
    <x v="0"/>
    <n v="38.28"/>
    <x v="3"/>
    <x v="1"/>
    <x v="2"/>
    <x v="1193"/>
    <x v="2"/>
    <s v="46-60"/>
    <x v="0"/>
    <s v="High"/>
  </r>
  <r>
    <x v="40"/>
    <x v="0"/>
    <n v="38.28"/>
    <x v="3"/>
    <x v="1"/>
    <x v="2"/>
    <x v="1194"/>
    <x v="2"/>
    <s v="46-60"/>
    <x v="0"/>
    <s v="High"/>
  </r>
  <r>
    <x v="40"/>
    <x v="0"/>
    <n v="38.284999999999997"/>
    <x v="3"/>
    <x v="0"/>
    <x v="2"/>
    <x v="1195"/>
    <x v="2"/>
    <s v="46-60"/>
    <x v="0"/>
    <s v="High"/>
  </r>
  <r>
    <x v="40"/>
    <x v="1"/>
    <n v="38.380000000000003"/>
    <x v="3"/>
    <x v="1"/>
    <x v="1"/>
    <x v="1196"/>
    <x v="2"/>
    <s v="46-60"/>
    <x v="0"/>
    <s v="High"/>
  </r>
  <r>
    <x v="40"/>
    <x v="1"/>
    <n v="38.380000000000003"/>
    <x v="3"/>
    <x v="1"/>
    <x v="2"/>
    <x v="1197"/>
    <x v="2"/>
    <s v="46-60"/>
    <x v="0"/>
    <s v="High"/>
  </r>
  <r>
    <x v="41"/>
    <x v="0"/>
    <n v="38.39"/>
    <x v="3"/>
    <x v="1"/>
    <x v="0"/>
    <x v="1198"/>
    <x v="2"/>
    <s v="46-60"/>
    <x v="0"/>
    <s v="High"/>
  </r>
  <r>
    <x v="41"/>
    <x v="1"/>
    <n v="38.39"/>
    <x v="3"/>
    <x v="1"/>
    <x v="2"/>
    <x v="1199"/>
    <x v="2"/>
    <s v="46-60"/>
    <x v="0"/>
    <s v="High"/>
  </r>
  <r>
    <x v="41"/>
    <x v="1"/>
    <n v="38.39"/>
    <x v="3"/>
    <x v="1"/>
    <x v="2"/>
    <x v="1200"/>
    <x v="2"/>
    <s v="46-60"/>
    <x v="0"/>
    <s v="High"/>
  </r>
  <r>
    <x v="41"/>
    <x v="1"/>
    <n v="38.6"/>
    <x v="3"/>
    <x v="1"/>
    <x v="2"/>
    <x v="1201"/>
    <x v="2"/>
    <s v="46-60"/>
    <x v="0"/>
    <s v="High"/>
  </r>
  <r>
    <x v="41"/>
    <x v="1"/>
    <n v="38.6"/>
    <x v="3"/>
    <x v="1"/>
    <x v="3"/>
    <x v="1202"/>
    <x v="2"/>
    <s v="46-60"/>
    <x v="0"/>
    <s v="High"/>
  </r>
  <r>
    <x v="41"/>
    <x v="0"/>
    <n v="38.664999999999999"/>
    <x v="3"/>
    <x v="0"/>
    <x v="1"/>
    <x v="1203"/>
    <x v="2"/>
    <s v="46-60"/>
    <x v="0"/>
    <s v="High"/>
  </r>
  <r>
    <x v="41"/>
    <x v="1"/>
    <n v="38.83"/>
    <x v="3"/>
    <x v="1"/>
    <x v="2"/>
    <x v="1204"/>
    <x v="2"/>
    <s v="46-60"/>
    <x v="0"/>
    <s v="High"/>
  </r>
  <r>
    <x v="41"/>
    <x v="0"/>
    <n v="38.83"/>
    <x v="3"/>
    <x v="1"/>
    <x v="0"/>
    <x v="1205"/>
    <x v="2"/>
    <s v="46-60"/>
    <x v="0"/>
    <s v="High"/>
  </r>
  <r>
    <x v="41"/>
    <x v="1"/>
    <n v="38.83"/>
    <x v="3"/>
    <x v="0"/>
    <x v="0"/>
    <x v="1206"/>
    <x v="2"/>
    <s v="46-60"/>
    <x v="0"/>
    <s v="High"/>
  </r>
  <r>
    <x v="41"/>
    <x v="0"/>
    <n v="38.9"/>
    <x v="3"/>
    <x v="0"/>
    <x v="3"/>
    <x v="1207"/>
    <x v="2"/>
    <s v="46-60"/>
    <x v="0"/>
    <s v="High"/>
  </r>
  <r>
    <x v="41"/>
    <x v="1"/>
    <n v="38.94"/>
    <x v="3"/>
    <x v="1"/>
    <x v="0"/>
    <x v="1208"/>
    <x v="2"/>
    <s v="46-60"/>
    <x v="0"/>
    <s v="High"/>
  </r>
  <r>
    <x v="41"/>
    <x v="1"/>
    <n v="38.94"/>
    <x v="3"/>
    <x v="1"/>
    <x v="2"/>
    <x v="1209"/>
    <x v="2"/>
    <s v="46-60"/>
    <x v="0"/>
    <s v="High"/>
  </r>
  <r>
    <x v="41"/>
    <x v="1"/>
    <n v="38.950000000000003"/>
    <x v="3"/>
    <x v="1"/>
    <x v="1"/>
    <x v="1210"/>
    <x v="2"/>
    <s v="46-60"/>
    <x v="0"/>
    <s v="High"/>
  </r>
  <r>
    <x v="41"/>
    <x v="1"/>
    <n v="39.049999999999997"/>
    <x v="3"/>
    <x v="1"/>
    <x v="3"/>
    <x v="1211"/>
    <x v="2"/>
    <s v="46-60"/>
    <x v="0"/>
    <s v="High"/>
  </r>
  <r>
    <x v="41"/>
    <x v="0"/>
    <n v="39.049999999999997"/>
    <x v="3"/>
    <x v="1"/>
    <x v="0"/>
    <x v="1212"/>
    <x v="2"/>
    <s v="46-60"/>
    <x v="0"/>
    <s v="High"/>
  </r>
  <r>
    <x v="41"/>
    <x v="0"/>
    <n v="39.049999999999997"/>
    <x v="3"/>
    <x v="1"/>
    <x v="2"/>
    <x v="1213"/>
    <x v="2"/>
    <s v="46-60"/>
    <x v="0"/>
    <s v="High"/>
  </r>
  <r>
    <x v="41"/>
    <x v="1"/>
    <n v="39.1"/>
    <x v="3"/>
    <x v="1"/>
    <x v="3"/>
    <x v="1214"/>
    <x v="2"/>
    <s v="46-60"/>
    <x v="0"/>
    <s v="High"/>
  </r>
  <r>
    <x v="41"/>
    <x v="1"/>
    <n v="39.14"/>
    <x v="3"/>
    <x v="1"/>
    <x v="1"/>
    <x v="1215"/>
    <x v="2"/>
    <s v="46-60"/>
    <x v="0"/>
    <s v="High"/>
  </r>
  <r>
    <x v="41"/>
    <x v="1"/>
    <n v="39.159999999999997"/>
    <x v="3"/>
    <x v="1"/>
    <x v="1"/>
    <x v="1216"/>
    <x v="2"/>
    <s v="46-60"/>
    <x v="0"/>
    <s v="High"/>
  </r>
  <r>
    <x v="41"/>
    <x v="0"/>
    <n v="39.159999999999997"/>
    <x v="3"/>
    <x v="0"/>
    <x v="0"/>
    <x v="1217"/>
    <x v="2"/>
    <s v="46-60"/>
    <x v="0"/>
    <s v="High"/>
  </r>
  <r>
    <x v="41"/>
    <x v="0"/>
    <n v="39.159999999999997"/>
    <x v="3"/>
    <x v="1"/>
    <x v="2"/>
    <x v="1218"/>
    <x v="2"/>
    <s v="46-60"/>
    <x v="0"/>
    <s v="High"/>
  </r>
  <r>
    <x v="41"/>
    <x v="0"/>
    <n v="39.200000000000003"/>
    <x v="3"/>
    <x v="1"/>
    <x v="3"/>
    <x v="1219"/>
    <x v="2"/>
    <s v="46-60"/>
    <x v="0"/>
    <s v="High"/>
  </r>
  <r>
    <x v="41"/>
    <x v="1"/>
    <n v="39.270000000000003"/>
    <x v="3"/>
    <x v="1"/>
    <x v="1"/>
    <x v="1220"/>
    <x v="2"/>
    <s v="46-60"/>
    <x v="0"/>
    <s v="High"/>
  </r>
  <r>
    <x v="41"/>
    <x v="1"/>
    <n v="39.33"/>
    <x v="3"/>
    <x v="1"/>
    <x v="1"/>
    <x v="1221"/>
    <x v="2"/>
    <s v="46-60"/>
    <x v="0"/>
    <s v="High"/>
  </r>
  <r>
    <x v="41"/>
    <x v="0"/>
    <n v="39.4"/>
    <x v="3"/>
    <x v="0"/>
    <x v="1"/>
    <x v="1222"/>
    <x v="2"/>
    <s v="46-60"/>
    <x v="0"/>
    <s v="High"/>
  </r>
  <r>
    <x v="42"/>
    <x v="1"/>
    <n v="39.424999999999997"/>
    <x v="3"/>
    <x v="1"/>
    <x v="3"/>
    <x v="1223"/>
    <x v="2"/>
    <s v="46-60"/>
    <x v="0"/>
    <s v="High"/>
  </r>
  <r>
    <x v="42"/>
    <x v="0"/>
    <n v="39.49"/>
    <x v="3"/>
    <x v="1"/>
    <x v="1"/>
    <x v="1224"/>
    <x v="2"/>
    <s v="46-60"/>
    <x v="0"/>
    <s v="High"/>
  </r>
  <r>
    <x v="42"/>
    <x v="1"/>
    <n v="39.49"/>
    <x v="3"/>
    <x v="1"/>
    <x v="3"/>
    <x v="1225"/>
    <x v="2"/>
    <s v="46-60"/>
    <x v="0"/>
    <s v="High"/>
  </r>
  <r>
    <x v="42"/>
    <x v="1"/>
    <n v="39.49"/>
    <x v="3"/>
    <x v="1"/>
    <x v="1"/>
    <x v="1226"/>
    <x v="2"/>
    <s v="46-60"/>
    <x v="0"/>
    <s v="High"/>
  </r>
  <r>
    <x v="42"/>
    <x v="1"/>
    <n v="39.5"/>
    <x v="3"/>
    <x v="1"/>
    <x v="1"/>
    <x v="1227"/>
    <x v="2"/>
    <s v="46-60"/>
    <x v="0"/>
    <s v="High"/>
  </r>
  <r>
    <x v="42"/>
    <x v="1"/>
    <n v="39.5"/>
    <x v="3"/>
    <x v="1"/>
    <x v="3"/>
    <x v="1228"/>
    <x v="2"/>
    <s v="46-60"/>
    <x v="0"/>
    <s v="High"/>
  </r>
  <r>
    <x v="42"/>
    <x v="1"/>
    <n v="39.520000000000003"/>
    <x v="3"/>
    <x v="0"/>
    <x v="2"/>
    <x v="1229"/>
    <x v="2"/>
    <s v="46-60"/>
    <x v="0"/>
    <s v="High"/>
  </r>
  <r>
    <x v="42"/>
    <x v="0"/>
    <n v="39.6"/>
    <x v="3"/>
    <x v="0"/>
    <x v="0"/>
    <x v="1230"/>
    <x v="2"/>
    <s v="46-60"/>
    <x v="0"/>
    <s v="High"/>
  </r>
  <r>
    <x v="42"/>
    <x v="0"/>
    <n v="39.6"/>
    <x v="3"/>
    <x v="1"/>
    <x v="2"/>
    <x v="1231"/>
    <x v="2"/>
    <s v="46-60"/>
    <x v="0"/>
    <s v="High"/>
  </r>
  <r>
    <x v="42"/>
    <x v="1"/>
    <n v="39.6"/>
    <x v="3"/>
    <x v="1"/>
    <x v="0"/>
    <x v="1232"/>
    <x v="2"/>
    <s v="46-60"/>
    <x v="0"/>
    <s v="High"/>
  </r>
  <r>
    <x v="42"/>
    <x v="0"/>
    <n v="39.615000000000002"/>
    <x v="3"/>
    <x v="1"/>
    <x v="1"/>
    <x v="1233"/>
    <x v="2"/>
    <s v="46-60"/>
    <x v="0"/>
    <s v="High"/>
  </r>
  <r>
    <x v="42"/>
    <x v="1"/>
    <n v="39.700000000000003"/>
    <x v="3"/>
    <x v="1"/>
    <x v="2"/>
    <x v="1234"/>
    <x v="2"/>
    <s v="46-60"/>
    <x v="0"/>
    <s v="High"/>
  </r>
  <r>
    <x v="42"/>
    <x v="0"/>
    <n v="39.700000000000003"/>
    <x v="3"/>
    <x v="1"/>
    <x v="3"/>
    <x v="1235"/>
    <x v="2"/>
    <s v="46-60"/>
    <x v="0"/>
    <s v="High"/>
  </r>
  <r>
    <x v="42"/>
    <x v="0"/>
    <n v="39.71"/>
    <x v="3"/>
    <x v="1"/>
    <x v="2"/>
    <x v="1236"/>
    <x v="2"/>
    <s v="46-60"/>
    <x v="0"/>
    <s v="High"/>
  </r>
  <r>
    <x v="42"/>
    <x v="1"/>
    <n v="39.799999999999997"/>
    <x v="3"/>
    <x v="1"/>
    <x v="3"/>
    <x v="1237"/>
    <x v="2"/>
    <s v="46-60"/>
    <x v="0"/>
    <s v="High"/>
  </r>
  <r>
    <x v="42"/>
    <x v="0"/>
    <n v="39.805"/>
    <x v="3"/>
    <x v="1"/>
    <x v="1"/>
    <x v="1238"/>
    <x v="2"/>
    <s v="46-60"/>
    <x v="0"/>
    <s v="High"/>
  </r>
  <r>
    <x v="42"/>
    <x v="1"/>
    <n v="39.805"/>
    <x v="3"/>
    <x v="0"/>
    <x v="1"/>
    <x v="1239"/>
    <x v="2"/>
    <s v="46-60"/>
    <x v="0"/>
    <s v="High"/>
  </r>
  <r>
    <x v="42"/>
    <x v="1"/>
    <n v="39.82"/>
    <x v="3"/>
    <x v="0"/>
    <x v="1"/>
    <x v="1240"/>
    <x v="2"/>
    <s v="46-60"/>
    <x v="0"/>
    <s v="High"/>
  </r>
  <r>
    <x v="42"/>
    <x v="0"/>
    <n v="39.82"/>
    <x v="3"/>
    <x v="1"/>
    <x v="2"/>
    <x v="1241"/>
    <x v="2"/>
    <s v="46-60"/>
    <x v="0"/>
    <s v="High"/>
  </r>
  <r>
    <x v="42"/>
    <x v="0"/>
    <n v="39.82"/>
    <x v="3"/>
    <x v="1"/>
    <x v="1"/>
    <x v="1242"/>
    <x v="2"/>
    <s v="46-60"/>
    <x v="0"/>
    <s v="High"/>
  </r>
  <r>
    <x v="42"/>
    <x v="1"/>
    <n v="39.9"/>
    <x v="3"/>
    <x v="1"/>
    <x v="1"/>
    <x v="1243"/>
    <x v="2"/>
    <s v="46-60"/>
    <x v="0"/>
    <s v="High"/>
  </r>
  <r>
    <x v="42"/>
    <x v="1"/>
    <n v="39.93"/>
    <x v="3"/>
    <x v="1"/>
    <x v="0"/>
    <x v="1244"/>
    <x v="2"/>
    <s v="46-60"/>
    <x v="0"/>
    <s v="High"/>
  </r>
  <r>
    <x v="42"/>
    <x v="0"/>
    <n v="39.994999999999997"/>
    <x v="3"/>
    <x v="1"/>
    <x v="0"/>
    <x v="1245"/>
    <x v="2"/>
    <s v="46-60"/>
    <x v="0"/>
    <s v="High"/>
  </r>
  <r>
    <x v="43"/>
    <x v="1"/>
    <n v="40.15"/>
    <x v="3"/>
    <x v="1"/>
    <x v="0"/>
    <x v="1246"/>
    <x v="2"/>
    <s v="60+"/>
    <x v="0"/>
    <s v="High"/>
  </r>
  <r>
    <x v="43"/>
    <x v="0"/>
    <n v="40.15"/>
    <x v="3"/>
    <x v="1"/>
    <x v="1"/>
    <x v="1247"/>
    <x v="2"/>
    <s v="60+"/>
    <x v="0"/>
    <s v="High"/>
  </r>
  <r>
    <x v="43"/>
    <x v="1"/>
    <n v="40.15"/>
    <x v="3"/>
    <x v="0"/>
    <x v="3"/>
    <x v="1248"/>
    <x v="2"/>
    <s v="60+"/>
    <x v="0"/>
    <s v="High"/>
  </r>
  <r>
    <x v="43"/>
    <x v="1"/>
    <n v="40.185000000000002"/>
    <x v="3"/>
    <x v="0"/>
    <x v="3"/>
    <x v="1249"/>
    <x v="2"/>
    <s v="60+"/>
    <x v="0"/>
    <s v="High"/>
  </r>
  <r>
    <x v="43"/>
    <x v="1"/>
    <n v="40.185000000000002"/>
    <x v="3"/>
    <x v="1"/>
    <x v="0"/>
    <x v="1250"/>
    <x v="2"/>
    <s v="60+"/>
    <x v="0"/>
    <s v="High"/>
  </r>
  <r>
    <x v="43"/>
    <x v="1"/>
    <n v="40.26"/>
    <x v="3"/>
    <x v="0"/>
    <x v="0"/>
    <x v="1251"/>
    <x v="2"/>
    <s v="60+"/>
    <x v="0"/>
    <s v="High"/>
  </r>
  <r>
    <x v="43"/>
    <x v="0"/>
    <n v="40.26"/>
    <x v="3"/>
    <x v="1"/>
    <x v="0"/>
    <x v="1252"/>
    <x v="2"/>
    <s v="60+"/>
    <x v="0"/>
    <s v="High"/>
  </r>
  <r>
    <x v="43"/>
    <x v="0"/>
    <n v="40.28"/>
    <x v="3"/>
    <x v="1"/>
    <x v="1"/>
    <x v="1253"/>
    <x v="2"/>
    <s v="60+"/>
    <x v="0"/>
    <s v="High"/>
  </r>
  <r>
    <x v="43"/>
    <x v="0"/>
    <n v="40.28"/>
    <x v="3"/>
    <x v="1"/>
    <x v="0"/>
    <x v="1254"/>
    <x v="2"/>
    <s v="60+"/>
    <x v="0"/>
    <s v="High"/>
  </r>
  <r>
    <x v="43"/>
    <x v="0"/>
    <n v="40.299999999999997"/>
    <x v="3"/>
    <x v="1"/>
    <x v="2"/>
    <x v="1255"/>
    <x v="2"/>
    <s v="60+"/>
    <x v="0"/>
    <s v="High"/>
  </r>
  <r>
    <x v="43"/>
    <x v="0"/>
    <n v="40.369999999999997"/>
    <x v="3"/>
    <x v="1"/>
    <x v="2"/>
    <x v="1256"/>
    <x v="2"/>
    <s v="60+"/>
    <x v="0"/>
    <s v="High"/>
  </r>
  <r>
    <x v="43"/>
    <x v="1"/>
    <n v="40.369999999999997"/>
    <x v="3"/>
    <x v="1"/>
    <x v="2"/>
    <x v="1257"/>
    <x v="2"/>
    <s v="60+"/>
    <x v="0"/>
    <s v="High"/>
  </r>
  <r>
    <x v="43"/>
    <x v="0"/>
    <n v="40.375"/>
    <x v="3"/>
    <x v="1"/>
    <x v="3"/>
    <x v="1258"/>
    <x v="2"/>
    <s v="60+"/>
    <x v="0"/>
    <s v="High"/>
  </r>
  <r>
    <x v="43"/>
    <x v="0"/>
    <n v="40.47"/>
    <x v="3"/>
    <x v="1"/>
    <x v="3"/>
    <x v="1259"/>
    <x v="2"/>
    <s v="60+"/>
    <x v="0"/>
    <s v="High"/>
  </r>
  <r>
    <x v="43"/>
    <x v="1"/>
    <n v="40.479999999999997"/>
    <x v="3"/>
    <x v="1"/>
    <x v="0"/>
    <x v="1260"/>
    <x v="2"/>
    <s v="60+"/>
    <x v="0"/>
    <s v="High"/>
  </r>
  <r>
    <x v="43"/>
    <x v="0"/>
    <n v="40.5"/>
    <x v="3"/>
    <x v="1"/>
    <x v="1"/>
    <x v="1261"/>
    <x v="2"/>
    <s v="60+"/>
    <x v="0"/>
    <s v="High"/>
  </r>
  <r>
    <x v="43"/>
    <x v="0"/>
    <n v="40.564999999999998"/>
    <x v="3"/>
    <x v="1"/>
    <x v="0"/>
    <x v="1262"/>
    <x v="2"/>
    <s v="60+"/>
    <x v="0"/>
    <s v="High"/>
  </r>
  <r>
    <x v="43"/>
    <x v="0"/>
    <n v="40.564999999999998"/>
    <x v="3"/>
    <x v="1"/>
    <x v="3"/>
    <x v="1263"/>
    <x v="2"/>
    <s v="60+"/>
    <x v="0"/>
    <s v="High"/>
  </r>
  <r>
    <x v="43"/>
    <x v="1"/>
    <n v="40.564999999999998"/>
    <x v="3"/>
    <x v="0"/>
    <x v="1"/>
    <x v="1264"/>
    <x v="2"/>
    <s v="60+"/>
    <x v="0"/>
    <s v="High"/>
  </r>
  <r>
    <x v="43"/>
    <x v="0"/>
    <n v="40.659999999999997"/>
    <x v="3"/>
    <x v="1"/>
    <x v="0"/>
    <x v="1265"/>
    <x v="2"/>
    <s v="60+"/>
    <x v="0"/>
    <s v="High"/>
  </r>
  <r>
    <x v="43"/>
    <x v="1"/>
    <n v="40.81"/>
    <x v="3"/>
    <x v="0"/>
    <x v="3"/>
    <x v="1266"/>
    <x v="2"/>
    <s v="60+"/>
    <x v="0"/>
    <s v="High"/>
  </r>
  <r>
    <x v="43"/>
    <x v="0"/>
    <n v="40.92"/>
    <x v="3"/>
    <x v="1"/>
    <x v="0"/>
    <x v="1267"/>
    <x v="2"/>
    <s v="60+"/>
    <x v="0"/>
    <s v="High"/>
  </r>
  <r>
    <x v="43"/>
    <x v="1"/>
    <n v="40.945"/>
    <x v="3"/>
    <x v="1"/>
    <x v="0"/>
    <x v="1268"/>
    <x v="2"/>
    <s v="60+"/>
    <x v="0"/>
    <s v="High"/>
  </r>
  <r>
    <x v="44"/>
    <x v="1"/>
    <n v="41.1"/>
    <x v="3"/>
    <x v="1"/>
    <x v="2"/>
    <x v="1269"/>
    <x v="2"/>
    <s v="60+"/>
    <x v="0"/>
    <s v="High"/>
  </r>
  <r>
    <x v="44"/>
    <x v="0"/>
    <n v="41.14"/>
    <x v="3"/>
    <x v="1"/>
    <x v="2"/>
    <x v="1270"/>
    <x v="2"/>
    <s v="60+"/>
    <x v="0"/>
    <s v="High"/>
  </r>
  <r>
    <x v="44"/>
    <x v="1"/>
    <n v="41.14"/>
    <x v="3"/>
    <x v="1"/>
    <x v="1"/>
    <x v="1271"/>
    <x v="2"/>
    <s v="60+"/>
    <x v="0"/>
    <s v="High"/>
  </r>
  <r>
    <x v="44"/>
    <x v="1"/>
    <n v="41.23"/>
    <x v="3"/>
    <x v="1"/>
    <x v="1"/>
    <x v="1272"/>
    <x v="2"/>
    <s v="60+"/>
    <x v="0"/>
    <s v="High"/>
  </r>
  <r>
    <x v="44"/>
    <x v="1"/>
    <n v="41.23"/>
    <x v="3"/>
    <x v="0"/>
    <x v="1"/>
    <x v="1273"/>
    <x v="2"/>
    <s v="60+"/>
    <x v="0"/>
    <s v="High"/>
  </r>
  <r>
    <x v="44"/>
    <x v="1"/>
    <n v="41.325000000000003"/>
    <x v="3"/>
    <x v="1"/>
    <x v="0"/>
    <x v="1274"/>
    <x v="2"/>
    <s v="60+"/>
    <x v="0"/>
    <s v="High"/>
  </r>
  <r>
    <x v="44"/>
    <x v="0"/>
    <n v="41.325000000000003"/>
    <x v="3"/>
    <x v="1"/>
    <x v="3"/>
    <x v="1275"/>
    <x v="2"/>
    <s v="60+"/>
    <x v="0"/>
    <s v="High"/>
  </r>
  <r>
    <x v="44"/>
    <x v="0"/>
    <n v="41.325000000000003"/>
    <x v="3"/>
    <x v="1"/>
    <x v="2"/>
    <x v="1276"/>
    <x v="2"/>
    <s v="60+"/>
    <x v="0"/>
    <s v="High"/>
  </r>
  <r>
    <x v="44"/>
    <x v="1"/>
    <n v="41.42"/>
    <x v="3"/>
    <x v="0"/>
    <x v="3"/>
    <x v="1277"/>
    <x v="2"/>
    <s v="60+"/>
    <x v="0"/>
    <s v="High"/>
  </r>
  <r>
    <x v="44"/>
    <x v="0"/>
    <n v="41.47"/>
    <x v="3"/>
    <x v="1"/>
    <x v="2"/>
    <x v="1278"/>
    <x v="2"/>
    <s v="60+"/>
    <x v="0"/>
    <s v="High"/>
  </r>
  <r>
    <x v="44"/>
    <x v="0"/>
    <n v="41.47"/>
    <x v="3"/>
    <x v="1"/>
    <x v="1"/>
    <x v="1279"/>
    <x v="2"/>
    <s v="60+"/>
    <x v="0"/>
    <s v="High"/>
  </r>
  <r>
    <x v="44"/>
    <x v="0"/>
    <n v="41.47"/>
    <x v="3"/>
    <x v="0"/>
    <x v="2"/>
    <x v="1280"/>
    <x v="2"/>
    <s v="60+"/>
    <x v="0"/>
    <s v="High"/>
  </r>
  <r>
    <x v="44"/>
    <x v="0"/>
    <n v="41.69"/>
    <x v="3"/>
    <x v="0"/>
    <x v="3"/>
    <x v="1281"/>
    <x v="2"/>
    <s v="60+"/>
    <x v="0"/>
    <s v="High"/>
  </r>
  <r>
    <x v="44"/>
    <x v="1"/>
    <n v="41.8"/>
    <x v="3"/>
    <x v="1"/>
    <x v="1"/>
    <x v="1282"/>
    <x v="2"/>
    <s v="60+"/>
    <x v="0"/>
    <s v="High"/>
  </r>
  <r>
    <x v="44"/>
    <x v="1"/>
    <n v="41.8"/>
    <x v="3"/>
    <x v="0"/>
    <x v="0"/>
    <x v="1283"/>
    <x v="2"/>
    <s v="60+"/>
    <x v="0"/>
    <s v="High"/>
  </r>
  <r>
    <x v="44"/>
    <x v="0"/>
    <n v="41.895000000000003"/>
    <x v="3"/>
    <x v="1"/>
    <x v="3"/>
    <x v="1284"/>
    <x v="2"/>
    <s v="60+"/>
    <x v="0"/>
    <s v="High"/>
  </r>
  <r>
    <x v="44"/>
    <x v="0"/>
    <n v="41.91"/>
    <x v="3"/>
    <x v="1"/>
    <x v="3"/>
    <x v="1285"/>
    <x v="2"/>
    <s v="60+"/>
    <x v="0"/>
    <s v="High"/>
  </r>
  <r>
    <x v="44"/>
    <x v="0"/>
    <n v="41.91"/>
    <x v="3"/>
    <x v="1"/>
    <x v="0"/>
    <x v="1286"/>
    <x v="2"/>
    <s v="60+"/>
    <x v="0"/>
    <s v="High"/>
  </r>
  <r>
    <x v="44"/>
    <x v="1"/>
    <n v="41.91"/>
    <x v="3"/>
    <x v="0"/>
    <x v="0"/>
    <x v="1287"/>
    <x v="2"/>
    <s v="60+"/>
    <x v="0"/>
    <s v="High"/>
  </r>
  <r>
    <x v="44"/>
    <x v="1"/>
    <n v="42.13"/>
    <x v="3"/>
    <x v="1"/>
    <x v="1"/>
    <x v="1288"/>
    <x v="2"/>
    <s v="60+"/>
    <x v="0"/>
    <s v="High"/>
  </r>
  <r>
    <x v="44"/>
    <x v="0"/>
    <n v="42.13"/>
    <x v="3"/>
    <x v="1"/>
    <x v="3"/>
    <x v="1289"/>
    <x v="2"/>
    <s v="60+"/>
    <x v="0"/>
    <s v="High"/>
  </r>
  <r>
    <x v="44"/>
    <x v="1"/>
    <n v="42.13"/>
    <x v="3"/>
    <x v="0"/>
    <x v="0"/>
    <x v="1290"/>
    <x v="2"/>
    <s v="60+"/>
    <x v="0"/>
    <s v="High"/>
  </r>
  <r>
    <x v="44"/>
    <x v="1"/>
    <n v="42.13"/>
    <x v="3"/>
    <x v="1"/>
    <x v="1"/>
    <x v="1291"/>
    <x v="2"/>
    <s v="60+"/>
    <x v="0"/>
    <s v="High"/>
  </r>
  <r>
    <x v="45"/>
    <x v="1"/>
    <n v="42.24"/>
    <x v="3"/>
    <x v="1"/>
    <x v="2"/>
    <x v="1292"/>
    <x v="2"/>
    <s v="60+"/>
    <x v="0"/>
    <s v="High"/>
  </r>
  <r>
    <x v="45"/>
    <x v="1"/>
    <n v="42.35"/>
    <x v="3"/>
    <x v="1"/>
    <x v="3"/>
    <x v="1293"/>
    <x v="2"/>
    <s v="60+"/>
    <x v="0"/>
    <s v="High"/>
  </r>
  <r>
    <x v="45"/>
    <x v="1"/>
    <n v="42.4"/>
    <x v="4"/>
    <x v="1"/>
    <x v="0"/>
    <x v="1294"/>
    <x v="2"/>
    <s v="60+"/>
    <x v="0"/>
    <s v="High"/>
  </r>
  <r>
    <x v="45"/>
    <x v="1"/>
    <n v="42.4"/>
    <x v="4"/>
    <x v="1"/>
    <x v="3"/>
    <x v="1295"/>
    <x v="2"/>
    <s v="60+"/>
    <x v="0"/>
    <s v="High"/>
  </r>
  <r>
    <x v="45"/>
    <x v="0"/>
    <n v="42.46"/>
    <x v="4"/>
    <x v="1"/>
    <x v="1"/>
    <x v="1296"/>
    <x v="2"/>
    <s v="60+"/>
    <x v="0"/>
    <s v="High"/>
  </r>
  <r>
    <x v="45"/>
    <x v="1"/>
    <n v="42.655000000000001"/>
    <x v="4"/>
    <x v="1"/>
    <x v="2"/>
    <x v="1297"/>
    <x v="2"/>
    <s v="60+"/>
    <x v="0"/>
    <s v="High"/>
  </r>
  <r>
    <x v="45"/>
    <x v="0"/>
    <n v="42.68"/>
    <x v="4"/>
    <x v="1"/>
    <x v="2"/>
    <x v="1298"/>
    <x v="2"/>
    <s v="60+"/>
    <x v="0"/>
    <s v="High"/>
  </r>
  <r>
    <x v="45"/>
    <x v="1"/>
    <n v="42.75"/>
    <x v="4"/>
    <x v="0"/>
    <x v="1"/>
    <x v="1299"/>
    <x v="2"/>
    <s v="60+"/>
    <x v="0"/>
    <s v="High"/>
  </r>
  <r>
    <x v="45"/>
    <x v="1"/>
    <n v="42.9"/>
    <x v="4"/>
    <x v="0"/>
    <x v="2"/>
    <x v="1300"/>
    <x v="2"/>
    <s v="60+"/>
    <x v="0"/>
    <s v="High"/>
  </r>
  <r>
    <x v="45"/>
    <x v="0"/>
    <n v="42.9"/>
    <x v="4"/>
    <x v="1"/>
    <x v="0"/>
    <x v="1301"/>
    <x v="2"/>
    <s v="60+"/>
    <x v="0"/>
    <s v="High"/>
  </r>
  <r>
    <x v="45"/>
    <x v="1"/>
    <n v="42.94"/>
    <x v="4"/>
    <x v="0"/>
    <x v="0"/>
    <x v="1302"/>
    <x v="2"/>
    <s v="60+"/>
    <x v="0"/>
    <s v="High"/>
  </r>
  <r>
    <x v="45"/>
    <x v="1"/>
    <n v="43.01"/>
    <x v="4"/>
    <x v="0"/>
    <x v="3"/>
    <x v="1303"/>
    <x v="2"/>
    <s v="60+"/>
    <x v="0"/>
    <s v="High"/>
  </r>
  <r>
    <x v="45"/>
    <x v="0"/>
    <n v="43.12"/>
    <x v="4"/>
    <x v="1"/>
    <x v="1"/>
    <x v="1304"/>
    <x v="2"/>
    <s v="60+"/>
    <x v="0"/>
    <s v="High"/>
  </r>
  <r>
    <x v="45"/>
    <x v="0"/>
    <n v="43.34"/>
    <x v="4"/>
    <x v="0"/>
    <x v="3"/>
    <x v="1305"/>
    <x v="2"/>
    <s v="60+"/>
    <x v="0"/>
    <s v="High"/>
  </r>
  <r>
    <x v="45"/>
    <x v="1"/>
    <n v="43.4"/>
    <x v="4"/>
    <x v="0"/>
    <x v="2"/>
    <x v="1306"/>
    <x v="2"/>
    <s v="60+"/>
    <x v="0"/>
    <s v="High"/>
  </r>
  <r>
    <x v="45"/>
    <x v="0"/>
    <n v="43.7"/>
    <x v="4"/>
    <x v="0"/>
    <x v="0"/>
    <x v="1307"/>
    <x v="2"/>
    <s v="60+"/>
    <x v="0"/>
    <s v="High"/>
  </r>
  <r>
    <x v="45"/>
    <x v="1"/>
    <n v="43.89"/>
    <x v="4"/>
    <x v="1"/>
    <x v="0"/>
    <x v="1308"/>
    <x v="2"/>
    <s v="60+"/>
    <x v="0"/>
    <s v="High"/>
  </r>
  <r>
    <x v="45"/>
    <x v="1"/>
    <n v="43.89"/>
    <x v="4"/>
    <x v="1"/>
    <x v="2"/>
    <x v="1309"/>
    <x v="2"/>
    <s v="60+"/>
    <x v="0"/>
    <s v="High"/>
  </r>
  <r>
    <x v="45"/>
    <x v="0"/>
    <n v="44"/>
    <x v="4"/>
    <x v="1"/>
    <x v="2"/>
    <x v="1310"/>
    <x v="2"/>
    <s v="60+"/>
    <x v="0"/>
    <s v="High"/>
  </r>
  <r>
    <x v="45"/>
    <x v="1"/>
    <n v="44.22"/>
    <x v="4"/>
    <x v="1"/>
    <x v="0"/>
    <x v="1311"/>
    <x v="2"/>
    <s v="60+"/>
    <x v="0"/>
    <s v="High"/>
  </r>
  <r>
    <x v="45"/>
    <x v="0"/>
    <n v="44.22"/>
    <x v="4"/>
    <x v="0"/>
    <x v="0"/>
    <x v="1312"/>
    <x v="2"/>
    <s v="60+"/>
    <x v="0"/>
    <s v="High"/>
  </r>
  <r>
    <x v="45"/>
    <x v="0"/>
    <n v="44.7"/>
    <x v="4"/>
    <x v="0"/>
    <x v="2"/>
    <x v="1313"/>
    <x v="2"/>
    <s v="60+"/>
    <x v="0"/>
    <s v="High"/>
  </r>
  <r>
    <x v="45"/>
    <x v="1"/>
    <n v="44.744999999999997"/>
    <x v="4"/>
    <x v="1"/>
    <x v="3"/>
    <x v="1314"/>
    <x v="2"/>
    <s v="60+"/>
    <x v="0"/>
    <s v="High"/>
  </r>
  <r>
    <x v="46"/>
    <x v="0"/>
    <n v="44.77"/>
    <x v="4"/>
    <x v="1"/>
    <x v="0"/>
    <x v="1315"/>
    <x v="2"/>
    <s v="60+"/>
    <x v="0"/>
    <s v="High"/>
  </r>
  <r>
    <x v="46"/>
    <x v="1"/>
    <n v="44.88"/>
    <x v="4"/>
    <x v="1"/>
    <x v="1"/>
    <x v="1316"/>
    <x v="2"/>
    <s v="60+"/>
    <x v="0"/>
    <s v="High"/>
  </r>
  <r>
    <x v="46"/>
    <x v="1"/>
    <n v="45.32"/>
    <x v="4"/>
    <x v="1"/>
    <x v="3"/>
    <x v="1317"/>
    <x v="2"/>
    <s v="60+"/>
    <x v="0"/>
    <s v="High"/>
  </r>
  <r>
    <x v="46"/>
    <x v="0"/>
    <n v="45.43"/>
    <x v="4"/>
    <x v="1"/>
    <x v="2"/>
    <x v="1318"/>
    <x v="2"/>
    <s v="60+"/>
    <x v="0"/>
    <s v="High"/>
  </r>
  <r>
    <x v="46"/>
    <x v="1"/>
    <n v="45.54"/>
    <x v="5"/>
    <x v="1"/>
    <x v="2"/>
    <x v="1319"/>
    <x v="2"/>
    <s v="60+"/>
    <x v="0"/>
    <s v="High"/>
  </r>
  <r>
    <x v="46"/>
    <x v="1"/>
    <n v="45.9"/>
    <x v="5"/>
    <x v="0"/>
    <x v="3"/>
    <x v="1320"/>
    <x v="2"/>
    <s v="60+"/>
    <x v="0"/>
    <s v="High"/>
  </r>
  <r>
    <x v="46"/>
    <x v="1"/>
    <n v="46.09"/>
    <x v="5"/>
    <x v="1"/>
    <x v="1"/>
    <x v="1321"/>
    <x v="2"/>
    <s v="60+"/>
    <x v="0"/>
    <s v="High"/>
  </r>
  <r>
    <x v="46"/>
    <x v="0"/>
    <n v="46.2"/>
    <x v="5"/>
    <x v="0"/>
    <x v="1"/>
    <x v="1322"/>
    <x v="2"/>
    <s v="60+"/>
    <x v="0"/>
    <s v="High"/>
  </r>
  <r>
    <x v="46"/>
    <x v="1"/>
    <n v="46.53"/>
    <x v="5"/>
    <x v="1"/>
    <x v="2"/>
    <x v="1323"/>
    <x v="2"/>
    <s v="60+"/>
    <x v="0"/>
    <s v="High"/>
  </r>
  <r>
    <x v="46"/>
    <x v="1"/>
    <n v="46.53"/>
    <x v="5"/>
    <x v="1"/>
    <x v="3"/>
    <x v="1324"/>
    <x v="2"/>
    <s v="60+"/>
    <x v="0"/>
    <s v="High"/>
  </r>
  <r>
    <x v="46"/>
    <x v="0"/>
    <n v="46.53"/>
    <x v="5"/>
    <x v="1"/>
    <x v="3"/>
    <x v="1325"/>
    <x v="2"/>
    <s v="60+"/>
    <x v="0"/>
    <s v="High"/>
  </r>
  <r>
    <x v="46"/>
    <x v="1"/>
    <n v="46.7"/>
    <x v="5"/>
    <x v="1"/>
    <x v="1"/>
    <x v="1326"/>
    <x v="2"/>
    <s v="60+"/>
    <x v="0"/>
    <s v="High"/>
  </r>
  <r>
    <x v="46"/>
    <x v="0"/>
    <n v="46.75"/>
    <x v="5"/>
    <x v="1"/>
    <x v="3"/>
    <x v="1327"/>
    <x v="2"/>
    <s v="60+"/>
    <x v="0"/>
    <s v="High"/>
  </r>
  <r>
    <x v="46"/>
    <x v="1"/>
    <n v="47.41"/>
    <x v="5"/>
    <x v="1"/>
    <x v="0"/>
    <x v="1328"/>
    <x v="2"/>
    <s v="60+"/>
    <x v="0"/>
    <s v="High"/>
  </r>
  <r>
    <x v="46"/>
    <x v="0"/>
    <n v="47.52"/>
    <x v="5"/>
    <x v="1"/>
    <x v="1"/>
    <x v="1329"/>
    <x v="2"/>
    <s v="60+"/>
    <x v="0"/>
    <s v="High"/>
  </r>
  <r>
    <x v="46"/>
    <x v="0"/>
    <n v="47.6"/>
    <x v="5"/>
    <x v="1"/>
    <x v="0"/>
    <x v="1330"/>
    <x v="2"/>
    <s v="60+"/>
    <x v="0"/>
    <s v="High"/>
  </r>
  <r>
    <x v="46"/>
    <x v="0"/>
    <n v="47.74"/>
    <x v="5"/>
    <x v="1"/>
    <x v="0"/>
    <x v="1331"/>
    <x v="2"/>
    <s v="60+"/>
    <x v="0"/>
    <s v="High"/>
  </r>
  <r>
    <x v="46"/>
    <x v="1"/>
    <n v="48.07"/>
    <x v="5"/>
    <x v="1"/>
    <x v="2"/>
    <x v="1332"/>
    <x v="2"/>
    <s v="60+"/>
    <x v="0"/>
    <s v="High"/>
  </r>
  <r>
    <x v="46"/>
    <x v="0"/>
    <n v="49.06"/>
    <x v="5"/>
    <x v="1"/>
    <x v="3"/>
    <x v="1333"/>
    <x v="2"/>
    <s v="60+"/>
    <x v="0"/>
    <s v="High"/>
  </r>
  <r>
    <x v="46"/>
    <x v="0"/>
    <n v="50.38"/>
    <x v="5"/>
    <x v="1"/>
    <x v="1"/>
    <x v="1334"/>
    <x v="2"/>
    <s v="60+"/>
    <x v="0"/>
    <s v="High"/>
  </r>
  <r>
    <x v="46"/>
    <x v="0"/>
    <n v="52.58"/>
    <x v="5"/>
    <x v="1"/>
    <x v="0"/>
    <x v="1335"/>
    <x v="2"/>
    <s v="60+"/>
    <x v="0"/>
    <s v="High"/>
  </r>
  <r>
    <x v="46"/>
    <x v="0"/>
    <n v="53.13"/>
    <x v="5"/>
    <x v="0"/>
    <x v="2"/>
    <x v="1336"/>
    <x v="2"/>
    <s v="60+"/>
    <x v="0"/>
    <s v="High"/>
  </r>
  <r>
    <x v="47"/>
    <x v="2"/>
    <m/>
    <x v="6"/>
    <x v="2"/>
    <x v="4"/>
    <x v="1337"/>
    <x v="3"/>
    <m/>
    <x v="1"/>
    <m/>
  </r>
  <r>
    <x v="47"/>
    <x v="2"/>
    <m/>
    <x v="6"/>
    <x v="2"/>
    <x v="4"/>
    <x v="1337"/>
    <x v="3"/>
    <m/>
    <x v="1"/>
    <m/>
  </r>
  <r>
    <x v="47"/>
    <x v="2"/>
    <m/>
    <x v="6"/>
    <x v="2"/>
    <x v="4"/>
    <x v="1337"/>
    <x v="3"/>
    <m/>
    <x v="1"/>
    <m/>
  </r>
  <r>
    <x v="47"/>
    <x v="2"/>
    <m/>
    <x v="6"/>
    <x v="2"/>
    <x v="4"/>
    <x v="1337"/>
    <x v="3"/>
    <m/>
    <x v="1"/>
    <m/>
  </r>
  <r>
    <x v="47"/>
    <x v="2"/>
    <m/>
    <x v="6"/>
    <x v="2"/>
    <x v="4"/>
    <x v="1337"/>
    <x v="3"/>
    <m/>
    <x v="1"/>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7">
  <r>
    <n v="18"/>
    <s v="Female"/>
    <n v="15.96"/>
    <n v="0"/>
    <s v="Yes"/>
    <s v="Southwest"/>
    <n v="1121.8739"/>
    <s v="Youth"/>
    <s v="18-25"/>
    <x v="0"/>
    <s v="Low"/>
  </r>
  <r>
    <n v="18"/>
    <s v="Male"/>
    <n v="16.815000000000001"/>
    <n v="0"/>
    <s v="No"/>
    <s v="Southeast"/>
    <n v="1131.5065999999999"/>
    <s v="Youth"/>
    <s v="18-25"/>
    <x v="0"/>
    <s v="Low"/>
  </r>
  <r>
    <n v="18"/>
    <s v="Male"/>
    <n v="16.815000000000001"/>
    <n v="0"/>
    <s v="No"/>
    <s v="Southeast"/>
    <n v="1135.9407000000001"/>
    <s v="Youth"/>
    <s v="18-25"/>
    <x v="0"/>
    <s v="Low"/>
  </r>
  <r>
    <n v="18"/>
    <s v="Male"/>
    <n v="17.195"/>
    <n v="0"/>
    <s v="No"/>
    <s v="Northwest"/>
    <n v="1136.3994"/>
    <s v="Youth"/>
    <s v="18-25"/>
    <x v="0"/>
    <s v="Low"/>
  </r>
  <r>
    <n v="18"/>
    <s v="Male"/>
    <n v="17.29"/>
    <n v="0"/>
    <s v="No"/>
    <s v="Northwest"/>
    <n v="1137.011"/>
    <s v="Youth"/>
    <s v="18-25"/>
    <x v="0"/>
    <s v="Low"/>
  </r>
  <r>
    <n v="18"/>
    <s v="Female"/>
    <n v="17.29"/>
    <n v="0"/>
    <s v="No"/>
    <s v="Southeast"/>
    <n v="1137.4697000000001"/>
    <s v="Youth"/>
    <s v="18-25"/>
    <x v="0"/>
    <s v="Low"/>
  </r>
  <r>
    <n v="18"/>
    <s v="Female"/>
    <n v="17.29"/>
    <n v="0"/>
    <s v="No"/>
    <s v="Southeast"/>
    <n v="1141.4450999999999"/>
    <s v="Youth"/>
    <s v="18-25"/>
    <x v="0"/>
    <s v="Low"/>
  </r>
  <r>
    <n v="18"/>
    <s v="Female"/>
    <n v="17.385000000000002"/>
    <n v="0"/>
    <s v="No"/>
    <s v="Northwest"/>
    <n v="1146.7965999999999"/>
    <s v="Youth"/>
    <s v="18-25"/>
    <x v="0"/>
    <s v="Low"/>
  </r>
  <r>
    <n v="18"/>
    <s v="Male"/>
    <n v="17.399999999999999"/>
    <n v="0"/>
    <s v="No"/>
    <s v="Northeast"/>
    <n v="1149.3959"/>
    <s v="Youth"/>
    <s v="18-25"/>
    <x v="0"/>
    <s v="Low"/>
  </r>
  <r>
    <n v="18"/>
    <s v="Female"/>
    <n v="17.48"/>
    <n v="0"/>
    <s v="No"/>
    <s v="Northwest"/>
    <n v="1163.4627"/>
    <s v="Youth"/>
    <s v="18-25"/>
    <x v="0"/>
    <s v="Low"/>
  </r>
  <r>
    <n v="18"/>
    <s v="Male"/>
    <n v="17.670000000000002"/>
    <n v="0"/>
    <s v="No"/>
    <s v="Northeast"/>
    <n v="1241.5650000000001"/>
    <s v="Youth"/>
    <s v="18-25"/>
    <x v="0"/>
    <s v="Low"/>
  </r>
  <r>
    <n v="18"/>
    <s v="Female"/>
    <n v="17.765000000000001"/>
    <n v="0"/>
    <s v="Yes"/>
    <s v="Southeast"/>
    <n v="1242.26"/>
    <s v="Youth"/>
    <s v="18-25"/>
    <x v="0"/>
    <s v="Low"/>
  </r>
  <r>
    <n v="18"/>
    <s v="Male"/>
    <n v="17.8"/>
    <n v="0"/>
    <s v="No"/>
    <s v="Southwest"/>
    <n v="1242.816"/>
    <s v="Youth"/>
    <s v="18-25"/>
    <x v="0"/>
    <s v="Low"/>
  </r>
  <r>
    <n v="18"/>
    <s v="Female"/>
    <n v="17.86"/>
    <n v="0"/>
    <s v="No"/>
    <s v="Southeast"/>
    <n v="1252.4069999999999"/>
    <s v="Youth"/>
    <s v="18-25"/>
    <x v="0"/>
    <s v="Low"/>
  </r>
  <r>
    <n v="18"/>
    <s v="Male"/>
    <n v="17.954999999999998"/>
    <n v="0"/>
    <s v="Yes"/>
    <s v="Southeast"/>
    <n v="1253.9359999999999"/>
    <s v="Youth"/>
    <s v="18-25"/>
    <x v="0"/>
    <s v="Low"/>
  </r>
  <r>
    <n v="18"/>
    <s v="Male"/>
    <n v="18.05"/>
    <n v="0"/>
    <s v="No"/>
    <s v="Southwest"/>
    <n v="1256.299"/>
    <s v="Youth"/>
    <s v="18-25"/>
    <x v="0"/>
    <s v="Low"/>
  </r>
  <r>
    <n v="18"/>
    <s v="Female"/>
    <n v="18.3"/>
    <n v="0"/>
    <s v="No"/>
    <s v="Northeast"/>
    <n v="1261.442"/>
    <s v="Youth"/>
    <s v="18-25"/>
    <x v="0"/>
    <s v="Low"/>
  </r>
  <r>
    <n v="18"/>
    <s v="Male"/>
    <n v="18.335000000000001"/>
    <n v="0"/>
    <s v="No"/>
    <s v="Northeast"/>
    <n v="1261.8589999999999"/>
    <s v="Youth"/>
    <s v="18-25"/>
    <x v="0"/>
    <s v="Low"/>
  </r>
  <r>
    <n v="18"/>
    <s v="Male"/>
    <n v="18.335000000000001"/>
    <n v="0"/>
    <s v="No"/>
    <s v="Southwest"/>
    <n v="1263.249"/>
    <s v="Youth"/>
    <s v="18-25"/>
    <x v="0"/>
    <s v="Low"/>
  </r>
  <r>
    <n v="18"/>
    <s v="Male"/>
    <n v="18.335000000000001"/>
    <n v="0"/>
    <s v="Yes"/>
    <s v="Southwest"/>
    <n v="1391.5287000000001"/>
    <s v="Youth"/>
    <s v="18-25"/>
    <x v="0"/>
    <s v="Low"/>
  </r>
  <r>
    <n v="18"/>
    <s v="Female"/>
    <n v="18.5"/>
    <n v="0"/>
    <s v="No"/>
    <s v="Northeast"/>
    <n v="1515.3449000000001"/>
    <s v="Youth"/>
    <s v="18-25"/>
    <x v="1"/>
    <s v="Low"/>
  </r>
  <r>
    <n v="18"/>
    <s v="Female"/>
    <n v="18.600000000000001"/>
    <n v="0"/>
    <s v="No"/>
    <s v="Southwest"/>
    <n v="1526.3119999999999"/>
    <s v="Youth"/>
    <s v="18-25"/>
    <x v="1"/>
    <s v="Low"/>
  </r>
  <r>
    <n v="18"/>
    <s v="Male"/>
    <n v="18.715"/>
    <n v="0"/>
    <s v="No"/>
    <s v="Southeast"/>
    <n v="1532.4697000000001"/>
    <s v="Youth"/>
    <s v="18-25"/>
    <x v="1"/>
    <s v="Low"/>
  </r>
  <r>
    <n v="18"/>
    <s v="Female"/>
    <n v="18.905000000000001"/>
    <n v="0"/>
    <s v="Yes"/>
    <s v="Northeast"/>
    <n v="1534.3045"/>
    <s v="Youth"/>
    <s v="18-25"/>
    <x v="1"/>
    <s v="Low"/>
  </r>
  <r>
    <n v="18"/>
    <s v="Male"/>
    <n v="19"/>
    <n v="0"/>
    <s v="No"/>
    <s v="Northwest"/>
    <n v="1607.5101"/>
    <s v="Youth"/>
    <s v="18-25"/>
    <x v="1"/>
    <s v="Low"/>
  </r>
  <r>
    <n v="18"/>
    <s v="Female"/>
    <n v="19.094999999999999"/>
    <n v="0"/>
    <s v="No"/>
    <s v="Southeast"/>
    <n v="1615.7666999999999"/>
    <s v="Youth"/>
    <s v="18-25"/>
    <x v="1"/>
    <s v="Low"/>
  </r>
  <r>
    <n v="18"/>
    <s v="Female"/>
    <n v="19.190000000000001"/>
    <n v="0"/>
    <s v="No"/>
    <s v="Northeast"/>
    <n v="1621.3402000000001"/>
    <s v="Youth"/>
    <s v="18-25"/>
    <x v="1"/>
    <s v="Low"/>
  </r>
  <r>
    <n v="18"/>
    <s v="Female"/>
    <n v="19.3"/>
    <n v="0"/>
    <s v="No"/>
    <s v="Northwest"/>
    <n v="1621.8827000000001"/>
    <s v="Youth"/>
    <s v="18-25"/>
    <x v="1"/>
    <s v="Low"/>
  </r>
  <r>
    <n v="18"/>
    <s v="Male"/>
    <n v="19.475000000000001"/>
    <n v="0"/>
    <s v="No"/>
    <s v="Northwest"/>
    <n v="1622.1885"/>
    <s v="Youth"/>
    <s v="18-25"/>
    <x v="1"/>
    <s v="Low"/>
  </r>
  <r>
    <n v="18"/>
    <s v="Male"/>
    <n v="19.57"/>
    <n v="0"/>
    <s v="Yes"/>
    <s v="Southwest"/>
    <n v="1625.4337499999999"/>
    <s v="Youth"/>
    <s v="18-25"/>
    <x v="1"/>
    <s v="Low"/>
  </r>
  <r>
    <n v="18"/>
    <s v="Male"/>
    <n v="19.8"/>
    <n v="0"/>
    <s v="Yes"/>
    <s v="Southwest"/>
    <n v="1627.2824499999999"/>
    <s v="Youth"/>
    <s v="18-25"/>
    <x v="1"/>
    <s v="Low"/>
  </r>
  <r>
    <n v="18"/>
    <s v="Female"/>
    <n v="19.8"/>
    <n v="0"/>
    <s v="No"/>
    <s v="Northeast"/>
    <n v="1628.4709"/>
    <s v="Youth"/>
    <s v="18-25"/>
    <x v="1"/>
    <s v="Low"/>
  </r>
  <r>
    <n v="18"/>
    <s v="Female"/>
    <n v="19.8"/>
    <n v="0"/>
    <s v="No"/>
    <s v="Southwest"/>
    <n v="1629.8335"/>
    <s v="Youth"/>
    <s v="18-25"/>
    <x v="1"/>
    <s v="Low"/>
  </r>
  <r>
    <n v="18"/>
    <s v="Male"/>
    <n v="19.855"/>
    <n v="0"/>
    <s v="No"/>
    <s v="Northwest"/>
    <n v="1631.6683"/>
    <s v="Youth"/>
    <s v="18-25"/>
    <x v="1"/>
    <s v="Low"/>
  </r>
  <r>
    <n v="18"/>
    <s v="Male"/>
    <n v="19.855"/>
    <n v="0"/>
    <s v="Yes"/>
    <s v="Southwest"/>
    <n v="1631.8212000000001"/>
    <s v="Youth"/>
    <s v="18-25"/>
    <x v="1"/>
    <s v="Low"/>
  </r>
  <r>
    <n v="18"/>
    <s v="Male"/>
    <n v="19.95"/>
    <n v="0"/>
    <s v="No"/>
    <s v="Northwest"/>
    <n v="1632.0362500000001"/>
    <s v="Youth"/>
    <s v="18-25"/>
    <x v="1"/>
    <s v="Low"/>
  </r>
  <r>
    <n v="18"/>
    <s v="Female"/>
    <n v="19.95"/>
    <n v="0"/>
    <s v="No"/>
    <s v="Northwest"/>
    <n v="1632.5644500000001"/>
    <s v="Youth"/>
    <s v="18-25"/>
    <x v="1"/>
    <s v="Low"/>
  </r>
  <r>
    <n v="18"/>
    <s v="Male"/>
    <n v="19.95"/>
    <n v="0"/>
    <s v="No"/>
    <s v="Southwest"/>
    <n v="1633.0444"/>
    <s v="Youth"/>
    <s v="18-25"/>
    <x v="1"/>
    <s v="Low"/>
  </r>
  <r>
    <n v="18"/>
    <s v="Male"/>
    <n v="19.95"/>
    <n v="0"/>
    <s v="Yes"/>
    <s v="Northeast"/>
    <n v="1633.9618"/>
    <s v="Youth"/>
    <s v="18-25"/>
    <x v="1"/>
    <s v="Low"/>
  </r>
  <r>
    <n v="18"/>
    <s v="Male"/>
    <n v="19.95"/>
    <n v="0"/>
    <s v="Yes"/>
    <s v="Southwest"/>
    <n v="1634.5734"/>
    <s v="Youth"/>
    <s v="18-25"/>
    <x v="1"/>
    <s v="Low"/>
  </r>
  <r>
    <n v="18"/>
    <s v="Female"/>
    <n v="19.95"/>
    <n v="0"/>
    <s v="No"/>
    <s v="Northeast"/>
    <n v="1635.7336499999999"/>
    <s v="Youth"/>
    <s v="18-25"/>
    <x v="1"/>
    <s v="Low"/>
  </r>
  <r>
    <n v="18"/>
    <s v="Female"/>
    <n v="20.045000000000002"/>
    <n v="0"/>
    <s v="No"/>
    <s v="Southeast"/>
    <n v="1639.5631000000001"/>
    <s v="Youth"/>
    <s v="18-25"/>
    <x v="1"/>
    <s v="Low"/>
  </r>
  <r>
    <n v="18"/>
    <s v="Male"/>
    <n v="20.045000000000002"/>
    <n v="0"/>
    <s v="No"/>
    <s v="Southeast"/>
    <n v="1646.4296999999999"/>
    <s v="Youth"/>
    <s v="18-25"/>
    <x v="1"/>
    <s v="Low"/>
  </r>
  <r>
    <n v="18"/>
    <s v="Female"/>
    <n v="20.100000000000001"/>
    <n v="0"/>
    <s v="No"/>
    <s v="Southeast"/>
    <n v="1664.9996000000001"/>
    <s v="Youth"/>
    <s v="18-25"/>
    <x v="1"/>
    <s v="Low"/>
  </r>
  <r>
    <n v="18"/>
    <s v="Male"/>
    <n v="20.13"/>
    <n v="0"/>
    <s v="No"/>
    <s v="Northeast"/>
    <n v="1674.6323"/>
    <s v="Youth"/>
    <s v="18-25"/>
    <x v="1"/>
    <s v="Low"/>
  </r>
  <r>
    <n v="18"/>
    <s v="Male"/>
    <n v="20.234999999999999"/>
    <n v="0"/>
    <s v="No"/>
    <s v="Southwest"/>
    <n v="1682.597"/>
    <s v="Youth"/>
    <s v="18-25"/>
    <x v="1"/>
    <s v="Low"/>
  </r>
  <r>
    <n v="18"/>
    <s v="Female"/>
    <n v="20.234999999999999"/>
    <n v="0"/>
    <s v="No"/>
    <s v="Northeast"/>
    <n v="1694.7963999999999"/>
    <s v="Youth"/>
    <s v="18-25"/>
    <x v="1"/>
    <s v="Low"/>
  </r>
  <r>
    <n v="18"/>
    <s v="Female"/>
    <n v="20.234999999999999"/>
    <n v="0"/>
    <s v="No"/>
    <s v="Northwest"/>
    <n v="1702.4553000000001"/>
    <s v="Youth"/>
    <s v="18-25"/>
    <x v="1"/>
    <s v="Low"/>
  </r>
  <r>
    <n v="18"/>
    <s v="Female"/>
    <n v="20.234999999999999"/>
    <n v="0"/>
    <s v="No"/>
    <s v="Southeast"/>
    <n v="1704.5681"/>
    <s v="Youth"/>
    <s v="18-25"/>
    <x v="1"/>
    <s v="Low"/>
  </r>
  <r>
    <n v="18"/>
    <s v="Male"/>
    <n v="20.3"/>
    <n v="0"/>
    <s v="Yes"/>
    <s v="Southeast"/>
    <n v="1704.7001499999999"/>
    <s v="Youth"/>
    <s v="18-25"/>
    <x v="1"/>
    <s v="Low"/>
  </r>
  <r>
    <n v="18"/>
    <s v="Female"/>
    <n v="20.350000000000001"/>
    <n v="0"/>
    <s v="No"/>
    <s v="Northeast"/>
    <n v="1705.6244999999999"/>
    <s v="Youth"/>
    <s v="18-25"/>
    <x v="1"/>
    <s v="Low"/>
  </r>
  <r>
    <n v="18"/>
    <s v="Female"/>
    <n v="20.399999999999999"/>
    <n v="0"/>
    <s v="No"/>
    <s v="Northwest"/>
    <n v="1708.0014000000001"/>
    <s v="Youth"/>
    <s v="18-25"/>
    <x v="1"/>
    <s v="Low"/>
  </r>
  <r>
    <n v="18"/>
    <s v="Male"/>
    <n v="20.425000000000001"/>
    <n v="0"/>
    <s v="Yes"/>
    <s v="Southwest"/>
    <n v="1708.9257500000001"/>
    <s v="Youth"/>
    <s v="18-25"/>
    <x v="1"/>
    <s v="Low"/>
  </r>
  <r>
    <n v="18"/>
    <s v="Male"/>
    <n v="20.52"/>
    <n v="0"/>
    <s v="Yes"/>
    <s v="Southeast"/>
    <n v="1711.0268000000001"/>
    <s v="Youth"/>
    <s v="18-25"/>
    <x v="1"/>
    <s v="Low"/>
  </r>
  <r>
    <n v="18"/>
    <s v="Female"/>
    <n v="20.52"/>
    <n v="0"/>
    <s v="No"/>
    <s v="Northwest"/>
    <n v="1712.2270000000001"/>
    <s v="Youth"/>
    <s v="18-25"/>
    <x v="1"/>
    <s v="Low"/>
  </r>
  <r>
    <n v="18"/>
    <s v="Male"/>
    <n v="20.6"/>
    <n v="0"/>
    <s v="Yes"/>
    <s v="Northwest"/>
    <n v="1719.4363000000001"/>
    <s v="Youth"/>
    <s v="18-25"/>
    <x v="1"/>
    <s v="Low"/>
  </r>
  <r>
    <n v="18"/>
    <s v="Female"/>
    <n v="20.6"/>
    <n v="0"/>
    <s v="No"/>
    <s v="Northeast"/>
    <n v="1720.3536999999999"/>
    <s v="Youth"/>
    <s v="18-25"/>
    <x v="1"/>
    <s v="Low"/>
  </r>
  <r>
    <n v="18"/>
    <s v="Male"/>
    <n v="20.614999999999998"/>
    <n v="0"/>
    <s v="Yes"/>
    <s v="Southeast"/>
    <n v="1725.5523000000001"/>
    <s v="Youth"/>
    <s v="18-25"/>
    <x v="1"/>
    <s v="Low"/>
  </r>
  <r>
    <n v="18"/>
    <s v="Female"/>
    <n v="20.7"/>
    <n v="0"/>
    <s v="Yes"/>
    <s v="Southeast"/>
    <n v="1727.54"/>
    <s v="Youth"/>
    <s v="18-25"/>
    <x v="1"/>
    <s v="Low"/>
  </r>
  <r>
    <n v="18"/>
    <s v="Female"/>
    <n v="20.79"/>
    <n v="0"/>
    <s v="No"/>
    <s v="Northwest"/>
    <n v="1727.7850000000001"/>
    <s v="Youth"/>
    <s v="18-25"/>
    <x v="1"/>
    <s v="Low"/>
  </r>
  <r>
    <n v="18"/>
    <s v="Male"/>
    <n v="20.8"/>
    <n v="0"/>
    <s v="No"/>
    <s v="Northeast"/>
    <n v="1728.8969999999999"/>
    <s v="Youth"/>
    <s v="18-25"/>
    <x v="1"/>
    <s v="Low"/>
  </r>
  <r>
    <n v="18"/>
    <s v="Male"/>
    <n v="20.8"/>
    <n v="0"/>
    <s v="No"/>
    <s v="Southeast"/>
    <n v="1731.6769999999999"/>
    <s v="Youth"/>
    <s v="18-25"/>
    <x v="1"/>
    <s v="Low"/>
  </r>
  <r>
    <n v="18"/>
    <s v="Male"/>
    <n v="20.9"/>
    <n v="0"/>
    <s v="No"/>
    <s v="Northwest"/>
    <n v="1737.376"/>
    <s v="Youth"/>
    <s v="18-25"/>
    <x v="1"/>
    <s v="Low"/>
  </r>
  <r>
    <n v="18"/>
    <s v="Female"/>
    <n v="20.9"/>
    <n v="0"/>
    <s v="No"/>
    <s v="Northwest"/>
    <n v="1743.2139999999999"/>
    <s v="Youth"/>
    <s v="18-25"/>
    <x v="1"/>
    <s v="Low"/>
  </r>
  <r>
    <n v="18"/>
    <s v="Female"/>
    <n v="21.01"/>
    <n v="0"/>
    <s v="Yes"/>
    <s v="Northwest"/>
    <n v="1744.4649999999999"/>
    <s v="Youth"/>
    <s v="18-25"/>
    <x v="1"/>
    <s v="Low"/>
  </r>
  <r>
    <n v="18"/>
    <s v="Female"/>
    <n v="21.09"/>
    <n v="0"/>
    <s v="No"/>
    <s v="Southwest"/>
    <n v="1748.7739999999999"/>
    <s v="Youth"/>
    <s v="18-25"/>
    <x v="1"/>
    <s v="Low"/>
  </r>
  <r>
    <n v="18"/>
    <s v="Female"/>
    <n v="21.12"/>
    <n v="0"/>
    <s v="No"/>
    <s v="Southwest"/>
    <n v="1759.338"/>
    <s v="Youth"/>
    <s v="18-25"/>
    <x v="1"/>
    <s v="Low"/>
  </r>
  <r>
    <n v="18"/>
    <s v="Male"/>
    <n v="21.28"/>
    <n v="0"/>
    <s v="No"/>
    <s v="Northwest"/>
    <n v="1769.5316499999999"/>
    <s v="Youth"/>
    <s v="18-25"/>
    <x v="1"/>
    <s v="Low"/>
  </r>
  <r>
    <n v="18"/>
    <s v="Female"/>
    <n v="21.3"/>
    <n v="0"/>
    <s v="No"/>
    <s v="Southeast"/>
    <n v="1815.8759"/>
    <s v="Youth"/>
    <s v="18-25"/>
    <x v="1"/>
    <s v="Low"/>
  </r>
  <r>
    <n v="19"/>
    <s v="Male"/>
    <n v="21.375"/>
    <n v="0"/>
    <s v="Yes"/>
    <s v="Southeast"/>
    <n v="1824.2854"/>
    <s v="Youth"/>
    <s v="18-25"/>
    <x v="1"/>
    <s v="Low"/>
  </r>
  <r>
    <n v="19"/>
    <s v="Female"/>
    <n v="21.375"/>
    <n v="0"/>
    <s v="Yes"/>
    <s v="Southeast"/>
    <n v="1826.8430000000001"/>
    <s v="Youth"/>
    <s v="18-25"/>
    <x v="1"/>
    <s v="Low"/>
  </r>
  <r>
    <n v="19"/>
    <s v="Male"/>
    <n v="21.4"/>
    <n v="0"/>
    <s v="No"/>
    <s v="Northeast"/>
    <n v="1832.0940000000001"/>
    <s v="Youth"/>
    <s v="18-25"/>
    <x v="1"/>
    <s v="Low"/>
  </r>
  <r>
    <n v="19"/>
    <s v="Female"/>
    <n v="21.4"/>
    <n v="0"/>
    <s v="No"/>
    <s v="Southwest"/>
    <n v="1837.2370000000001"/>
    <s v="Youth"/>
    <s v="18-25"/>
    <x v="1"/>
    <s v="Low"/>
  </r>
  <r>
    <n v="19"/>
    <s v="Male"/>
    <n v="21.47"/>
    <n v="0"/>
    <s v="No"/>
    <s v="Southeast"/>
    <n v="1837.2819"/>
    <s v="Youth"/>
    <s v="18-25"/>
    <x v="1"/>
    <s v="Low"/>
  </r>
  <r>
    <n v="19"/>
    <s v="Male"/>
    <n v="21.47"/>
    <n v="0"/>
    <s v="No"/>
    <s v="Southwest"/>
    <n v="1842.519"/>
    <s v="Youth"/>
    <s v="18-25"/>
    <x v="1"/>
    <s v="Low"/>
  </r>
  <r>
    <n v="19"/>
    <s v="Male"/>
    <n v="21.47"/>
    <n v="0"/>
    <s v="No"/>
    <s v="Northwest"/>
    <n v="1875.3440000000001"/>
    <s v="Youth"/>
    <s v="18-25"/>
    <x v="1"/>
    <s v="Low"/>
  </r>
  <r>
    <n v="19"/>
    <s v="Female"/>
    <n v="21.5"/>
    <n v="0"/>
    <s v="No"/>
    <s v="Southeast"/>
    <n v="1877.9294"/>
    <s v="Youth"/>
    <s v="18-25"/>
    <x v="1"/>
    <s v="Low"/>
  </r>
  <r>
    <n v="19"/>
    <s v="Male"/>
    <n v="21.56"/>
    <n v="0"/>
    <s v="No"/>
    <s v="Southeast"/>
    <n v="1880.07"/>
    <s v="Youth"/>
    <s v="18-25"/>
    <x v="1"/>
    <s v="Low"/>
  </r>
  <r>
    <n v="19"/>
    <s v="Female"/>
    <n v="21.565000000000001"/>
    <n v="0"/>
    <s v="No"/>
    <s v="Northeast"/>
    <n v="1880.4870000000001"/>
    <s v="Youth"/>
    <s v="18-25"/>
    <x v="1"/>
    <s v="Low"/>
  </r>
  <r>
    <n v="19"/>
    <s v="Female"/>
    <n v="21.66"/>
    <n v="0"/>
    <s v="No"/>
    <s v="Northwest"/>
    <n v="1906.35825"/>
    <s v="Youth"/>
    <s v="18-25"/>
    <x v="1"/>
    <s v="Low"/>
  </r>
  <r>
    <n v="19"/>
    <s v="Male"/>
    <n v="21.66"/>
    <n v="0"/>
    <s v="No"/>
    <s v="Northeast"/>
    <n v="1909.52745"/>
    <s v="Youth"/>
    <s v="18-25"/>
    <x v="1"/>
    <s v="Low"/>
  </r>
  <r>
    <n v="19"/>
    <s v="Female"/>
    <n v="21.66"/>
    <n v="0"/>
    <s v="No"/>
    <s v="Northeast"/>
    <n v="1917.3184000000001"/>
    <s v="Youth"/>
    <s v="18-25"/>
    <x v="1"/>
    <s v="Low"/>
  </r>
  <r>
    <n v="19"/>
    <s v="Male"/>
    <n v="21.7"/>
    <n v="0"/>
    <s v="Yes"/>
    <s v="Southeast"/>
    <n v="1964.78"/>
    <s v="Youth"/>
    <s v="18-25"/>
    <x v="1"/>
    <s v="Low"/>
  </r>
  <r>
    <n v="19"/>
    <s v="Female"/>
    <n v="21.754999999999999"/>
    <n v="0"/>
    <s v="No"/>
    <s v="Northwest"/>
    <n v="1967.0227"/>
    <s v="Youth"/>
    <s v="18-25"/>
    <x v="1"/>
    <s v="Low"/>
  </r>
  <r>
    <n v="19"/>
    <s v="Female"/>
    <n v="21.754999999999999"/>
    <n v="0"/>
    <s v="Yes"/>
    <s v="Southwest"/>
    <n v="1969.614"/>
    <s v="Youth"/>
    <s v="18-25"/>
    <x v="1"/>
    <s v="Low"/>
  </r>
  <r>
    <n v="19"/>
    <s v="Male"/>
    <n v="21.754999999999999"/>
    <n v="0"/>
    <s v="Yes"/>
    <s v="Northwest"/>
    <n v="1972.95"/>
    <s v="Youth"/>
    <s v="18-25"/>
    <x v="1"/>
    <s v="Low"/>
  </r>
  <r>
    <n v="19"/>
    <s v="Female"/>
    <n v="21.754999999999999"/>
    <n v="0"/>
    <s v="Yes"/>
    <s v="Northwest"/>
    <n v="1977.8150000000001"/>
    <s v="Youth"/>
    <s v="18-25"/>
    <x v="1"/>
    <s v="Low"/>
  </r>
  <r>
    <n v="19"/>
    <s v="Female"/>
    <n v="21.78"/>
    <n v="0"/>
    <s v="No"/>
    <s v="Southwest"/>
    <n v="1980.07"/>
    <s v="Youth"/>
    <s v="18-25"/>
    <x v="1"/>
    <s v="Low"/>
  </r>
  <r>
    <n v="19"/>
    <s v="Female"/>
    <n v="21.78"/>
    <n v="0"/>
    <s v="No"/>
    <s v="Northwest"/>
    <n v="1981.5818999999999"/>
    <s v="Youth"/>
    <s v="18-25"/>
    <x v="1"/>
    <s v="Low"/>
  </r>
  <r>
    <n v="19"/>
    <s v="Female"/>
    <n v="21.8"/>
    <n v="0"/>
    <s v="No"/>
    <s v="Northwest"/>
    <n v="1984.4532999999999"/>
    <s v="Youth"/>
    <s v="18-25"/>
    <x v="1"/>
    <s v="Low"/>
  </r>
  <r>
    <n v="19"/>
    <s v="Female"/>
    <n v="21.85"/>
    <n v="0"/>
    <s v="No"/>
    <s v="Southeast"/>
    <n v="1986.9333999999999"/>
    <s v="Youth"/>
    <s v="18-25"/>
    <x v="1"/>
    <s v="Low"/>
  </r>
  <r>
    <n v="19"/>
    <s v="Female"/>
    <n v="21.85"/>
    <n v="0"/>
    <s v="No"/>
    <s v="Northwest"/>
    <n v="2007.9449999999999"/>
    <s v="Youth"/>
    <s v="18-25"/>
    <x v="1"/>
    <s v="Low"/>
  </r>
  <r>
    <n v="19"/>
    <s v="Male"/>
    <n v="21.85"/>
    <n v="0"/>
    <s v="Yes"/>
    <s v="Northeast"/>
    <n v="2020.1769999999999"/>
    <s v="Youth"/>
    <s v="18-25"/>
    <x v="1"/>
    <s v="Low"/>
  </r>
  <r>
    <n v="19"/>
    <s v="Male"/>
    <n v="21.85"/>
    <n v="0"/>
    <s v="No"/>
    <s v="Northwest"/>
    <n v="2020.5523000000001"/>
    <s v="Youth"/>
    <s v="18-25"/>
    <x v="1"/>
    <s v="Low"/>
  </r>
  <r>
    <n v="19"/>
    <s v="Female"/>
    <n v="21.89"/>
    <n v="0"/>
    <s v="Yes"/>
    <s v="Southwest"/>
    <n v="2026.9740999999999"/>
    <s v="Youth"/>
    <s v="18-25"/>
    <x v="1"/>
    <s v="Low"/>
  </r>
  <r>
    <n v="19"/>
    <s v="Female"/>
    <n v="21.945"/>
    <n v="0"/>
    <s v="No"/>
    <s v="Southeast"/>
    <n v="2045.68525"/>
    <s v="Youth"/>
    <s v="18-25"/>
    <x v="1"/>
    <s v="Low"/>
  </r>
  <r>
    <n v="19"/>
    <s v="Female"/>
    <n v="22"/>
    <n v="0"/>
    <s v="No"/>
    <s v="Southwest"/>
    <n v="2055.3249000000001"/>
    <s v="Youth"/>
    <s v="18-25"/>
    <x v="1"/>
    <s v="Low"/>
  </r>
  <r>
    <n v="19"/>
    <s v="Male"/>
    <n v="22.04"/>
    <n v="0"/>
    <s v="No"/>
    <s v="Southeast"/>
    <n v="2102.2647000000002"/>
    <s v="Youth"/>
    <s v="18-25"/>
    <x v="1"/>
    <s v="Low"/>
  </r>
  <r>
    <n v="19"/>
    <s v="Male"/>
    <n v="22.1"/>
    <n v="0"/>
    <s v="Yes"/>
    <s v="Northeast"/>
    <n v="2103.08"/>
    <s v="Youth"/>
    <s v="18-25"/>
    <x v="1"/>
    <s v="Low"/>
  </r>
  <r>
    <n v="19"/>
    <s v="Male"/>
    <n v="22.135000000000002"/>
    <n v="0"/>
    <s v="Yes"/>
    <s v="Southwest"/>
    <n v="2104.1134000000002"/>
    <s v="Youth"/>
    <s v="18-25"/>
    <x v="1"/>
    <s v="Low"/>
  </r>
  <r>
    <n v="19"/>
    <s v="Female"/>
    <n v="22.135000000000002"/>
    <n v="0"/>
    <s v="No"/>
    <s v="Southwest"/>
    <n v="2117.3388500000001"/>
    <s v="Youth"/>
    <s v="18-25"/>
    <x v="1"/>
    <s v="Low"/>
  </r>
  <r>
    <n v="19"/>
    <s v="Male"/>
    <n v="22.135000000000002"/>
    <n v="0"/>
    <s v="No"/>
    <s v="Northeast"/>
    <n v="2128.4310500000001"/>
    <s v="Youth"/>
    <s v="18-25"/>
    <x v="1"/>
    <s v="Low"/>
  </r>
  <r>
    <n v="19"/>
    <s v="Female"/>
    <n v="22.135000000000002"/>
    <n v="0"/>
    <s v="No"/>
    <s v="Northeast"/>
    <n v="2130.6759000000002"/>
    <s v="Youth"/>
    <s v="18-25"/>
    <x v="1"/>
    <s v="Low"/>
  </r>
  <r>
    <n v="19"/>
    <s v="Female"/>
    <n v="22.22"/>
    <n v="0"/>
    <s v="Yes"/>
    <s v="Southeast"/>
    <n v="2134.9014999999999"/>
    <s v="Youth"/>
    <s v="18-25"/>
    <x v="1"/>
    <s v="Low"/>
  </r>
  <r>
    <n v="19"/>
    <s v="Female"/>
    <n v="22.23"/>
    <n v="0"/>
    <s v="No"/>
    <s v="Southwest"/>
    <n v="2136.8822500000001"/>
    <s v="Youth"/>
    <s v="18-25"/>
    <x v="1"/>
    <s v="Low"/>
  </r>
  <r>
    <n v="19"/>
    <s v="Male"/>
    <n v="22.23"/>
    <n v="0"/>
    <s v="Yes"/>
    <s v="Northwest"/>
    <n v="2137.6536000000001"/>
    <s v="Youth"/>
    <s v="18-25"/>
    <x v="1"/>
    <s v="Low"/>
  </r>
  <r>
    <n v="19"/>
    <s v="Female"/>
    <n v="22.3"/>
    <n v="0"/>
    <s v="No"/>
    <s v="Southwest"/>
    <n v="2138.0707000000002"/>
    <s v="Youth"/>
    <s v="18-25"/>
    <x v="1"/>
    <s v="Low"/>
  </r>
  <r>
    <n v="19"/>
    <s v="Male"/>
    <n v="22.3"/>
    <n v="0"/>
    <s v="No"/>
    <s v="Northwest"/>
    <n v="2150.4690000000001"/>
    <s v="Youth"/>
    <s v="18-25"/>
    <x v="1"/>
    <s v="Low"/>
  </r>
  <r>
    <n v="19"/>
    <s v="Male"/>
    <n v="22.42"/>
    <n v="0"/>
    <s v="No"/>
    <s v="Southeast"/>
    <n v="2154.3609999999999"/>
    <s v="Youth"/>
    <s v="18-25"/>
    <x v="1"/>
    <s v="Low"/>
  </r>
  <r>
    <n v="19"/>
    <s v="Male"/>
    <n v="22.42"/>
    <n v="0"/>
    <s v="Yes"/>
    <s v="Southeast"/>
    <n v="2155.6815000000001"/>
    <s v="Youth"/>
    <s v="18-25"/>
    <x v="1"/>
    <s v="Low"/>
  </r>
  <r>
    <n v="19"/>
    <s v="Male"/>
    <n v="22.42"/>
    <n v="0"/>
    <s v="No"/>
    <s v="Northwest"/>
    <n v="2156.7518"/>
    <s v="Youth"/>
    <s v="18-25"/>
    <x v="1"/>
    <s v="Low"/>
  </r>
  <r>
    <n v="19"/>
    <s v="Female"/>
    <n v="22.515000000000001"/>
    <n v="0"/>
    <s v="No"/>
    <s v="Southwest"/>
    <n v="2166.732"/>
    <s v="Youth"/>
    <s v="18-25"/>
    <x v="1"/>
    <s v="Low"/>
  </r>
  <r>
    <n v="19"/>
    <s v="Male"/>
    <n v="22.515000000000001"/>
    <n v="0"/>
    <s v="No"/>
    <s v="Southwest"/>
    <n v="2196.4731999999999"/>
    <s v="Youth"/>
    <s v="18-25"/>
    <x v="1"/>
    <s v="Low"/>
  </r>
  <r>
    <n v="19"/>
    <s v="Female"/>
    <n v="22.515000000000001"/>
    <n v="0"/>
    <s v="No"/>
    <s v="Northwest"/>
    <n v="2198.1898500000002"/>
    <s v="Youth"/>
    <s v="18-25"/>
    <x v="1"/>
    <s v="Low"/>
  </r>
  <r>
    <n v="19"/>
    <s v="Male"/>
    <n v="22.515000000000001"/>
    <n v="0"/>
    <s v="No"/>
    <s v="Northeast"/>
    <n v="2200.8308499999998"/>
    <s v="Youth"/>
    <s v="18-25"/>
    <x v="1"/>
    <s v="Low"/>
  </r>
  <r>
    <n v="19"/>
    <s v="Male"/>
    <n v="22.515000000000001"/>
    <n v="0"/>
    <s v="No"/>
    <s v="Northeast"/>
    <n v="2201.0971"/>
    <s v="Youth"/>
    <s v="18-25"/>
    <x v="1"/>
    <s v="Low"/>
  </r>
  <r>
    <n v="19"/>
    <s v="Male"/>
    <n v="22.6"/>
    <n v="0"/>
    <s v="No"/>
    <s v="Southeast"/>
    <n v="2203.4718499999999"/>
    <s v="Youth"/>
    <s v="18-25"/>
    <x v="1"/>
    <s v="Low"/>
  </r>
  <r>
    <n v="19"/>
    <s v="Female"/>
    <n v="22.6"/>
    <n v="0"/>
    <s v="Yes"/>
    <s v="Southeast"/>
    <n v="2203.7359499999998"/>
    <s v="Youth"/>
    <s v="18-25"/>
    <x v="1"/>
    <s v="Low"/>
  </r>
  <r>
    <n v="19"/>
    <s v="Female"/>
    <n v="22.61"/>
    <n v="0"/>
    <s v="No"/>
    <s v="Southeast"/>
    <n v="2205.9807999999998"/>
    <s v="Youth"/>
    <s v="18-25"/>
    <x v="1"/>
    <s v="Low"/>
  </r>
  <r>
    <n v="19"/>
    <s v="Female"/>
    <n v="22.61"/>
    <n v="0"/>
    <s v="No"/>
    <s v="Northwest"/>
    <n v="2207.6974500000001"/>
    <s v="Youth"/>
    <s v="18-25"/>
    <x v="1"/>
    <s v="Low"/>
  </r>
  <r>
    <n v="19"/>
    <s v="Male"/>
    <n v="22.61"/>
    <n v="0"/>
    <s v="No"/>
    <s v="Southwest"/>
    <n v="2211.1307499999998"/>
    <s v="Youth"/>
    <s v="18-25"/>
    <x v="1"/>
    <s v="Low"/>
  </r>
  <r>
    <n v="19"/>
    <s v="Male"/>
    <n v="22.61"/>
    <n v="0"/>
    <s v="No"/>
    <s v="Northeast"/>
    <n v="2217.4691499999999"/>
    <s v="Youth"/>
    <s v="18-25"/>
    <x v="1"/>
    <s v="Low"/>
  </r>
  <r>
    <n v="19"/>
    <s v="Female"/>
    <n v="22.704999999999998"/>
    <n v="0"/>
    <s v="No"/>
    <s v="Northwest"/>
    <n v="2217.6012000000001"/>
    <s v="Youth"/>
    <s v="18-25"/>
    <x v="1"/>
    <s v="Low"/>
  </r>
  <r>
    <n v="19"/>
    <s v="Male"/>
    <n v="22.704999999999998"/>
    <n v="0"/>
    <s v="Yes"/>
    <s v="Northeast"/>
    <n v="2219.4450999999999"/>
    <s v="Youth"/>
    <s v="18-25"/>
    <x v="1"/>
    <s v="Low"/>
  </r>
  <r>
    <n v="19"/>
    <s v="Female"/>
    <n v="22.704999999999998"/>
    <n v="0"/>
    <s v="No"/>
    <s v="Northwest"/>
    <n v="2221.5644499999999"/>
    <s v="Youth"/>
    <s v="18-25"/>
    <x v="1"/>
    <s v="Low"/>
  </r>
  <r>
    <n v="19"/>
    <s v="Female"/>
    <n v="22.77"/>
    <n v="0"/>
    <s v="No"/>
    <s v="Northeast"/>
    <n v="2250.8352"/>
    <s v="Youth"/>
    <s v="18-25"/>
    <x v="1"/>
    <s v="Low"/>
  </r>
  <r>
    <n v="19"/>
    <s v="Female"/>
    <n v="22.8"/>
    <n v="0"/>
    <s v="Yes"/>
    <s v="Southwest"/>
    <n v="2254.7966999999999"/>
    <s v="Youth"/>
    <s v="18-25"/>
    <x v="1"/>
    <s v="Low"/>
  </r>
  <r>
    <n v="19"/>
    <s v="Female"/>
    <n v="22.8"/>
    <n v="0"/>
    <s v="No"/>
    <s v="Southwest"/>
    <n v="2257.47525"/>
    <s v="Youth"/>
    <s v="18-25"/>
    <x v="1"/>
    <s v="Low"/>
  </r>
  <r>
    <n v="19"/>
    <s v="Female"/>
    <n v="22.88"/>
    <n v="0"/>
    <s v="Yes"/>
    <s v="Northwest"/>
    <n v="2261.5688"/>
    <s v="Youth"/>
    <s v="18-25"/>
    <x v="1"/>
    <s v="Low"/>
  </r>
  <r>
    <n v="19"/>
    <s v="Male"/>
    <n v="22.895"/>
    <n v="0"/>
    <s v="No"/>
    <s v="Southwest"/>
    <n v="2302.3000000000002"/>
    <s v="Youth"/>
    <s v="18-25"/>
    <x v="1"/>
    <s v="Low"/>
  </r>
  <r>
    <n v="19"/>
    <s v="Female"/>
    <n v="22.895"/>
    <n v="0"/>
    <s v="No"/>
    <s v="Northeast"/>
    <n v="2304.0021999999999"/>
    <s v="Youth"/>
    <s v="18-25"/>
    <x v="1"/>
    <s v="Low"/>
  </r>
  <r>
    <n v="19"/>
    <s v="Female"/>
    <n v="22.895"/>
    <n v="0"/>
    <s v="No"/>
    <s v="Northeast"/>
    <n v="2322.6217999999999"/>
    <s v="Youth"/>
    <s v="18-25"/>
    <x v="1"/>
    <s v="Low"/>
  </r>
  <r>
    <n v="19"/>
    <s v="Female"/>
    <n v="22.895"/>
    <n v="0"/>
    <s v="No"/>
    <s v="Southwest"/>
    <n v="2331.5189999999998"/>
    <s v="Youth"/>
    <s v="18-25"/>
    <x v="1"/>
    <s v="Low"/>
  </r>
  <r>
    <n v="19"/>
    <s v="Male"/>
    <n v="22.99"/>
    <n v="0"/>
    <s v="No"/>
    <s v="Northwest"/>
    <n v="2352.9684499999998"/>
    <s v="Youth"/>
    <s v="18-25"/>
    <x v="1"/>
    <s v="Low"/>
  </r>
  <r>
    <n v="19"/>
    <s v="Female"/>
    <n v="22.99"/>
    <n v="0"/>
    <s v="No"/>
    <s v="Northeast"/>
    <n v="2362.2290499999999"/>
    <s v="Youth"/>
    <s v="18-25"/>
    <x v="1"/>
    <s v="Low"/>
  </r>
  <r>
    <n v="19"/>
    <s v="Female"/>
    <n v="22.99"/>
    <n v="0"/>
    <s v="No"/>
    <s v="Southeast"/>
    <n v="2395.17155"/>
    <s v="Youth"/>
    <s v="18-25"/>
    <x v="1"/>
    <s v="Low"/>
  </r>
  <r>
    <n v="20"/>
    <s v="Male"/>
    <n v="23"/>
    <n v="0"/>
    <s v="No"/>
    <s v="Southwest"/>
    <n v="2396.0958999999998"/>
    <s v="Youth"/>
    <s v="18-25"/>
    <x v="1"/>
    <s v="Low"/>
  </r>
  <r>
    <n v="20"/>
    <s v="Male"/>
    <n v="23.085000000000001"/>
    <n v="0"/>
    <s v="No"/>
    <s v="Northwest"/>
    <n v="2404.7338"/>
    <s v="Youth"/>
    <s v="18-25"/>
    <x v="1"/>
    <s v="Low"/>
  </r>
  <r>
    <n v="20"/>
    <s v="Female"/>
    <n v="23.085000000000001"/>
    <n v="0"/>
    <s v="No"/>
    <s v="Southeast"/>
    <n v="2416.9549999999999"/>
    <s v="Youth"/>
    <s v="18-25"/>
    <x v="1"/>
    <s v="Low"/>
  </r>
  <r>
    <n v="20"/>
    <s v="Female"/>
    <n v="23.1"/>
    <n v="0"/>
    <s v="No"/>
    <s v="Southwest"/>
    <n v="2438.0551999999998"/>
    <s v="Youth"/>
    <s v="18-25"/>
    <x v="1"/>
    <s v="Low"/>
  </r>
  <r>
    <n v="20"/>
    <s v="Male"/>
    <n v="23.18"/>
    <n v="0"/>
    <s v="No"/>
    <s v="Northeast"/>
    <n v="2457.2111500000001"/>
    <s v="Youth"/>
    <s v="18-25"/>
    <x v="1"/>
    <s v="Low"/>
  </r>
  <r>
    <n v="20"/>
    <s v="Male"/>
    <n v="23.18"/>
    <n v="0"/>
    <s v="No"/>
    <s v="Northeast"/>
    <n v="2457.502"/>
    <s v="Youth"/>
    <s v="18-25"/>
    <x v="1"/>
    <s v="Low"/>
  </r>
  <r>
    <n v="20"/>
    <s v="Male"/>
    <n v="23.18"/>
    <n v="0"/>
    <s v="Yes"/>
    <s v="Southeast"/>
    <n v="2459.7201"/>
    <s v="Youth"/>
    <s v="18-25"/>
    <x v="1"/>
    <s v="Low"/>
  </r>
  <r>
    <n v="20"/>
    <s v="Male"/>
    <n v="23.18"/>
    <n v="0"/>
    <s v="No"/>
    <s v="Northwest"/>
    <n v="2464.6188000000002"/>
    <s v="Youth"/>
    <s v="18-25"/>
    <x v="1"/>
    <s v="Low"/>
  </r>
  <r>
    <n v="20"/>
    <s v="Male"/>
    <n v="23.18"/>
    <n v="0"/>
    <s v="Yes"/>
    <s v="Northwest"/>
    <n v="2473.3341"/>
    <s v="Youth"/>
    <s v="18-25"/>
    <x v="1"/>
    <s v="Low"/>
  </r>
  <r>
    <n v="20"/>
    <s v="Female"/>
    <n v="23.2"/>
    <n v="0"/>
    <s v="No"/>
    <s v="Southeast"/>
    <n v="2480.9791"/>
    <s v="Youth"/>
    <s v="18-25"/>
    <x v="1"/>
    <s v="Low"/>
  </r>
  <r>
    <n v="20"/>
    <s v="Male"/>
    <n v="23.21"/>
    <n v="0"/>
    <s v="Yes"/>
    <s v="Northwest"/>
    <n v="2483.7359999999999"/>
    <s v="Youth"/>
    <s v="18-25"/>
    <x v="1"/>
    <s v="Low"/>
  </r>
  <r>
    <n v="20"/>
    <s v="Female"/>
    <n v="23.21"/>
    <n v="0"/>
    <s v="No"/>
    <s v="Southeast"/>
    <n v="2494.0219999999999"/>
    <s v="Youth"/>
    <s v="18-25"/>
    <x v="1"/>
    <s v="Low"/>
  </r>
  <r>
    <n v="20"/>
    <s v="Female"/>
    <n v="23.21"/>
    <n v="0"/>
    <s v="No"/>
    <s v="Northwest"/>
    <n v="2497.0383000000002"/>
    <s v="Youth"/>
    <s v="18-25"/>
    <x v="1"/>
    <s v="Low"/>
  </r>
  <r>
    <n v="20"/>
    <s v="Male"/>
    <n v="23.21"/>
    <n v="0"/>
    <s v="No"/>
    <s v="Southwest"/>
    <n v="2498.4144000000001"/>
    <s v="Youth"/>
    <s v="18-25"/>
    <x v="1"/>
    <s v="Low"/>
  </r>
  <r>
    <n v="20"/>
    <s v="Male"/>
    <n v="23.21"/>
    <n v="0"/>
    <s v="No"/>
    <s v="Northwest"/>
    <n v="2523.1695"/>
    <s v="Youth"/>
    <s v="18-25"/>
    <x v="1"/>
    <s v="Low"/>
  </r>
  <r>
    <n v="20"/>
    <s v="Male"/>
    <n v="23.274999999999999"/>
    <n v="0"/>
    <s v="No"/>
    <s v="Southeast"/>
    <n v="2527.8186500000002"/>
    <s v="Youth"/>
    <s v="18-25"/>
    <x v="1"/>
    <s v="Low"/>
  </r>
  <r>
    <n v="20"/>
    <s v="Female"/>
    <n v="23.3"/>
    <n v="0"/>
    <s v="No"/>
    <s v="Northeast"/>
    <n v="2534.3937500000002"/>
    <s v="Youth"/>
    <s v="18-25"/>
    <x v="1"/>
    <s v="Low"/>
  </r>
  <r>
    <n v="20"/>
    <s v="Female"/>
    <n v="23.32"/>
    <n v="0"/>
    <s v="Yes"/>
    <s v="Northeast"/>
    <n v="2566.4706999999999"/>
    <s v="Youth"/>
    <s v="18-25"/>
    <x v="1"/>
    <s v="Low"/>
  </r>
  <r>
    <n v="20"/>
    <s v="Female"/>
    <n v="23.37"/>
    <n v="0"/>
    <s v="No"/>
    <s v="Northeast"/>
    <n v="2585.2689999999998"/>
    <s v="Youth"/>
    <s v="18-25"/>
    <x v="1"/>
    <s v="Low"/>
  </r>
  <r>
    <n v="20"/>
    <s v="Male"/>
    <n v="23.37"/>
    <n v="0"/>
    <s v="No"/>
    <s v="Northwest"/>
    <n v="2585.8506499999999"/>
    <s v="Youth"/>
    <s v="18-25"/>
    <x v="1"/>
    <s v="Low"/>
  </r>
  <r>
    <n v="20"/>
    <s v="Male"/>
    <n v="23.37"/>
    <n v="0"/>
    <s v="Yes"/>
    <s v="Southeast"/>
    <n v="2597.779"/>
    <s v="Youth"/>
    <s v="18-25"/>
    <x v="1"/>
    <s v="Low"/>
  </r>
  <r>
    <n v="20"/>
    <s v="Male"/>
    <n v="23.4"/>
    <n v="0"/>
    <s v="Yes"/>
    <s v="Northeast"/>
    <n v="2632.9920000000002"/>
    <s v="Youth"/>
    <s v="18-25"/>
    <x v="1"/>
    <s v="Low"/>
  </r>
  <r>
    <n v="20"/>
    <s v="Male"/>
    <n v="23.4"/>
    <n v="0"/>
    <s v="Yes"/>
    <s v="Southeast"/>
    <n v="2639.0428999999999"/>
    <s v="Youth"/>
    <s v="18-25"/>
    <x v="1"/>
    <s v="Low"/>
  </r>
  <r>
    <n v="20"/>
    <s v="Female"/>
    <n v="23.465"/>
    <n v="0"/>
    <s v="No"/>
    <s v="Southeast"/>
    <n v="2643.2685000000001"/>
    <s v="Youth"/>
    <s v="18-25"/>
    <x v="1"/>
    <s v="Low"/>
  </r>
  <r>
    <n v="20"/>
    <s v="Female"/>
    <n v="23.465"/>
    <n v="0"/>
    <s v="Yes"/>
    <s v="Northwest"/>
    <n v="2680.9493000000002"/>
    <s v="Youth"/>
    <s v="18-25"/>
    <x v="1"/>
    <s v="Low"/>
  </r>
  <r>
    <n v="20"/>
    <s v="Female"/>
    <n v="23.54"/>
    <n v="0"/>
    <s v="Yes"/>
    <s v="Southeast"/>
    <n v="2689.4953999999998"/>
    <s v="Youth"/>
    <s v="18-25"/>
    <x v="1"/>
    <s v="Low"/>
  </r>
  <r>
    <n v="20"/>
    <s v="Male"/>
    <n v="23.56"/>
    <n v="0"/>
    <s v="No"/>
    <s v="Southwest"/>
    <n v="2690.1138000000001"/>
    <s v="Youth"/>
    <s v="18-25"/>
    <x v="1"/>
    <s v="Low"/>
  </r>
  <r>
    <n v="20"/>
    <s v="Female"/>
    <n v="23.56"/>
    <n v="0"/>
    <s v="No"/>
    <s v="Southwest"/>
    <n v="2699.56835"/>
    <s v="Youth"/>
    <s v="18-25"/>
    <x v="1"/>
    <s v="Low"/>
  </r>
  <r>
    <n v="20"/>
    <s v="Male"/>
    <n v="23.6"/>
    <n v="0"/>
    <s v="No"/>
    <s v="Northwest"/>
    <n v="2709.1118999999999"/>
    <s v="Youth"/>
    <s v="18-25"/>
    <x v="1"/>
    <s v="Low"/>
  </r>
  <r>
    <n v="21"/>
    <s v="Male"/>
    <n v="23.6"/>
    <n v="0"/>
    <s v="No"/>
    <s v="Northeast"/>
    <n v="2709.24395"/>
    <s v="Youth"/>
    <s v="18-25"/>
    <x v="1"/>
    <s v="Low"/>
  </r>
  <r>
    <n v="21"/>
    <s v="Female"/>
    <n v="23.65"/>
    <n v="0"/>
    <s v="No"/>
    <s v="Southwest"/>
    <n v="2710.8285500000002"/>
    <s v="Youth"/>
    <s v="18-25"/>
    <x v="1"/>
    <s v="Low"/>
  </r>
  <r>
    <n v="21"/>
    <s v="Female"/>
    <n v="23.655000000000001"/>
    <n v="0"/>
    <s v="No"/>
    <s v="Northwest"/>
    <n v="2719.2797500000001"/>
    <s v="Youth"/>
    <s v="18-25"/>
    <x v="1"/>
    <s v="Low"/>
  </r>
  <r>
    <n v="21"/>
    <s v="Female"/>
    <n v="23.655000000000001"/>
    <n v="0"/>
    <s v="No"/>
    <s v="Northwest"/>
    <n v="2721.3208"/>
    <s v="Youth"/>
    <s v="18-25"/>
    <x v="1"/>
    <s v="Low"/>
  </r>
  <r>
    <n v="21"/>
    <s v="Male"/>
    <n v="23.655000000000001"/>
    <n v="0"/>
    <s v="No"/>
    <s v="Northeast"/>
    <n v="2727.3951000000002"/>
    <s v="Youth"/>
    <s v="18-25"/>
    <x v="1"/>
    <s v="Low"/>
  </r>
  <r>
    <n v="21"/>
    <s v="Male"/>
    <n v="23.655000000000001"/>
    <n v="0"/>
    <s v="No"/>
    <s v="Southeast"/>
    <n v="2730.1078499999999"/>
    <s v="Youth"/>
    <s v="18-25"/>
    <x v="1"/>
    <s v="Low"/>
  </r>
  <r>
    <n v="21"/>
    <s v="Male"/>
    <n v="23.655000000000001"/>
    <n v="0"/>
    <s v="No"/>
    <s v="Southwest"/>
    <n v="2731.9122000000002"/>
    <s v="Youth"/>
    <s v="18-25"/>
    <x v="1"/>
    <s v="Low"/>
  </r>
  <r>
    <n v="21"/>
    <s v="Male"/>
    <n v="23.7"/>
    <n v="0"/>
    <s v="No"/>
    <s v="Northeast"/>
    <n v="2741.9479999999999"/>
    <s v="Youth"/>
    <s v="18-25"/>
    <x v="1"/>
    <s v="Low"/>
  </r>
  <r>
    <n v="21"/>
    <s v="Female"/>
    <n v="23.7"/>
    <n v="0"/>
    <s v="No"/>
    <s v="Southwest"/>
    <n v="2755.0209500000001"/>
    <s v="Youth"/>
    <s v="18-25"/>
    <x v="1"/>
    <s v="Low"/>
  </r>
  <r>
    <n v="21"/>
    <s v="Female"/>
    <n v="23.75"/>
    <n v="0"/>
    <s v="No"/>
    <s v="Northwest"/>
    <n v="2775.1921499999999"/>
    <s v="Youth"/>
    <s v="18-25"/>
    <x v="1"/>
    <s v="Low"/>
  </r>
  <r>
    <n v="21"/>
    <s v="Female"/>
    <n v="23.75"/>
    <n v="0"/>
    <s v="Yes"/>
    <s v="Southwest"/>
    <n v="2789.0574000000001"/>
    <s v="Youth"/>
    <s v="18-25"/>
    <x v="1"/>
    <s v="Low"/>
  </r>
  <r>
    <n v="21"/>
    <s v="Male"/>
    <n v="23.75"/>
    <n v="0"/>
    <s v="No"/>
    <s v="Northwest"/>
    <n v="2801.2588000000001"/>
    <s v="Youth"/>
    <s v="18-25"/>
    <x v="1"/>
    <s v="Low"/>
  </r>
  <r>
    <n v="21"/>
    <s v="Male"/>
    <n v="23.76"/>
    <n v="0"/>
    <s v="No"/>
    <s v="Southwest"/>
    <n v="2803.69785"/>
    <s v="Youth"/>
    <s v="18-25"/>
    <x v="1"/>
    <s v="Low"/>
  </r>
  <r>
    <n v="21"/>
    <s v="Female"/>
    <n v="23.8"/>
    <n v="0"/>
    <s v="No"/>
    <s v="Southwest"/>
    <n v="2842.7607499999999"/>
    <s v="Youth"/>
    <s v="18-25"/>
    <x v="1"/>
    <s v="Low"/>
  </r>
  <r>
    <n v="21"/>
    <s v="Female"/>
    <n v="23.844999999999999"/>
    <n v="0"/>
    <s v="No"/>
    <s v="Northeast"/>
    <n v="2850.6837500000001"/>
    <s v="Youth"/>
    <s v="18-25"/>
    <x v="1"/>
    <s v="Low"/>
  </r>
  <r>
    <n v="21"/>
    <s v="Male"/>
    <n v="23.844999999999999"/>
    <n v="0"/>
    <s v="No"/>
    <s v="Northwest"/>
    <n v="2855.4375500000001"/>
    <s v="Youth"/>
    <s v="18-25"/>
    <x v="1"/>
    <s v="Low"/>
  </r>
  <r>
    <n v="21"/>
    <s v="Female"/>
    <n v="23.844999999999999"/>
    <n v="0"/>
    <s v="No"/>
    <s v="Southeast"/>
    <n v="2866.0909999999999"/>
    <s v="Youth"/>
    <s v="18-25"/>
    <x v="1"/>
    <s v="Low"/>
  </r>
  <r>
    <n v="21"/>
    <s v="Male"/>
    <n v="23.87"/>
    <n v="0"/>
    <s v="No"/>
    <s v="Northeast"/>
    <n v="2867.1196"/>
    <s v="Youth"/>
    <s v="18-25"/>
    <x v="1"/>
    <s v="Low"/>
  </r>
  <r>
    <n v="21"/>
    <s v="Female"/>
    <n v="23.9"/>
    <n v="0"/>
    <s v="No"/>
    <s v="Northwest"/>
    <n v="2897.3235"/>
    <s v="Youth"/>
    <s v="18-25"/>
    <x v="1"/>
    <s v="Low"/>
  </r>
  <r>
    <n v="21"/>
    <s v="Male"/>
    <n v="23.94"/>
    <n v="0"/>
    <s v="No"/>
    <s v="Southeast"/>
    <n v="2899.4893499999998"/>
    <s v="Youth"/>
    <s v="18-25"/>
    <x v="1"/>
    <s v="Low"/>
  </r>
  <r>
    <n v="21"/>
    <s v="Male"/>
    <n v="23.98"/>
    <n v="0"/>
    <s v="Yes"/>
    <s v="Northeast"/>
    <n v="2902.9065000000001"/>
    <s v="Youth"/>
    <s v="18-25"/>
    <x v="1"/>
    <s v="Low"/>
  </r>
  <r>
    <n v="21"/>
    <s v="Female"/>
    <n v="23.98"/>
    <n v="0"/>
    <s v="No"/>
    <s v="Southeast"/>
    <n v="2904.0880000000002"/>
    <s v="Youth"/>
    <s v="18-25"/>
    <x v="1"/>
    <s v="Low"/>
  </r>
  <r>
    <n v="21"/>
    <s v="Female"/>
    <n v="23.98"/>
    <n v="0"/>
    <s v="No"/>
    <s v="Southwest"/>
    <n v="2913.569"/>
    <s v="Youth"/>
    <s v="18-25"/>
    <x v="1"/>
    <s v="Low"/>
  </r>
  <r>
    <n v="21"/>
    <s v="Female"/>
    <n v="24.035"/>
    <n v="0"/>
    <s v="No"/>
    <s v="Southwest"/>
    <n v="2927.0646999999999"/>
    <s v="Youth"/>
    <s v="18-25"/>
    <x v="1"/>
    <s v="Low"/>
  </r>
  <r>
    <n v="21"/>
    <s v="Female"/>
    <n v="24.035"/>
    <n v="0"/>
    <s v="No"/>
    <s v="Northwest"/>
    <n v="2974.1260000000002"/>
    <s v="Youth"/>
    <s v="18-25"/>
    <x v="1"/>
    <s v="Low"/>
  </r>
  <r>
    <n v="21"/>
    <s v="Male"/>
    <n v="24.035"/>
    <n v="0"/>
    <s v="No"/>
    <s v="Southeast"/>
    <n v="3021.80915"/>
    <s v="Youth"/>
    <s v="18-25"/>
    <x v="1"/>
    <s v="Low"/>
  </r>
  <r>
    <n v="21"/>
    <s v="Female"/>
    <n v="24.09"/>
    <n v="0"/>
    <s v="No"/>
    <s v="Southwest"/>
    <n v="3044.2132999999999"/>
    <s v="Youth"/>
    <s v="18-25"/>
    <x v="1"/>
    <s v="Low"/>
  </r>
  <r>
    <n v="21"/>
    <s v="Male"/>
    <n v="24.1"/>
    <n v="0"/>
    <s v="No"/>
    <s v="Southeast"/>
    <n v="3046.0619999999999"/>
    <s v="Youth"/>
    <s v="18-25"/>
    <x v="1"/>
    <s v="Low"/>
  </r>
  <r>
    <n v="22"/>
    <s v="Female"/>
    <n v="24.1"/>
    <n v="0"/>
    <s v="No"/>
    <s v="Northwest"/>
    <n v="3056.3881000000001"/>
    <s v="Youth"/>
    <s v="18-25"/>
    <x v="1"/>
    <s v="Low"/>
  </r>
  <r>
    <n v="22"/>
    <s v="Male"/>
    <n v="24.13"/>
    <n v="0"/>
    <s v="No"/>
    <s v="Southeast"/>
    <n v="3062.5082499999999"/>
    <s v="Youth"/>
    <s v="18-25"/>
    <x v="1"/>
    <s v="Low"/>
  </r>
  <r>
    <n v="22"/>
    <s v="Male"/>
    <n v="24.13"/>
    <n v="0"/>
    <s v="No"/>
    <s v="Northwest"/>
    <n v="3070.8087"/>
    <s v="Youth"/>
    <s v="18-25"/>
    <x v="1"/>
    <s v="Low"/>
  </r>
  <r>
    <n v="22"/>
    <s v="Female"/>
    <n v="24.13"/>
    <n v="0"/>
    <s v="No"/>
    <s v="Southwest"/>
    <n v="3077.0954999999999"/>
    <s v="Youth"/>
    <s v="18-25"/>
    <x v="1"/>
    <s v="Low"/>
  </r>
  <r>
    <n v="22"/>
    <s v="Female"/>
    <n v="24.13"/>
    <n v="0"/>
    <s v="No"/>
    <s v="Southeast"/>
    <n v="3161.4540000000002"/>
    <s v="Youth"/>
    <s v="18-25"/>
    <x v="1"/>
    <s v="Low"/>
  </r>
  <r>
    <n v="22"/>
    <s v="Female"/>
    <n v="24.225000000000001"/>
    <n v="0"/>
    <s v="No"/>
    <s v="Northwest"/>
    <n v="3167.4558499999998"/>
    <s v="Youth"/>
    <s v="18-25"/>
    <x v="1"/>
    <s v="Low"/>
  </r>
  <r>
    <n v="22"/>
    <s v="Female"/>
    <n v="24.225000000000001"/>
    <n v="0"/>
    <s v="No"/>
    <s v="Northeast"/>
    <n v="3171.6149"/>
    <s v="Youth"/>
    <s v="18-25"/>
    <x v="1"/>
    <s v="Low"/>
  </r>
  <r>
    <n v="22"/>
    <s v="Female"/>
    <n v="24.225000000000001"/>
    <n v="0"/>
    <s v="No"/>
    <s v="Northwest"/>
    <n v="3172.018"/>
    <s v="Youth"/>
    <s v="18-25"/>
    <x v="1"/>
    <s v="Low"/>
  </r>
  <r>
    <n v="22"/>
    <s v="Female"/>
    <n v="24.3"/>
    <n v="0"/>
    <s v="No"/>
    <s v="Southeast"/>
    <n v="3176.2876999999999"/>
    <s v="Youth"/>
    <s v="18-25"/>
    <x v="1"/>
    <s v="Low"/>
  </r>
  <r>
    <n v="22"/>
    <s v="Female"/>
    <n v="24.3"/>
    <n v="0"/>
    <s v="No"/>
    <s v="Northwest"/>
    <n v="3176.8159000000001"/>
    <s v="Youth"/>
    <s v="18-25"/>
    <x v="1"/>
    <s v="Low"/>
  </r>
  <r>
    <n v="22"/>
    <s v="Female"/>
    <n v="24.3"/>
    <n v="0"/>
    <s v="Yes"/>
    <s v="Southeast"/>
    <n v="3180.5101"/>
    <s v="Youth"/>
    <s v="18-25"/>
    <x v="1"/>
    <s v="Low"/>
  </r>
  <r>
    <n v="22"/>
    <s v="Male"/>
    <n v="24.31"/>
    <n v="0"/>
    <s v="No"/>
    <s v="Southwest"/>
    <n v="3201.2451500000002"/>
    <s v="Youth"/>
    <s v="18-25"/>
    <x v="1"/>
    <s v="Low"/>
  </r>
  <r>
    <n v="22"/>
    <s v="Female"/>
    <n v="24.31"/>
    <n v="0"/>
    <s v="No"/>
    <s v="Northeast"/>
    <n v="3206.4913499999998"/>
    <s v="Youth"/>
    <s v="18-25"/>
    <x v="1"/>
    <s v="Low"/>
  </r>
  <r>
    <n v="22"/>
    <s v="Male"/>
    <n v="24.32"/>
    <n v="0"/>
    <s v="No"/>
    <s v="Southeast"/>
    <n v="3208.7869999999998"/>
    <s v="Youth"/>
    <s v="18-25"/>
    <x v="1"/>
    <s v="Low"/>
  </r>
  <r>
    <n v="22"/>
    <s v="Male"/>
    <n v="24.32"/>
    <n v="0"/>
    <s v="Yes"/>
    <s v="Northeast"/>
    <n v="3213.6220499999999"/>
    <s v="Youth"/>
    <s v="18-25"/>
    <x v="1"/>
    <s v="Low"/>
  </r>
  <r>
    <n v="22"/>
    <s v="Female"/>
    <n v="24.32"/>
    <n v="0"/>
    <s v="No"/>
    <s v="Southwest"/>
    <n v="3227.1210999999998"/>
    <s v="Youth"/>
    <s v="18-25"/>
    <x v="1"/>
    <s v="Low"/>
  </r>
  <r>
    <n v="22"/>
    <s v="Male"/>
    <n v="24.32"/>
    <n v="0"/>
    <s v="No"/>
    <s v="Northeast"/>
    <n v="3238.4357"/>
    <s v="Youth"/>
    <s v="18-25"/>
    <x v="1"/>
    <s v="Low"/>
  </r>
  <r>
    <n v="22"/>
    <s v="Male"/>
    <n v="24.32"/>
    <n v="0"/>
    <s v="No"/>
    <s v="Southwest"/>
    <n v="3260.1990000000001"/>
    <s v="Youth"/>
    <s v="18-25"/>
    <x v="1"/>
    <s v="Low"/>
  </r>
  <r>
    <n v="22"/>
    <s v="Male"/>
    <n v="24.32"/>
    <n v="0"/>
    <s v="No"/>
    <s v="Northwest"/>
    <n v="3268.84665"/>
    <s v="Youth"/>
    <s v="18-25"/>
    <x v="1"/>
    <s v="Low"/>
  </r>
  <r>
    <n v="22"/>
    <s v="Male"/>
    <n v="24.32"/>
    <n v="0"/>
    <s v="No"/>
    <s v="Northwest"/>
    <n v="3277.1610000000001"/>
    <s v="Youth"/>
    <s v="18-25"/>
    <x v="1"/>
    <s v="Low"/>
  </r>
  <r>
    <n v="22"/>
    <s v="Female"/>
    <n v="24.4"/>
    <n v="0"/>
    <s v="No"/>
    <s v="Southeast"/>
    <n v="3279.8685500000001"/>
    <s v="Youth"/>
    <s v="18-25"/>
    <x v="1"/>
    <s v="Low"/>
  </r>
  <r>
    <n v="22"/>
    <s v="Female"/>
    <n v="24.414999999999999"/>
    <n v="0"/>
    <s v="No"/>
    <s v="Southwest"/>
    <n v="3292.5298499999999"/>
    <s v="Youth"/>
    <s v="18-25"/>
    <x v="1"/>
    <s v="Low"/>
  </r>
  <r>
    <n v="22"/>
    <s v="Female"/>
    <n v="24.42"/>
    <n v="0"/>
    <s v="No"/>
    <s v="Southwest"/>
    <n v="3309.7926000000002"/>
    <s v="Youth"/>
    <s v="18-25"/>
    <x v="1"/>
    <s v="Low"/>
  </r>
  <r>
    <n v="22"/>
    <s v="Female"/>
    <n v="24.42"/>
    <n v="0"/>
    <s v="No"/>
    <s v="Northwest"/>
    <n v="3353.2840000000001"/>
    <s v="Youth"/>
    <s v="18-25"/>
    <x v="1"/>
    <s v="Low"/>
  </r>
  <r>
    <n v="22"/>
    <s v="Male"/>
    <n v="24.42"/>
    <n v="0"/>
    <s v="No"/>
    <s v="Southeast"/>
    <n v="3353.4703"/>
    <s v="Youth"/>
    <s v="18-25"/>
    <x v="1"/>
    <s v="Low"/>
  </r>
  <r>
    <n v="22"/>
    <s v="Female"/>
    <n v="24.51"/>
    <n v="0"/>
    <s v="No"/>
    <s v="Southeast"/>
    <n v="3366.6696999999999"/>
    <s v="Youth"/>
    <s v="18-25"/>
    <x v="1"/>
    <s v="Low"/>
  </r>
  <r>
    <n v="22"/>
    <s v="Female"/>
    <n v="24.51"/>
    <n v="0"/>
    <s v="No"/>
    <s v="Southeast"/>
    <n v="3378.91"/>
    <s v="Youth"/>
    <s v="18-25"/>
    <x v="1"/>
    <s v="Low"/>
  </r>
  <r>
    <n v="22"/>
    <s v="Female"/>
    <n v="24.51"/>
    <n v="0"/>
    <s v="No"/>
    <s v="Southwest"/>
    <n v="3385.3991500000002"/>
    <s v="Youth"/>
    <s v="18-25"/>
    <x v="1"/>
    <s v="Low"/>
  </r>
  <r>
    <n v="23"/>
    <s v="Female"/>
    <n v="24.53"/>
    <n v="0"/>
    <s v="No"/>
    <s v="Northeast"/>
    <n v="3392.3652000000002"/>
    <s v="Youth"/>
    <s v="18-25"/>
    <x v="1"/>
    <s v="Low"/>
  </r>
  <r>
    <n v="23"/>
    <s v="Male"/>
    <n v="24.6"/>
    <n v="0"/>
    <s v="No"/>
    <s v="Southwest"/>
    <n v="3392.9767999999999"/>
    <s v="Youth"/>
    <s v="18-25"/>
    <x v="1"/>
    <s v="Low"/>
  </r>
  <r>
    <n v="23"/>
    <s v="Male"/>
    <n v="24.6"/>
    <n v="0"/>
    <s v="Yes"/>
    <s v="Southwest"/>
    <n v="3393.35635"/>
    <s v="Youth"/>
    <s v="18-25"/>
    <x v="1"/>
    <s v="Low"/>
  </r>
  <r>
    <n v="23"/>
    <s v="Male"/>
    <n v="24.6"/>
    <n v="0"/>
    <s v="Yes"/>
    <s v="Southeast"/>
    <n v="3410.3240000000001"/>
    <s v="Youth"/>
    <s v="18-25"/>
    <x v="1"/>
    <s v="Low"/>
  </r>
  <r>
    <n v="23"/>
    <s v="Male"/>
    <n v="24.605"/>
    <n v="0"/>
    <s v="No"/>
    <s v="Southeast"/>
    <n v="3443.0639999999999"/>
    <s v="Youth"/>
    <s v="18-25"/>
    <x v="1"/>
    <s v="Low"/>
  </r>
  <r>
    <n v="23"/>
    <s v="Male"/>
    <n v="24.605"/>
    <n v="0"/>
    <s v="No"/>
    <s v="Southeast"/>
    <n v="3471.4096"/>
    <s v="Youth"/>
    <s v="18-25"/>
    <x v="1"/>
    <s v="Low"/>
  </r>
  <r>
    <n v="23"/>
    <s v="Female"/>
    <n v="24.605"/>
    <n v="0"/>
    <s v="No"/>
    <s v="Southeast"/>
    <n v="3481.8679999999999"/>
    <s v="Youth"/>
    <s v="18-25"/>
    <x v="1"/>
    <s v="Low"/>
  </r>
  <r>
    <n v="23"/>
    <s v="Female"/>
    <n v="24.605"/>
    <n v="0"/>
    <s v="No"/>
    <s v="Northeast"/>
    <n v="3484.3310000000001"/>
    <s v="Youth"/>
    <s v="18-25"/>
    <x v="1"/>
    <s v="Low"/>
  </r>
  <r>
    <n v="23"/>
    <s v="Male"/>
    <n v="24.64"/>
    <n v="0"/>
    <s v="No"/>
    <s v="Northeast"/>
    <n v="3490.5491000000002"/>
    <s v="Youth"/>
    <s v="18-25"/>
    <x v="1"/>
    <s v="Low"/>
  </r>
  <r>
    <n v="23"/>
    <s v="Female"/>
    <n v="24.7"/>
    <n v="0"/>
    <s v="No"/>
    <s v="Northwest"/>
    <n v="3500.6122999999998"/>
    <s v="Youth"/>
    <s v="18-25"/>
    <x v="1"/>
    <s v="Low"/>
  </r>
  <r>
    <n v="23"/>
    <s v="Female"/>
    <n v="24.7"/>
    <n v="0"/>
    <s v="No"/>
    <s v="Southeast"/>
    <n v="3537.703"/>
    <s v="Youth"/>
    <s v="18-25"/>
    <x v="1"/>
    <s v="Low"/>
  </r>
  <r>
    <n v="23"/>
    <s v="Female"/>
    <n v="24.7"/>
    <n v="0"/>
    <s v="No"/>
    <s v="Southwest"/>
    <n v="3554.203"/>
    <s v="Youth"/>
    <s v="18-25"/>
    <x v="1"/>
    <s v="Low"/>
  </r>
  <r>
    <n v="23"/>
    <s v="Male"/>
    <n v="24.7"/>
    <n v="0"/>
    <s v="No"/>
    <s v="Southwest"/>
    <n v="3556.9223000000002"/>
    <s v="Youth"/>
    <s v="18-25"/>
    <x v="1"/>
    <s v="Low"/>
  </r>
  <r>
    <n v="23"/>
    <s v="Male"/>
    <n v="24.75"/>
    <n v="0"/>
    <s v="No"/>
    <s v="Northwest"/>
    <n v="3558.6202499999999"/>
    <s v="Youth"/>
    <s v="18-25"/>
    <x v="1"/>
    <s v="Low"/>
  </r>
  <r>
    <n v="23"/>
    <s v="Female"/>
    <n v="24.795000000000002"/>
    <n v="0"/>
    <s v="Yes"/>
    <s v="Southeast"/>
    <n v="3561.8888999999999"/>
    <s v="Youth"/>
    <s v="18-25"/>
    <x v="1"/>
    <s v="Low"/>
  </r>
  <r>
    <n v="23"/>
    <s v="Female"/>
    <n v="24.795000000000002"/>
    <n v="0"/>
    <s v="No"/>
    <s v="Southeast"/>
    <n v="3577.9989999999998"/>
    <s v="Youth"/>
    <s v="18-25"/>
    <x v="1"/>
    <s v="Low"/>
  </r>
  <r>
    <n v="23"/>
    <s v="Male"/>
    <n v="24.795000000000002"/>
    <n v="0"/>
    <s v="No"/>
    <s v="Southeast"/>
    <n v="3579.8287"/>
    <s v="Youth"/>
    <s v="18-25"/>
    <x v="1"/>
    <s v="Low"/>
  </r>
  <r>
    <n v="23"/>
    <s v="Male"/>
    <n v="24.795000000000002"/>
    <n v="0"/>
    <s v="Yes"/>
    <s v="Northwest"/>
    <n v="3591.48"/>
    <s v="Youth"/>
    <s v="18-25"/>
    <x v="1"/>
    <s v="Low"/>
  </r>
  <r>
    <n v="23"/>
    <s v="Male"/>
    <n v="24.86"/>
    <n v="0"/>
    <s v="No"/>
    <s v="Southeast"/>
    <n v="3594.17085"/>
    <s v="Youth"/>
    <s v="18-25"/>
    <x v="1"/>
    <s v="Low"/>
  </r>
  <r>
    <n v="23"/>
    <s v="Female"/>
    <n v="24.86"/>
    <n v="0"/>
    <s v="Yes"/>
    <s v="Northeast"/>
    <n v="3597.596"/>
    <s v="Youth"/>
    <s v="18-25"/>
    <x v="1"/>
    <s v="Low"/>
  </r>
  <r>
    <n v="23"/>
    <s v="Female"/>
    <n v="24.89"/>
    <n v="0"/>
    <s v="No"/>
    <s v="Northeast"/>
    <n v="3645.0893999999998"/>
    <s v="Youth"/>
    <s v="18-25"/>
    <x v="1"/>
    <s v="Low"/>
  </r>
  <r>
    <n v="23"/>
    <s v="Female"/>
    <n v="24.97"/>
    <n v="0"/>
    <s v="No"/>
    <s v="Southwest"/>
    <n v="3659.346"/>
    <s v="Youth"/>
    <s v="18-25"/>
    <x v="1"/>
    <s v="Low"/>
  </r>
  <r>
    <n v="23"/>
    <s v="Male"/>
    <n v="24.984999999999999"/>
    <n v="0"/>
    <s v="No"/>
    <s v="Southwest"/>
    <n v="3693.4279999999999"/>
    <s v="Youth"/>
    <s v="18-25"/>
    <x v="1"/>
    <s v="Low"/>
  </r>
  <r>
    <n v="23"/>
    <s v="Female"/>
    <n v="24.984999999999999"/>
    <n v="0"/>
    <s v="Yes"/>
    <s v="Northeast"/>
    <n v="3704.3544999999999"/>
    <s v="Youth"/>
    <s v="18-25"/>
    <x v="1"/>
    <s v="Low"/>
  </r>
  <r>
    <n v="23"/>
    <s v="Male"/>
    <n v="25"/>
    <n v="0"/>
    <s v="No"/>
    <s v="Northwest"/>
    <n v="3732.6251000000002"/>
    <s v="Youth"/>
    <s v="18-25"/>
    <x v="2"/>
    <s v="Low"/>
  </r>
  <r>
    <n v="23"/>
    <s v="Female"/>
    <n v="25"/>
    <n v="0"/>
    <s v="No"/>
    <s v="Southeast"/>
    <n v="3736.4647"/>
    <s v="Youth"/>
    <s v="18-25"/>
    <x v="2"/>
    <s v="Low"/>
  </r>
  <r>
    <n v="23"/>
    <s v="Male"/>
    <n v="25.08"/>
    <n v="0"/>
    <s v="No"/>
    <s v="Southeast"/>
    <n v="3756.6215999999999"/>
    <s v="Youth"/>
    <s v="18-25"/>
    <x v="2"/>
    <s v="Low"/>
  </r>
  <r>
    <n v="23"/>
    <s v="Male"/>
    <n v="25.08"/>
    <n v="0"/>
    <s v="No"/>
    <s v="Southwest"/>
    <n v="3757.8447999999999"/>
    <s v="Youth"/>
    <s v="18-25"/>
    <x v="2"/>
    <s v="Low"/>
  </r>
  <r>
    <n v="24"/>
    <s v="Male"/>
    <n v="25.08"/>
    <n v="0"/>
    <s v="No"/>
    <s v="Northeast"/>
    <n v="3761.2919999999999"/>
    <s v="Youth"/>
    <s v="18-25"/>
    <x v="2"/>
    <s v="Low"/>
  </r>
  <r>
    <n v="24"/>
    <s v="Male"/>
    <n v="25.08"/>
    <n v="0"/>
    <s v="Yes"/>
    <s v="Northeast"/>
    <n v="3766.8838000000001"/>
    <s v="Youth"/>
    <s v="18-25"/>
    <x v="2"/>
    <s v="Low"/>
  </r>
  <r>
    <n v="24"/>
    <s v="Female"/>
    <n v="25.08"/>
    <n v="0"/>
    <s v="Yes"/>
    <s v="Southwest"/>
    <n v="3847.674"/>
    <s v="Youth"/>
    <s v="18-25"/>
    <x v="2"/>
    <s v="Low"/>
  </r>
  <r>
    <n v="24"/>
    <s v="Male"/>
    <n v="25.1"/>
    <n v="0"/>
    <s v="Yes"/>
    <s v="Southeast"/>
    <n v="3857.7592500000001"/>
    <s v="Youth"/>
    <s v="18-25"/>
    <x v="2"/>
    <s v="Low"/>
  </r>
  <r>
    <n v="24"/>
    <s v="Male"/>
    <n v="25.175000000000001"/>
    <n v="0"/>
    <s v="No"/>
    <s v="Southwest"/>
    <n v="3861.2096499999998"/>
    <s v="Youth"/>
    <s v="18-25"/>
    <x v="2"/>
    <s v="Low"/>
  </r>
  <r>
    <n v="24"/>
    <s v="Male"/>
    <n v="25.175000000000001"/>
    <n v="0"/>
    <s v="Yes"/>
    <s v="Northeast"/>
    <n v="3866.8552"/>
    <s v="Youth"/>
    <s v="18-25"/>
    <x v="2"/>
    <s v="Low"/>
  </r>
  <r>
    <n v="24"/>
    <s v="Female"/>
    <n v="25.175000000000001"/>
    <n v="0"/>
    <s v="No"/>
    <s v="Northeast"/>
    <n v="3875.7341000000001"/>
    <s v="Youth"/>
    <s v="18-25"/>
    <x v="2"/>
    <s v="Low"/>
  </r>
  <r>
    <n v="24"/>
    <s v="Male"/>
    <n v="25.175000000000001"/>
    <n v="0"/>
    <s v="Yes"/>
    <s v="Northwest"/>
    <n v="3877.3042500000001"/>
    <s v="Youth"/>
    <s v="18-25"/>
    <x v="2"/>
    <s v="Low"/>
  </r>
  <r>
    <n v="24"/>
    <s v="Female"/>
    <n v="25.175000000000001"/>
    <n v="0"/>
    <s v="No"/>
    <s v="Southeast"/>
    <n v="3906.127"/>
    <s v="Youth"/>
    <s v="18-25"/>
    <x v="2"/>
    <s v="Low"/>
  </r>
  <r>
    <n v="24"/>
    <s v="Male"/>
    <n v="25.175000000000001"/>
    <n v="0"/>
    <s v="No"/>
    <s v="Northwest"/>
    <n v="3925.7582000000002"/>
    <s v="Youth"/>
    <s v="18-25"/>
    <x v="2"/>
    <s v="Low"/>
  </r>
  <r>
    <n v="24"/>
    <s v="Male"/>
    <n v="25.2"/>
    <n v="0"/>
    <s v="Yes"/>
    <s v="Northwest"/>
    <n v="3935.1799000000001"/>
    <s v="Youth"/>
    <s v="18-25"/>
    <x v="2"/>
    <s v="Low"/>
  </r>
  <r>
    <n v="24"/>
    <s v="Female"/>
    <n v="25.27"/>
    <n v="0"/>
    <s v="No"/>
    <s v="Southwest"/>
    <n v="3943.5954000000002"/>
    <s v="Youth"/>
    <s v="18-25"/>
    <x v="2"/>
    <s v="Low"/>
  </r>
  <r>
    <n v="24"/>
    <s v="Female"/>
    <n v="25.27"/>
    <n v="0"/>
    <s v="Yes"/>
    <s v="Southeast"/>
    <n v="3947.4131000000002"/>
    <s v="Youth"/>
    <s v="18-25"/>
    <x v="2"/>
    <s v="Low"/>
  </r>
  <r>
    <n v="24"/>
    <s v="Male"/>
    <n v="25.27"/>
    <n v="0"/>
    <s v="Yes"/>
    <s v="Northeast"/>
    <n v="3956.0714499999999"/>
    <s v="Youth"/>
    <s v="18-25"/>
    <x v="2"/>
    <s v="Low"/>
  </r>
  <r>
    <n v="24"/>
    <s v="Male"/>
    <n v="25.3"/>
    <n v="0"/>
    <s v="Yes"/>
    <s v="Northwest"/>
    <n v="3972.9247"/>
    <s v="Youth"/>
    <s v="18-25"/>
    <x v="2"/>
    <s v="Low"/>
  </r>
  <r>
    <n v="24"/>
    <s v="Female"/>
    <n v="25.3"/>
    <n v="0"/>
    <s v="No"/>
    <s v="Southeast"/>
    <n v="3981.9767999999999"/>
    <s v="Youth"/>
    <s v="18-25"/>
    <x v="2"/>
    <s v="Low"/>
  </r>
  <r>
    <n v="24"/>
    <s v="Male"/>
    <n v="25.3"/>
    <n v="0"/>
    <s v="Yes"/>
    <s v="Southeast"/>
    <n v="3987.9259999999999"/>
    <s v="Youth"/>
    <s v="18-25"/>
    <x v="2"/>
    <s v="Low"/>
  </r>
  <r>
    <n v="24"/>
    <s v="Male"/>
    <n v="25.3"/>
    <n v="0"/>
    <s v="Yes"/>
    <s v="Southeast"/>
    <n v="3989.8409999999999"/>
    <s v="Youth"/>
    <s v="18-25"/>
    <x v="2"/>
    <s v="Low"/>
  </r>
  <r>
    <n v="24"/>
    <s v="Female"/>
    <n v="25.3"/>
    <n v="0"/>
    <s v="No"/>
    <s v="Northeast"/>
    <n v="3994.1777999999999"/>
    <s v="Youth"/>
    <s v="18-25"/>
    <x v="2"/>
    <s v="Low"/>
  </r>
  <r>
    <n v="24"/>
    <s v="Male"/>
    <n v="25.364999999999998"/>
    <n v="0"/>
    <s v="No"/>
    <s v="Southwest"/>
    <n v="4005.4225000000001"/>
    <s v="Youth"/>
    <s v="18-25"/>
    <x v="2"/>
    <s v="Low"/>
  </r>
  <r>
    <n v="24"/>
    <s v="Male"/>
    <n v="25.364999999999998"/>
    <n v="0"/>
    <s v="No"/>
    <s v="Northeast"/>
    <n v="4032.2406999999998"/>
    <s v="Youth"/>
    <s v="18-25"/>
    <x v="2"/>
    <s v="Low"/>
  </r>
  <r>
    <n v="24"/>
    <s v="Male"/>
    <n v="25.364999999999998"/>
    <n v="0"/>
    <s v="No"/>
    <s v="Southeast"/>
    <n v="4040.55825"/>
    <s v="Youth"/>
    <s v="18-25"/>
    <x v="2"/>
    <s v="Low"/>
  </r>
  <r>
    <n v="24"/>
    <s v="Male"/>
    <n v="25.4"/>
    <n v="0"/>
    <s v="Yes"/>
    <s v="Southwest"/>
    <n v="4058.1161000000002"/>
    <s v="Youth"/>
    <s v="18-25"/>
    <x v="2"/>
    <s v="Low"/>
  </r>
  <r>
    <n v="24"/>
    <s v="Male"/>
    <n v="25.41"/>
    <n v="0"/>
    <s v="No"/>
    <s v="Northwest"/>
    <n v="4058.71245"/>
    <s v="Youth"/>
    <s v="18-25"/>
    <x v="2"/>
    <s v="Low"/>
  </r>
  <r>
    <n v="24"/>
    <s v="Male"/>
    <n v="25.46"/>
    <n v="0"/>
    <s v="No"/>
    <s v="Northeast"/>
    <n v="4074.4537"/>
    <s v="Youth"/>
    <s v="18-25"/>
    <x v="2"/>
    <s v="Low"/>
  </r>
  <r>
    <n v="24"/>
    <s v="Male"/>
    <n v="25.46"/>
    <n v="0"/>
    <s v="No"/>
    <s v="Northwest"/>
    <n v="4076.4969999999998"/>
    <s v="Youth"/>
    <s v="18-25"/>
    <x v="2"/>
    <s v="Low"/>
  </r>
  <r>
    <n v="24"/>
    <s v="Female"/>
    <n v="25.46"/>
    <n v="0"/>
    <s v="No"/>
    <s v="Northeast"/>
    <n v="4133.6416499999996"/>
    <s v="Youth"/>
    <s v="18-25"/>
    <x v="2"/>
    <s v="Low"/>
  </r>
  <r>
    <n v="24"/>
    <s v="Male"/>
    <n v="25.46"/>
    <n v="0"/>
    <s v="No"/>
    <s v="Northwest"/>
    <n v="4134.0824499999999"/>
    <s v="Youth"/>
    <s v="18-25"/>
    <x v="2"/>
    <s v="Low"/>
  </r>
  <r>
    <n v="25"/>
    <s v="Female"/>
    <n v="25.46"/>
    <n v="0"/>
    <s v="No"/>
    <s v="Southwest"/>
    <n v="4137.5227000000004"/>
    <s v="Youth"/>
    <s v="18-25"/>
    <x v="2"/>
    <s v="Low"/>
  </r>
  <r>
    <n v="25"/>
    <s v="Male"/>
    <n v="25.46"/>
    <n v="0"/>
    <s v="No"/>
    <s v="Southeast"/>
    <n v="4149.7359999999999"/>
    <s v="Youth"/>
    <s v="18-25"/>
    <x v="2"/>
    <s v="Low"/>
  </r>
  <r>
    <n v="25"/>
    <s v="Female"/>
    <n v="25.46"/>
    <n v="0"/>
    <s v="No"/>
    <s v="Southeast"/>
    <n v="4151.0286999999998"/>
    <s v="Youth"/>
    <s v="18-25"/>
    <x v="2"/>
    <s v="Low"/>
  </r>
  <r>
    <n v="25"/>
    <s v="Female"/>
    <n v="25.52"/>
    <n v="0"/>
    <s v="Yes"/>
    <s v="Northeast"/>
    <n v="4185.0978999999998"/>
    <s v="Youth"/>
    <s v="18-25"/>
    <x v="2"/>
    <s v="Low"/>
  </r>
  <r>
    <n v="25"/>
    <s v="Male"/>
    <n v="25.555"/>
    <n v="0"/>
    <s v="Yes"/>
    <s v="Northeast"/>
    <n v="4189.1130999999996"/>
    <s v="Youth"/>
    <s v="18-25"/>
    <x v="2"/>
    <s v="Low"/>
  </r>
  <r>
    <n v="25"/>
    <s v="Male"/>
    <n v="25.555"/>
    <n v="0"/>
    <s v="No"/>
    <s v="Northeast"/>
    <n v="4234.9269999999997"/>
    <s v="Youth"/>
    <s v="18-25"/>
    <x v="2"/>
    <s v="Low"/>
  </r>
  <r>
    <n v="25"/>
    <s v="Female"/>
    <n v="25.555"/>
    <n v="0"/>
    <s v="No"/>
    <s v="Northeast"/>
    <n v="4237.12655"/>
    <s v="Youth"/>
    <s v="18-25"/>
    <x v="2"/>
    <s v="Low"/>
  </r>
  <r>
    <n v="25"/>
    <s v="Female"/>
    <n v="25.6"/>
    <n v="0"/>
    <s v="No"/>
    <s v="Southwest"/>
    <n v="4239.8926499999998"/>
    <s v="Youth"/>
    <s v="18-25"/>
    <x v="2"/>
    <s v="Low"/>
  </r>
  <r>
    <n v="25"/>
    <s v="Male"/>
    <n v="25.6"/>
    <n v="0"/>
    <s v="No"/>
    <s v="Southeast"/>
    <n v="4243.5900499999998"/>
    <s v="Youth"/>
    <s v="18-25"/>
    <x v="2"/>
    <s v="Low"/>
  </r>
  <r>
    <n v="25"/>
    <s v="Female"/>
    <n v="25.6"/>
    <n v="0"/>
    <s v="No"/>
    <s v="Northeast"/>
    <n v="4260.7439999999997"/>
    <s v="Youth"/>
    <s v="18-25"/>
    <x v="2"/>
    <s v="Low"/>
  </r>
  <r>
    <n v="25"/>
    <s v="Female"/>
    <n v="25.6"/>
    <n v="0"/>
    <s v="No"/>
    <s v="Northwest"/>
    <n v="4266.1657999999998"/>
    <s v="Youth"/>
    <s v="18-25"/>
    <x v="2"/>
    <s v="Low"/>
  </r>
  <r>
    <n v="25"/>
    <s v="Female"/>
    <n v="25.65"/>
    <n v="0"/>
    <s v="Yes"/>
    <s v="Northeast"/>
    <n v="4296.2712000000001"/>
    <s v="Youth"/>
    <s v="18-25"/>
    <x v="2"/>
    <s v="Low"/>
  </r>
  <r>
    <n v="25"/>
    <s v="Male"/>
    <n v="25.7"/>
    <n v="0"/>
    <s v="No"/>
    <s v="Southeast"/>
    <n v="4320.4108500000002"/>
    <s v="Youth"/>
    <s v="18-25"/>
    <x v="2"/>
    <s v="Low"/>
  </r>
  <r>
    <n v="25"/>
    <s v="Female"/>
    <n v="25.7"/>
    <n v="0"/>
    <s v="No"/>
    <s v="Southwest"/>
    <n v="4337.7352000000001"/>
    <s v="Youth"/>
    <s v="18-25"/>
    <x v="2"/>
    <s v="Low"/>
  </r>
  <r>
    <n v="25"/>
    <s v="Male"/>
    <n v="25.74"/>
    <n v="0"/>
    <s v="No"/>
    <s v="Northeast"/>
    <n v="4340.4408999999996"/>
    <s v="Youth"/>
    <s v="18-25"/>
    <x v="2"/>
    <s v="Low"/>
  </r>
  <r>
    <n v="25"/>
    <s v="Male"/>
    <n v="25.74"/>
    <n v="0"/>
    <s v="Yes"/>
    <s v="Southeast"/>
    <n v="4347.0233500000004"/>
    <s v="Youth"/>
    <s v="18-25"/>
    <x v="2"/>
    <s v="Low"/>
  </r>
  <r>
    <n v="25"/>
    <s v="Female"/>
    <n v="25.74"/>
    <n v="0"/>
    <s v="No"/>
    <s v="Southeast"/>
    <n v="4349.4620000000004"/>
    <s v="Youth"/>
    <s v="18-25"/>
    <x v="2"/>
    <s v="Low"/>
  </r>
  <r>
    <n v="25"/>
    <s v="Male"/>
    <n v="25.74"/>
    <n v="0"/>
    <s v="No"/>
    <s v="Southwest"/>
    <n v="4350.5144"/>
    <s v="Youth"/>
    <s v="18-25"/>
    <x v="2"/>
    <s v="Low"/>
  </r>
  <r>
    <n v="25"/>
    <s v="Male"/>
    <n v="25.745000000000001"/>
    <n v="0"/>
    <s v="No"/>
    <s v="Northeast"/>
    <n v="4357.0436499999996"/>
    <s v="Youth"/>
    <s v="18-25"/>
    <x v="2"/>
    <s v="Low"/>
  </r>
  <r>
    <n v="25"/>
    <s v="Male"/>
    <n v="25.745000000000001"/>
    <n v="0"/>
    <s v="Yes"/>
    <s v="Southwest"/>
    <n v="4391.652"/>
    <s v="Youth"/>
    <s v="18-25"/>
    <x v="2"/>
    <s v="Low"/>
  </r>
  <r>
    <n v="25"/>
    <s v="Male"/>
    <n v="25.745000000000001"/>
    <n v="0"/>
    <s v="Yes"/>
    <s v="Southeast"/>
    <n v="4399.7309999999998"/>
    <s v="Youth"/>
    <s v="18-25"/>
    <x v="2"/>
    <s v="Low"/>
  </r>
  <r>
    <n v="25"/>
    <s v="Male"/>
    <n v="25.8"/>
    <n v="0"/>
    <s v="Yes"/>
    <s v="Northwest"/>
    <n v="4402.2330000000002"/>
    <s v="Youth"/>
    <s v="18-25"/>
    <x v="2"/>
    <s v="Low"/>
  </r>
  <r>
    <n v="25"/>
    <s v="Female"/>
    <n v="25.8"/>
    <n v="0"/>
    <s v="No"/>
    <s v="Northwest"/>
    <n v="4415.1588000000002"/>
    <s v="Youth"/>
    <s v="18-25"/>
    <x v="2"/>
    <s v="Low"/>
  </r>
  <r>
    <n v="25"/>
    <s v="Male"/>
    <n v="25.8"/>
    <n v="0"/>
    <s v="No"/>
    <s v="Northeast"/>
    <n v="4428.8878500000001"/>
    <s v="Youth"/>
    <s v="18-25"/>
    <x v="2"/>
    <s v="Low"/>
  </r>
  <r>
    <n v="25"/>
    <s v="Female"/>
    <n v="25.8"/>
    <n v="0"/>
    <s v="Yes"/>
    <s v="Northeast"/>
    <n v="4433.3877000000002"/>
    <s v="Youth"/>
    <s v="18-25"/>
    <x v="2"/>
    <s v="Low"/>
  </r>
  <r>
    <n v="25"/>
    <s v="Female"/>
    <n v="25.8"/>
    <n v="0"/>
    <s v="No"/>
    <s v="Southeast"/>
    <n v="4433.9159"/>
    <s v="Youth"/>
    <s v="18-25"/>
    <x v="2"/>
    <s v="Low"/>
  </r>
  <r>
    <n v="25"/>
    <s v="Female"/>
    <n v="25.8"/>
    <n v="0"/>
    <s v="No"/>
    <s v="Southeast"/>
    <n v="4435.0941999999995"/>
    <s v="Youth"/>
    <s v="18-25"/>
    <x v="2"/>
    <s v="Low"/>
  </r>
  <r>
    <n v="25"/>
    <s v="Female"/>
    <n v="25.8"/>
    <n v="0"/>
    <s v="No"/>
    <s v="Southwest"/>
    <n v="4438.2633999999998"/>
    <s v="Youth"/>
    <s v="18-25"/>
    <x v="2"/>
    <s v="Low"/>
  </r>
  <r>
    <n v="26"/>
    <s v="Male"/>
    <n v="25.84"/>
    <n v="0"/>
    <s v="No"/>
    <s v="Northwest"/>
    <n v="4441.2131499999996"/>
    <s v="Youth"/>
    <s v="26-35"/>
    <x v="2"/>
    <s v="Low"/>
  </r>
  <r>
    <n v="26"/>
    <s v="Female"/>
    <n v="25.84"/>
    <n v="0"/>
    <s v="No"/>
    <s v="Southwest"/>
    <n v="4449.4620000000004"/>
    <s v="Youth"/>
    <s v="26-35"/>
    <x v="2"/>
    <s v="Low"/>
  </r>
  <r>
    <n v="26"/>
    <s v="Female"/>
    <n v="25.84"/>
    <n v="0"/>
    <s v="No"/>
    <s v="Southeast"/>
    <n v="4454.40265"/>
    <s v="Youth"/>
    <s v="26-35"/>
    <x v="2"/>
    <s v="Low"/>
  </r>
  <r>
    <n v="26"/>
    <s v="Male"/>
    <n v="25.84"/>
    <n v="0"/>
    <s v="No"/>
    <s v="Northeast"/>
    <n v="4462.7218000000003"/>
    <s v="Youth"/>
    <s v="26-35"/>
    <x v="2"/>
    <s v="Low"/>
  </r>
  <r>
    <n v="26"/>
    <s v="Female"/>
    <n v="25.84"/>
    <n v="0"/>
    <s v="No"/>
    <s v="Northwest"/>
    <n v="4463.2051000000001"/>
    <s v="Youth"/>
    <s v="26-35"/>
    <x v="2"/>
    <s v="Low"/>
  </r>
  <r>
    <n v="26"/>
    <s v="Male"/>
    <n v="25.85"/>
    <n v="0"/>
    <s v="No"/>
    <s v="Southwest"/>
    <n v="4466.6214"/>
    <s v="Youth"/>
    <s v="26-35"/>
    <x v="2"/>
    <s v="Low"/>
  </r>
  <r>
    <n v="26"/>
    <s v="Female"/>
    <n v="25.9"/>
    <n v="0"/>
    <s v="No"/>
    <s v="Southwest"/>
    <n v="4500.33925"/>
    <s v="Youth"/>
    <s v="26-35"/>
    <x v="2"/>
    <s v="Low"/>
  </r>
  <r>
    <n v="26"/>
    <s v="Male"/>
    <n v="25.9"/>
    <n v="0"/>
    <s v="Yes"/>
    <s v="Southeast"/>
    <n v="4504.6624000000002"/>
    <s v="Youth"/>
    <s v="26-35"/>
    <x v="2"/>
    <s v="Low"/>
  </r>
  <r>
    <n v="26"/>
    <s v="Male"/>
    <n v="25.9"/>
    <n v="0"/>
    <s v="No"/>
    <s v="Southeast"/>
    <n v="4518.8262500000001"/>
    <s v="Youth"/>
    <s v="26-35"/>
    <x v="2"/>
    <s v="Low"/>
  </r>
  <r>
    <n v="26"/>
    <s v="Female"/>
    <n v="25.934999999999999"/>
    <n v="0"/>
    <s v="Yes"/>
    <s v="Southwest"/>
    <n v="4527.1829500000003"/>
    <s v="Youth"/>
    <s v="26-35"/>
    <x v="2"/>
    <s v="Low"/>
  </r>
  <r>
    <n v="26"/>
    <s v="Male"/>
    <n v="25.934999999999999"/>
    <n v="0"/>
    <s v="No"/>
    <s v="Northeast"/>
    <n v="4529.4769999999999"/>
    <s v="Youth"/>
    <s v="26-35"/>
    <x v="2"/>
    <s v="Low"/>
  </r>
  <r>
    <n v="26"/>
    <s v="Male"/>
    <n v="25.934999999999999"/>
    <n v="0"/>
    <s v="No"/>
    <s v="Northwest"/>
    <n v="4536.259"/>
    <s v="Youth"/>
    <s v="26-35"/>
    <x v="2"/>
    <s v="Low"/>
  </r>
  <r>
    <n v="26"/>
    <s v="Male"/>
    <n v="26.03"/>
    <n v="0"/>
    <s v="No"/>
    <s v="Northeast"/>
    <n v="4544.2348000000002"/>
    <s v="Youth"/>
    <s v="26-35"/>
    <x v="2"/>
    <s v="Low"/>
  </r>
  <r>
    <n v="26"/>
    <s v="Female"/>
    <n v="26.03"/>
    <n v="0"/>
    <s v="No"/>
    <s v="Northwest"/>
    <n v="4561.1885000000002"/>
    <s v="Youth"/>
    <s v="26-35"/>
    <x v="2"/>
    <s v="Low"/>
  </r>
  <r>
    <n v="26"/>
    <s v="Male"/>
    <n v="26.03"/>
    <n v="0"/>
    <s v="No"/>
    <s v="Northeast"/>
    <n v="4562.8420999999998"/>
    <s v="Youth"/>
    <s v="26-35"/>
    <x v="2"/>
    <s v="Low"/>
  </r>
  <r>
    <n v="26"/>
    <s v="Male"/>
    <n v="26.03"/>
    <n v="0"/>
    <s v="No"/>
    <s v="Northwest"/>
    <n v="4564.1914500000003"/>
    <s v="Youth"/>
    <s v="26-35"/>
    <x v="2"/>
    <s v="Low"/>
  </r>
  <r>
    <n v="26"/>
    <s v="Female"/>
    <n v="26.03"/>
    <n v="0"/>
    <s v="No"/>
    <s v="Northeast"/>
    <n v="4571.4130500000001"/>
    <s v="Youth"/>
    <s v="26-35"/>
    <x v="2"/>
    <s v="Low"/>
  </r>
  <r>
    <n v="26"/>
    <s v="Male"/>
    <n v="26.07"/>
    <n v="0"/>
    <s v="Yes"/>
    <s v="Southwest"/>
    <n v="4618.0798999999997"/>
    <s v="Youth"/>
    <s v="26-35"/>
    <x v="2"/>
    <s v="Low"/>
  </r>
  <r>
    <n v="26"/>
    <s v="Male"/>
    <n v="26.125"/>
    <n v="0"/>
    <s v="No"/>
    <s v="Northeast"/>
    <n v="4646.759"/>
    <s v="Youth"/>
    <s v="26-35"/>
    <x v="2"/>
    <s v="Low"/>
  </r>
  <r>
    <n v="26"/>
    <s v="Male"/>
    <n v="26.125"/>
    <n v="0"/>
    <s v="No"/>
    <s v="Southwest"/>
    <n v="4661.2863500000003"/>
    <s v="Youth"/>
    <s v="26-35"/>
    <x v="2"/>
    <s v="Low"/>
  </r>
  <r>
    <n v="26"/>
    <s v="Male"/>
    <n v="26.125"/>
    <n v="0"/>
    <s v="No"/>
    <s v="Northeast"/>
    <n v="4667.6076499999999"/>
    <s v="Youth"/>
    <s v="26-35"/>
    <x v="2"/>
    <s v="Low"/>
  </r>
  <r>
    <n v="26"/>
    <s v="Female"/>
    <n v="26.125"/>
    <n v="0"/>
    <s v="No"/>
    <s v="Southeast"/>
    <n v="4670.6400000000003"/>
    <s v="Youth"/>
    <s v="26-35"/>
    <x v="2"/>
    <s v="Low"/>
  </r>
  <r>
    <n v="26"/>
    <s v="Male"/>
    <n v="26.18"/>
    <n v="0"/>
    <s v="Yes"/>
    <s v="Northwest"/>
    <n v="4673.3922000000002"/>
    <s v="Youth"/>
    <s v="26-35"/>
    <x v="2"/>
    <s v="Low"/>
  </r>
  <r>
    <n v="26"/>
    <s v="Female"/>
    <n v="26.18"/>
    <n v="0"/>
    <s v="Yes"/>
    <s v="Southwest"/>
    <n v="4686.3887000000004"/>
    <s v="Youth"/>
    <s v="26-35"/>
    <x v="2"/>
    <s v="Low"/>
  </r>
  <r>
    <n v="26"/>
    <s v="Male"/>
    <n v="26.2"/>
    <n v="0"/>
    <s v="No"/>
    <s v="Southwest"/>
    <n v="4687.7969999999996"/>
    <s v="Youth"/>
    <s v="26-35"/>
    <x v="2"/>
    <s v="Low"/>
  </r>
  <r>
    <n v="26"/>
    <s v="Female"/>
    <n v="26.22"/>
    <n v="0"/>
    <s v="Yes"/>
    <s v="Northeast"/>
    <n v="4718.2035500000002"/>
    <s v="Youth"/>
    <s v="26-35"/>
    <x v="2"/>
    <s v="Low"/>
  </r>
  <r>
    <n v="26"/>
    <s v="Male"/>
    <n v="26.22"/>
    <n v="0"/>
    <s v="Yes"/>
    <s v="Northwest"/>
    <n v="4719.52405"/>
    <s v="Youth"/>
    <s v="26-35"/>
    <x v="2"/>
    <s v="Low"/>
  </r>
  <r>
    <n v="26"/>
    <s v="Female"/>
    <n v="26.22"/>
    <n v="0"/>
    <s v="No"/>
    <s v="Northwest"/>
    <n v="4719.7365499999996"/>
    <s v="Youth"/>
    <s v="26-35"/>
    <x v="2"/>
    <s v="Low"/>
  </r>
  <r>
    <n v="27"/>
    <s v="Female"/>
    <n v="26.22"/>
    <n v="0"/>
    <s v="No"/>
    <s v="Northeast"/>
    <n v="4738.2682000000004"/>
    <s v="Youth"/>
    <s v="26-35"/>
    <x v="2"/>
    <s v="Low"/>
  </r>
  <r>
    <n v="27"/>
    <s v="Female"/>
    <n v="26.29"/>
    <n v="0"/>
    <s v="No"/>
    <s v="Northeast"/>
    <n v="4746.3440000000001"/>
    <s v="Youth"/>
    <s v="26-35"/>
    <x v="2"/>
    <s v="Low"/>
  </r>
  <r>
    <n v="27"/>
    <s v="Male"/>
    <n v="26.315000000000001"/>
    <n v="0"/>
    <s v="No"/>
    <s v="Southwest"/>
    <n v="4747.0528999999997"/>
    <s v="Youth"/>
    <s v="26-35"/>
    <x v="2"/>
    <s v="Low"/>
  </r>
  <r>
    <n v="27"/>
    <s v="Male"/>
    <n v="26.315000000000001"/>
    <n v="0"/>
    <s v="No"/>
    <s v="Southeast"/>
    <n v="4751.07"/>
    <s v="Youth"/>
    <s v="26-35"/>
    <x v="2"/>
    <s v="Low"/>
  </r>
  <r>
    <n v="27"/>
    <s v="Male"/>
    <n v="26.315000000000001"/>
    <n v="0"/>
    <s v="No"/>
    <s v="Northwest"/>
    <n v="4753.6368000000002"/>
    <s v="Youth"/>
    <s v="26-35"/>
    <x v="2"/>
    <s v="Low"/>
  </r>
  <r>
    <n v="27"/>
    <s v="Male"/>
    <n v="26.315000000000001"/>
    <n v="0"/>
    <s v="Yes"/>
    <s v="Northeast"/>
    <n v="4762.3289999999997"/>
    <s v="Youth"/>
    <s v="26-35"/>
    <x v="2"/>
    <s v="Low"/>
  </r>
  <r>
    <n v="27"/>
    <s v="Female"/>
    <n v="26.315000000000001"/>
    <n v="0"/>
    <s v="No"/>
    <s v="Southeast"/>
    <n v="4766.0219999999999"/>
    <s v="Youth"/>
    <s v="26-35"/>
    <x v="2"/>
    <s v="Low"/>
  </r>
  <r>
    <n v="27"/>
    <s v="Female"/>
    <n v="26.4"/>
    <n v="0"/>
    <s v="No"/>
    <s v="Southwest"/>
    <n v="4779.6022999999996"/>
    <s v="Youth"/>
    <s v="26-35"/>
    <x v="2"/>
    <s v="Low"/>
  </r>
  <r>
    <n v="27"/>
    <s v="Male"/>
    <n v="26.4"/>
    <n v="0"/>
    <s v="No"/>
    <s v="Northwest"/>
    <n v="4795.6567999999997"/>
    <s v="Youth"/>
    <s v="26-35"/>
    <x v="2"/>
    <s v="Low"/>
  </r>
  <r>
    <n v="27"/>
    <s v="Female"/>
    <n v="26.4"/>
    <n v="0"/>
    <s v="No"/>
    <s v="Northeast"/>
    <n v="4827.9049500000001"/>
    <s v="Youth"/>
    <s v="26-35"/>
    <x v="2"/>
    <s v="Low"/>
  </r>
  <r>
    <n v="27"/>
    <s v="Male"/>
    <n v="26.4"/>
    <n v="0"/>
    <s v="No"/>
    <s v="Northeast"/>
    <n v="4830.63"/>
    <s v="Youth"/>
    <s v="26-35"/>
    <x v="2"/>
    <s v="Low"/>
  </r>
  <r>
    <n v="27"/>
    <s v="Female"/>
    <n v="26.41"/>
    <n v="0"/>
    <s v="No"/>
    <s v="Southeast"/>
    <n v="4837.5823"/>
    <s v="Youth"/>
    <s v="26-35"/>
    <x v="2"/>
    <s v="Low"/>
  </r>
  <r>
    <n v="27"/>
    <s v="Female"/>
    <n v="26.41"/>
    <n v="0"/>
    <s v="No"/>
    <s v="Southeast"/>
    <n v="4846.9201499999999"/>
    <s v="Youth"/>
    <s v="26-35"/>
    <x v="2"/>
    <s v="Low"/>
  </r>
  <r>
    <n v="27"/>
    <s v="Male"/>
    <n v="26.41"/>
    <n v="0"/>
    <s v="No"/>
    <s v="Southeast"/>
    <n v="4877.9810500000003"/>
    <s v="Youth"/>
    <s v="26-35"/>
    <x v="2"/>
    <s v="Low"/>
  </r>
  <r>
    <n v="27"/>
    <s v="Male"/>
    <n v="26.41"/>
    <n v="0"/>
    <s v="No"/>
    <s v="Northeast"/>
    <n v="4883.866"/>
    <s v="Youth"/>
    <s v="26-35"/>
    <x v="2"/>
    <s v="Low"/>
  </r>
  <r>
    <n v="27"/>
    <s v="Female"/>
    <n v="26.41"/>
    <n v="0"/>
    <s v="No"/>
    <s v="Southeast"/>
    <n v="4889.0367999999999"/>
    <s v="Youth"/>
    <s v="26-35"/>
    <x v="2"/>
    <s v="Low"/>
  </r>
  <r>
    <n v="27"/>
    <s v="Male"/>
    <n v="26.41"/>
    <n v="0"/>
    <s v="No"/>
    <s v="Northwest"/>
    <n v="4889.9994999999999"/>
    <s v="Youth"/>
    <s v="26-35"/>
    <x v="2"/>
    <s v="Low"/>
  </r>
  <r>
    <n v="27"/>
    <s v="Female"/>
    <n v="26.504999999999999"/>
    <n v="0"/>
    <s v="No"/>
    <s v="Northwest"/>
    <n v="4894.7533000000003"/>
    <s v="Youth"/>
    <s v="26-35"/>
    <x v="2"/>
    <s v="Low"/>
  </r>
  <r>
    <n v="27"/>
    <s v="Female"/>
    <n v="26.51"/>
    <n v="0"/>
    <s v="No"/>
    <s v="Southwest"/>
    <n v="4906.4096499999996"/>
    <s v="Youth"/>
    <s v="26-35"/>
    <x v="2"/>
    <s v="Low"/>
  </r>
  <r>
    <n v="27"/>
    <s v="Female"/>
    <n v="26.51"/>
    <n v="0"/>
    <s v="No"/>
    <s v="Southwest"/>
    <n v="4915.0598499999996"/>
    <s v="Youth"/>
    <s v="26-35"/>
    <x v="2"/>
    <s v="Low"/>
  </r>
  <r>
    <n v="27"/>
    <s v="Male"/>
    <n v="26.6"/>
    <n v="0"/>
    <s v="No"/>
    <s v="Northeast"/>
    <n v="4922.9159"/>
    <s v="Youth"/>
    <s v="26-35"/>
    <x v="2"/>
    <s v="Low"/>
  </r>
  <r>
    <n v="27"/>
    <s v="Female"/>
    <n v="26.6"/>
    <n v="0"/>
    <s v="No"/>
    <s v="Southeast"/>
    <n v="4931.6469999999999"/>
    <s v="Youth"/>
    <s v="26-35"/>
    <x v="2"/>
    <s v="Low"/>
  </r>
  <r>
    <n v="27"/>
    <s v="Male"/>
    <n v="26.6"/>
    <n v="0"/>
    <s v="No"/>
    <s v="Southwest"/>
    <n v="4934.7049999999999"/>
    <s v="Youth"/>
    <s v="26-35"/>
    <x v="2"/>
    <s v="Low"/>
  </r>
  <r>
    <n v="27"/>
    <s v="Male"/>
    <n v="26.6"/>
    <n v="0"/>
    <s v="No"/>
    <s v="Southeast"/>
    <n v="4949.7587000000003"/>
    <s v="Youth"/>
    <s v="26-35"/>
    <x v="2"/>
    <s v="Low"/>
  </r>
  <r>
    <n v="27"/>
    <s v="Male"/>
    <n v="26.6"/>
    <n v="0"/>
    <s v="No"/>
    <s v="Northwest"/>
    <n v="4992.3764000000001"/>
    <s v="Youth"/>
    <s v="26-35"/>
    <x v="2"/>
    <s v="Low"/>
  </r>
  <r>
    <n v="27"/>
    <s v="Male"/>
    <n v="26.6"/>
    <n v="0"/>
    <s v="No"/>
    <s v="Southeast"/>
    <n v="5002.7826999999997"/>
    <s v="Youth"/>
    <s v="26-35"/>
    <x v="2"/>
    <s v="Low"/>
  </r>
  <r>
    <n v="27"/>
    <s v="Female"/>
    <n v="26.62"/>
    <n v="0"/>
    <s v="No"/>
    <s v="Southeast"/>
    <n v="5003.8530000000001"/>
    <s v="Youth"/>
    <s v="26-35"/>
    <x v="2"/>
    <s v="Low"/>
  </r>
  <r>
    <n v="27"/>
    <s v="Female"/>
    <n v="26.62"/>
    <n v="0"/>
    <s v="No"/>
    <s v="Northeast"/>
    <n v="5012.4709999999995"/>
    <s v="Youth"/>
    <s v="26-35"/>
    <x v="2"/>
    <s v="Low"/>
  </r>
  <r>
    <n v="28"/>
    <s v="Male"/>
    <n v="26.695"/>
    <n v="0"/>
    <s v="No"/>
    <s v="Southwest"/>
    <n v="5028.1466"/>
    <s v="Youth"/>
    <s v="26-35"/>
    <x v="2"/>
    <s v="Low"/>
  </r>
  <r>
    <n v="28"/>
    <s v="Female"/>
    <n v="26.695"/>
    <n v="0"/>
    <s v="Yes"/>
    <s v="Southwest"/>
    <n v="5031.26955"/>
    <s v="Youth"/>
    <s v="26-35"/>
    <x v="2"/>
    <s v="Low"/>
  </r>
  <r>
    <n v="28"/>
    <s v="Female"/>
    <n v="26.695"/>
    <n v="0"/>
    <s v="No"/>
    <s v="Southwest"/>
    <n v="5080.0959999999995"/>
    <s v="Youth"/>
    <s v="26-35"/>
    <x v="2"/>
    <s v="Low"/>
  </r>
  <r>
    <n v="28"/>
    <s v="Female"/>
    <n v="26.695"/>
    <n v="0"/>
    <s v="No"/>
    <s v="Southeast"/>
    <n v="5116.5003999999999"/>
    <s v="Youth"/>
    <s v="26-35"/>
    <x v="2"/>
    <s v="Low"/>
  </r>
  <r>
    <n v="28"/>
    <s v="Female"/>
    <n v="26.695"/>
    <n v="0"/>
    <s v="No"/>
    <s v="Northeast"/>
    <n v="5124.1886999999997"/>
    <s v="Youth"/>
    <s v="26-35"/>
    <x v="2"/>
    <s v="Low"/>
  </r>
  <r>
    <n v="28"/>
    <s v="Female"/>
    <n v="26.7"/>
    <n v="0"/>
    <s v="No"/>
    <s v="Northeast"/>
    <n v="5125.2156999999997"/>
    <s v="Youth"/>
    <s v="26-35"/>
    <x v="2"/>
    <s v="Low"/>
  </r>
  <r>
    <n v="28"/>
    <s v="Female"/>
    <n v="26.7"/>
    <n v="0"/>
    <s v="No"/>
    <s v="Northwest"/>
    <n v="5138.2566999999999"/>
    <s v="Youth"/>
    <s v="26-35"/>
    <x v="2"/>
    <s v="Low"/>
  </r>
  <r>
    <n v="28"/>
    <s v="Male"/>
    <n v="26.73"/>
    <n v="0"/>
    <s v="No"/>
    <s v="Northwest"/>
    <n v="5148.5526"/>
    <s v="Youth"/>
    <s v="26-35"/>
    <x v="2"/>
    <s v="Low"/>
  </r>
  <r>
    <n v="28"/>
    <s v="Male"/>
    <n v="26.73"/>
    <n v="0"/>
    <s v="No"/>
    <s v="Northeast"/>
    <n v="5152.134"/>
    <s v="Youth"/>
    <s v="26-35"/>
    <x v="2"/>
    <s v="Low"/>
  </r>
  <r>
    <n v="28"/>
    <s v="Female"/>
    <n v="26.79"/>
    <n v="0"/>
    <s v="No"/>
    <s v="Northwest"/>
    <n v="5209.5788499999999"/>
    <s v="Youth"/>
    <s v="26-35"/>
    <x v="2"/>
    <s v="Low"/>
  </r>
  <r>
    <n v="28"/>
    <s v="Female"/>
    <n v="26.79"/>
    <n v="0"/>
    <s v="No"/>
    <s v="Northeast"/>
    <n v="5227.9887500000004"/>
    <s v="Youth"/>
    <s v="26-35"/>
    <x v="2"/>
    <s v="Low"/>
  </r>
  <r>
    <n v="28"/>
    <s v="Female"/>
    <n v="26.8"/>
    <n v="0"/>
    <s v="No"/>
    <s v="Northeast"/>
    <n v="5240.7650000000003"/>
    <s v="Youth"/>
    <s v="26-35"/>
    <x v="2"/>
    <s v="Low"/>
  </r>
  <r>
    <n v="28"/>
    <s v="Male"/>
    <n v="26.8"/>
    <n v="0"/>
    <s v="Yes"/>
    <s v="Southwest"/>
    <n v="5245.2268999999997"/>
    <s v="Youth"/>
    <s v="26-35"/>
    <x v="2"/>
    <s v="Low"/>
  </r>
  <r>
    <n v="28"/>
    <s v="Male"/>
    <n v="26.84"/>
    <n v="0"/>
    <s v="No"/>
    <s v="Southeast"/>
    <n v="5246.0469999999996"/>
    <s v="Youth"/>
    <s v="26-35"/>
    <x v="2"/>
    <s v="Low"/>
  </r>
  <r>
    <n v="28"/>
    <s v="Female"/>
    <n v="26.84"/>
    <n v="0"/>
    <s v="Yes"/>
    <s v="Northwest"/>
    <n v="5253.5240000000003"/>
    <s v="Youth"/>
    <s v="26-35"/>
    <x v="2"/>
    <s v="Low"/>
  </r>
  <r>
    <n v="28"/>
    <s v="Female"/>
    <n v="26.885000000000002"/>
    <n v="0"/>
    <s v="Yes"/>
    <s v="Northeast"/>
    <n v="5257.5079500000002"/>
    <s v="Youth"/>
    <s v="26-35"/>
    <x v="2"/>
    <s v="Low"/>
  </r>
  <r>
    <n v="28"/>
    <s v="Male"/>
    <n v="26.885000000000002"/>
    <n v="0"/>
    <s v="Yes"/>
    <s v="Southeast"/>
    <n v="5261.4694499999996"/>
    <s v="Youth"/>
    <s v="26-35"/>
    <x v="2"/>
    <s v="Low"/>
  </r>
  <r>
    <n v="28"/>
    <s v="Female"/>
    <n v="26.885000000000002"/>
    <n v="0"/>
    <s v="No"/>
    <s v="Northwest"/>
    <n v="5266.3656000000001"/>
    <s v="Youth"/>
    <s v="26-35"/>
    <x v="2"/>
    <s v="Low"/>
  </r>
  <r>
    <n v="28"/>
    <s v="Male"/>
    <n v="26.885000000000002"/>
    <n v="0"/>
    <s v="No"/>
    <s v="Southeast"/>
    <n v="5267.8181500000001"/>
    <s v="Youth"/>
    <s v="26-35"/>
    <x v="2"/>
    <s v="Low"/>
  </r>
  <r>
    <n v="28"/>
    <s v="Female"/>
    <n v="26.9"/>
    <n v="0"/>
    <s v="Yes"/>
    <s v="Northeast"/>
    <n v="5272.1758"/>
    <s v="Youth"/>
    <s v="26-35"/>
    <x v="2"/>
    <s v="Low"/>
  </r>
  <r>
    <n v="28"/>
    <s v="Male"/>
    <n v="26.98"/>
    <n v="0"/>
    <s v="Yes"/>
    <s v="Northeast"/>
    <n v="5312.1698500000002"/>
    <s v="Youth"/>
    <s v="26-35"/>
    <x v="2"/>
    <s v="Low"/>
  </r>
  <r>
    <n v="28"/>
    <s v="Male"/>
    <n v="26.98"/>
    <n v="0"/>
    <s v="No"/>
    <s v="Southeast"/>
    <n v="5325.6509999999998"/>
    <s v="Youth"/>
    <s v="26-35"/>
    <x v="2"/>
    <s v="Low"/>
  </r>
  <r>
    <n v="28"/>
    <s v="Female"/>
    <n v="26.98"/>
    <n v="0"/>
    <s v="No"/>
    <s v="Southeast"/>
    <n v="5327.4002499999997"/>
    <s v="Youth"/>
    <s v="26-35"/>
    <x v="2"/>
    <s v="Low"/>
  </r>
  <r>
    <n v="28"/>
    <s v="Male"/>
    <n v="27"/>
    <n v="0"/>
    <s v="No"/>
    <s v="Northeast"/>
    <n v="5354.0746499999996"/>
    <s v="Youth"/>
    <s v="26-35"/>
    <x v="2"/>
    <s v="Low"/>
  </r>
  <r>
    <n v="28"/>
    <s v="Male"/>
    <n v="27.06"/>
    <n v="0"/>
    <s v="No"/>
    <s v="Southwest"/>
    <n v="5373.3642499999996"/>
    <s v="Youth"/>
    <s v="26-35"/>
    <x v="2"/>
    <s v="Low"/>
  </r>
  <r>
    <n v="28"/>
    <s v="Female"/>
    <n v="27.074999999999999"/>
    <n v="0"/>
    <s v="No"/>
    <s v="Southeast"/>
    <n v="5375.0379999999996"/>
    <s v="Youth"/>
    <s v="26-35"/>
    <x v="2"/>
    <s v="Low"/>
  </r>
  <r>
    <n v="28"/>
    <s v="Male"/>
    <n v="27.1"/>
    <n v="0"/>
    <s v="No"/>
    <s v="Northwest"/>
    <n v="5377.4578000000001"/>
    <s v="Youth"/>
    <s v="26-35"/>
    <x v="2"/>
    <s v="Low"/>
  </r>
  <r>
    <n v="28"/>
    <s v="Female"/>
    <n v="27.1"/>
    <n v="0"/>
    <s v="No"/>
    <s v="Northwest"/>
    <n v="5383.5360000000001"/>
    <s v="Youth"/>
    <s v="26-35"/>
    <x v="2"/>
    <s v="Low"/>
  </r>
  <r>
    <n v="29"/>
    <s v="Female"/>
    <n v="27.1"/>
    <n v="0"/>
    <s v="No"/>
    <s v="Northwest"/>
    <n v="5385.3379000000004"/>
    <s v="Youth"/>
    <s v="26-35"/>
    <x v="2"/>
    <s v="Low"/>
  </r>
  <r>
    <n v="29"/>
    <s v="Male"/>
    <n v="27.1"/>
    <n v="0"/>
    <s v="No"/>
    <s v="Northeast"/>
    <n v="5397.6166999999996"/>
    <s v="Youth"/>
    <s v="26-35"/>
    <x v="2"/>
    <s v="Low"/>
  </r>
  <r>
    <n v="29"/>
    <s v="Female"/>
    <n v="27.17"/>
    <n v="0"/>
    <s v="No"/>
    <s v="Northwest"/>
    <n v="5400.9804999999997"/>
    <s v="Youth"/>
    <s v="26-35"/>
    <x v="2"/>
    <s v="Low"/>
  </r>
  <r>
    <n v="29"/>
    <s v="Male"/>
    <n v="27.17"/>
    <n v="0"/>
    <s v="No"/>
    <s v="Northeast"/>
    <n v="5415.6611999999996"/>
    <s v="Youth"/>
    <s v="26-35"/>
    <x v="2"/>
    <s v="Low"/>
  </r>
  <r>
    <n v="29"/>
    <s v="Male"/>
    <n v="27.2"/>
    <n v="0"/>
    <s v="No"/>
    <s v="Northeast"/>
    <n v="5425.0233500000004"/>
    <s v="Youth"/>
    <s v="26-35"/>
    <x v="2"/>
    <s v="Low"/>
  </r>
  <r>
    <n v="29"/>
    <s v="Female"/>
    <n v="27.2"/>
    <n v="0"/>
    <s v="No"/>
    <s v="Northeast"/>
    <n v="5428.7277000000004"/>
    <s v="Youth"/>
    <s v="26-35"/>
    <x v="2"/>
    <s v="Low"/>
  </r>
  <r>
    <n v="29"/>
    <s v="Male"/>
    <n v="27.265000000000001"/>
    <n v="0"/>
    <s v="No"/>
    <s v="Northwest"/>
    <n v="5438.7491"/>
    <s v="Youth"/>
    <s v="26-35"/>
    <x v="2"/>
    <s v="Low"/>
  </r>
  <r>
    <n v="29"/>
    <s v="Female"/>
    <n v="27.265000000000001"/>
    <n v="0"/>
    <s v="No"/>
    <s v="Southwest"/>
    <n v="5458.0464499999998"/>
    <s v="Youth"/>
    <s v="26-35"/>
    <x v="2"/>
    <s v="Low"/>
  </r>
  <r>
    <n v="29"/>
    <s v="Male"/>
    <n v="27.265000000000001"/>
    <n v="0"/>
    <s v="No"/>
    <s v="Southeast"/>
    <n v="5469.0065999999997"/>
    <s v="Youth"/>
    <s v="26-35"/>
    <x v="2"/>
    <s v="Low"/>
  </r>
  <r>
    <n v="29"/>
    <s v="Male"/>
    <n v="27.265000000000001"/>
    <n v="0"/>
    <s v="No"/>
    <s v="Southwest"/>
    <n v="5472.4489999999996"/>
    <s v="Youth"/>
    <s v="26-35"/>
    <x v="2"/>
    <s v="Low"/>
  </r>
  <r>
    <n v="29"/>
    <s v="Female"/>
    <n v="27.28"/>
    <n v="0"/>
    <s v="No"/>
    <s v="Southeast"/>
    <n v="5478.0367999999999"/>
    <s v="Youth"/>
    <s v="26-35"/>
    <x v="2"/>
    <s v="Low"/>
  </r>
  <r>
    <n v="29"/>
    <s v="Female"/>
    <n v="27.3"/>
    <n v="0"/>
    <s v="No"/>
    <s v="Southwest"/>
    <n v="5484.4673000000003"/>
    <s v="Youth"/>
    <s v="26-35"/>
    <x v="2"/>
    <s v="Low"/>
  </r>
  <r>
    <n v="29"/>
    <s v="Male"/>
    <n v="27.36"/>
    <n v="0"/>
    <s v="No"/>
    <s v="Southeast"/>
    <n v="5488.2619999999997"/>
    <s v="Youth"/>
    <s v="26-35"/>
    <x v="2"/>
    <s v="Low"/>
  </r>
  <r>
    <n v="29"/>
    <s v="Female"/>
    <n v="27.36"/>
    <n v="0"/>
    <s v="No"/>
    <s v="Northwest"/>
    <n v="5584.3056999999999"/>
    <s v="Youth"/>
    <s v="26-35"/>
    <x v="2"/>
    <s v="Low"/>
  </r>
  <r>
    <n v="29"/>
    <s v="Male"/>
    <n v="27.36"/>
    <n v="0"/>
    <s v="No"/>
    <s v="Northwest"/>
    <n v="5594.8455000000004"/>
    <s v="Youth"/>
    <s v="26-35"/>
    <x v="2"/>
    <s v="Low"/>
  </r>
  <r>
    <n v="29"/>
    <s v="Male"/>
    <n v="27.36"/>
    <n v="0"/>
    <s v="No"/>
    <s v="Southwest"/>
    <n v="5615.3689999999997"/>
    <s v="Youth"/>
    <s v="26-35"/>
    <x v="2"/>
    <s v="Low"/>
  </r>
  <r>
    <n v="29"/>
    <s v="Female"/>
    <n v="27.36"/>
    <n v="0"/>
    <s v="No"/>
    <s v="Northeast"/>
    <n v="5630.4578499999998"/>
    <s v="Youth"/>
    <s v="26-35"/>
    <x v="2"/>
    <s v="Low"/>
  </r>
  <r>
    <n v="29"/>
    <s v="Female"/>
    <n v="27.36"/>
    <n v="0"/>
    <s v="No"/>
    <s v="Southeast"/>
    <n v="5649.7150000000001"/>
    <s v="Youth"/>
    <s v="26-35"/>
    <x v="2"/>
    <s v="Low"/>
  </r>
  <r>
    <n v="29"/>
    <s v="Female"/>
    <n v="27.36"/>
    <n v="0"/>
    <s v="No"/>
    <s v="Southwest"/>
    <n v="5662.2250000000004"/>
    <s v="Youth"/>
    <s v="26-35"/>
    <x v="2"/>
    <s v="Low"/>
  </r>
  <r>
    <n v="29"/>
    <s v="Male"/>
    <n v="27.4"/>
    <n v="0"/>
    <s v="No"/>
    <s v="Southeast"/>
    <n v="5693.4305000000004"/>
    <s v="Youth"/>
    <s v="26-35"/>
    <x v="2"/>
    <s v="Low"/>
  </r>
  <r>
    <n v="29"/>
    <s v="Male"/>
    <n v="27.4"/>
    <n v="0"/>
    <s v="No"/>
    <s v="Southeast"/>
    <n v="5699.8374999999996"/>
    <s v="Youth"/>
    <s v="26-35"/>
    <x v="2"/>
    <s v="Low"/>
  </r>
  <r>
    <n v="29"/>
    <s v="Male"/>
    <n v="27.454999999999998"/>
    <n v="0"/>
    <s v="No"/>
    <s v="Northwest"/>
    <n v="5708.8670000000002"/>
    <s v="Youth"/>
    <s v="26-35"/>
    <x v="2"/>
    <s v="Low"/>
  </r>
  <r>
    <n v="29"/>
    <s v="Female"/>
    <n v="27.454999999999998"/>
    <n v="0"/>
    <s v="Yes"/>
    <s v="Northeast"/>
    <n v="5709.1643999999997"/>
    <s v="Youth"/>
    <s v="26-35"/>
    <x v="2"/>
    <s v="Low"/>
  </r>
  <r>
    <n v="29"/>
    <s v="Female"/>
    <n v="27.5"/>
    <n v="0"/>
    <s v="Yes"/>
    <s v="Northeast"/>
    <n v="5729.0052999999998"/>
    <s v="Youth"/>
    <s v="26-35"/>
    <x v="2"/>
    <s v="Low"/>
  </r>
  <r>
    <n v="29"/>
    <s v="Male"/>
    <n v="27.5"/>
    <n v="0"/>
    <s v="No"/>
    <s v="Southwest"/>
    <n v="5757.41345"/>
    <s v="Youth"/>
    <s v="26-35"/>
    <x v="2"/>
    <s v="Low"/>
  </r>
  <r>
    <n v="29"/>
    <s v="Female"/>
    <n v="27.5"/>
    <n v="0"/>
    <s v="No"/>
    <s v="Northwest"/>
    <n v="5836.5204000000003"/>
    <s v="Youth"/>
    <s v="26-35"/>
    <x v="2"/>
    <s v="Low"/>
  </r>
  <r>
    <n v="29"/>
    <s v="Female"/>
    <n v="27.5"/>
    <n v="0"/>
    <s v="No"/>
    <s v="Southeast"/>
    <n v="5846.9175999999998"/>
    <s v="Youth"/>
    <s v="26-35"/>
    <x v="2"/>
    <s v="Low"/>
  </r>
  <r>
    <n v="30"/>
    <s v="Male"/>
    <n v="27.5"/>
    <n v="0"/>
    <s v="No"/>
    <s v="Southeast"/>
    <n v="5855.9025000000001"/>
    <s v="Youth"/>
    <s v="26-35"/>
    <x v="2"/>
    <s v="Low"/>
  </r>
  <r>
    <n v="30"/>
    <s v="Female"/>
    <n v="27.5"/>
    <n v="0"/>
    <s v="Yes"/>
    <s v="Southwest"/>
    <n v="5910.9440000000004"/>
    <s v="Youth"/>
    <s v="26-35"/>
    <x v="2"/>
    <s v="Low"/>
  </r>
  <r>
    <n v="30"/>
    <s v="Male"/>
    <n v="27.55"/>
    <n v="0"/>
    <s v="No"/>
    <s v="Southeast"/>
    <n v="5920.1040999999996"/>
    <s v="Youth"/>
    <s v="26-35"/>
    <x v="2"/>
    <s v="Low"/>
  </r>
  <r>
    <n v="30"/>
    <s v="Female"/>
    <n v="27.55"/>
    <n v="0"/>
    <s v="Yes"/>
    <s v="Northwest"/>
    <n v="5926.8459999999995"/>
    <s v="Youth"/>
    <s v="26-35"/>
    <x v="2"/>
    <s v="Low"/>
  </r>
  <r>
    <n v="30"/>
    <s v="Male"/>
    <n v="27.55"/>
    <n v="0"/>
    <s v="Yes"/>
    <s v="Southeast"/>
    <n v="5934.3797999999997"/>
    <s v="Youth"/>
    <s v="26-35"/>
    <x v="2"/>
    <s v="Low"/>
  </r>
  <r>
    <n v="30"/>
    <s v="Male"/>
    <n v="27.55"/>
    <n v="0"/>
    <s v="Yes"/>
    <s v="Southeast"/>
    <n v="5966.8873999999996"/>
    <s v="Youth"/>
    <s v="26-35"/>
    <x v="2"/>
    <s v="Low"/>
  </r>
  <r>
    <n v="30"/>
    <s v="Male"/>
    <n v="27.6"/>
    <n v="0"/>
    <s v="Yes"/>
    <s v="Northeast"/>
    <n v="5969.723"/>
    <s v="Youth"/>
    <s v="26-35"/>
    <x v="2"/>
    <s v="Low"/>
  </r>
  <r>
    <n v="30"/>
    <s v="Male"/>
    <n v="27.6"/>
    <n v="0"/>
    <s v="No"/>
    <s v="Northeast"/>
    <n v="5972.3779999999997"/>
    <s v="Youth"/>
    <s v="26-35"/>
    <x v="2"/>
    <s v="Low"/>
  </r>
  <r>
    <n v="30"/>
    <s v="Male"/>
    <n v="27.6"/>
    <n v="0"/>
    <s v="No"/>
    <s v="Southwest"/>
    <n v="5974.3846999999996"/>
    <s v="Youth"/>
    <s v="26-35"/>
    <x v="2"/>
    <s v="Low"/>
  </r>
  <r>
    <n v="30"/>
    <s v="Male"/>
    <n v="27.6"/>
    <n v="0"/>
    <s v="No"/>
    <s v="Southeast"/>
    <n v="5976.8311000000003"/>
    <s v="Youth"/>
    <s v="26-35"/>
    <x v="2"/>
    <s v="Low"/>
  </r>
  <r>
    <n v="30"/>
    <s v="Female"/>
    <n v="27.6"/>
    <n v="0"/>
    <s v="No"/>
    <s v="Northeast"/>
    <n v="5979.7309999999998"/>
    <s v="Youth"/>
    <s v="26-35"/>
    <x v="2"/>
    <s v="Low"/>
  </r>
  <r>
    <n v="30"/>
    <s v="Female"/>
    <n v="27.61"/>
    <n v="0"/>
    <s v="No"/>
    <s v="Northeast"/>
    <n v="5989.5236500000001"/>
    <s v="Youth"/>
    <s v="26-35"/>
    <x v="2"/>
    <s v="Low"/>
  </r>
  <r>
    <n v="30"/>
    <s v="Female"/>
    <n v="27.645"/>
    <n v="0"/>
    <s v="No"/>
    <s v="Northeast"/>
    <n v="6059.1729999999998"/>
    <s v="Youth"/>
    <s v="26-35"/>
    <x v="2"/>
    <s v="Low"/>
  </r>
  <r>
    <n v="30"/>
    <s v="Female"/>
    <n v="27.645"/>
    <n v="0"/>
    <s v="No"/>
    <s v="Northwest"/>
    <n v="6067.1267500000004"/>
    <s v="Youth"/>
    <s v="26-35"/>
    <x v="2"/>
    <s v="Low"/>
  </r>
  <r>
    <n v="30"/>
    <s v="Male"/>
    <n v="27.645"/>
    <n v="0"/>
    <s v="No"/>
    <s v="Southwest"/>
    <n v="6079.6715000000004"/>
    <s v="Youth"/>
    <s v="26-35"/>
    <x v="2"/>
    <s v="Low"/>
  </r>
  <r>
    <n v="30"/>
    <s v="Female"/>
    <n v="27.645"/>
    <n v="0"/>
    <s v="No"/>
    <s v="Northwest"/>
    <n v="6082.4049999999997"/>
    <s v="Youth"/>
    <s v="26-35"/>
    <x v="2"/>
    <s v="Low"/>
  </r>
  <r>
    <n v="30"/>
    <s v="Male"/>
    <n v="27.645"/>
    <n v="0"/>
    <s v="No"/>
    <s v="Southwest"/>
    <n v="6112.3529500000004"/>
    <s v="Youth"/>
    <s v="26-35"/>
    <x v="2"/>
    <s v="Low"/>
  </r>
  <r>
    <n v="30"/>
    <s v="Female"/>
    <n v="27.645"/>
    <n v="0"/>
    <s v="No"/>
    <s v="Southwest"/>
    <n v="6113.2310500000003"/>
    <s v="Youth"/>
    <s v="26-35"/>
    <x v="2"/>
    <s v="Low"/>
  </r>
  <r>
    <n v="30"/>
    <s v="Male"/>
    <n v="27.645"/>
    <n v="0"/>
    <s v="No"/>
    <s v="Northwest"/>
    <n v="6117.4944999999998"/>
    <s v="Youth"/>
    <s v="26-35"/>
    <x v="2"/>
    <s v="Low"/>
  </r>
  <r>
    <n v="30"/>
    <s v="Male"/>
    <n v="27.7"/>
    <n v="0"/>
    <s v="No"/>
    <s v="Southeast"/>
    <n v="6123.5688"/>
    <s v="Youth"/>
    <s v="26-35"/>
    <x v="2"/>
    <s v="Low"/>
  </r>
  <r>
    <n v="30"/>
    <s v="Male"/>
    <n v="27.7"/>
    <n v="0"/>
    <s v="No"/>
    <s v="Northeast"/>
    <n v="6128.79745"/>
    <s v="Youth"/>
    <s v="26-35"/>
    <x v="2"/>
    <s v="Low"/>
  </r>
  <r>
    <n v="30"/>
    <s v="Male"/>
    <n v="27.7"/>
    <n v="0"/>
    <s v="No"/>
    <s v="Southwest"/>
    <n v="6184.2993999999999"/>
    <s v="Youth"/>
    <s v="26-35"/>
    <x v="2"/>
    <s v="Low"/>
  </r>
  <r>
    <n v="30"/>
    <s v="Female"/>
    <n v="27.72"/>
    <n v="0"/>
    <s v="No"/>
    <s v="Southeast"/>
    <n v="6185.3208000000004"/>
    <s v="Youth"/>
    <s v="26-35"/>
    <x v="2"/>
    <s v="Low"/>
  </r>
  <r>
    <n v="30"/>
    <s v="Male"/>
    <n v="27.72"/>
    <n v="0"/>
    <s v="No"/>
    <s v="Northeast"/>
    <n v="6186.1270000000004"/>
    <s v="Youth"/>
    <s v="26-35"/>
    <x v="2"/>
    <s v="Low"/>
  </r>
  <r>
    <n v="30"/>
    <s v="Female"/>
    <n v="27.72"/>
    <n v="0"/>
    <s v="No"/>
    <s v="Northwest"/>
    <n v="6196.4480000000003"/>
    <s v="Youth"/>
    <s v="26-35"/>
    <x v="2"/>
    <s v="Low"/>
  </r>
  <r>
    <n v="30"/>
    <s v="Female"/>
    <n v="27.72"/>
    <n v="0"/>
    <s v="Yes"/>
    <s v="Southwest"/>
    <n v="6198.7518"/>
    <s v="Youth"/>
    <s v="26-35"/>
    <x v="2"/>
    <s v="Low"/>
  </r>
  <r>
    <n v="30"/>
    <s v="Male"/>
    <n v="27.74"/>
    <n v="0"/>
    <s v="No"/>
    <s v="Southeast"/>
    <n v="6203.90175"/>
    <s v="Youth"/>
    <s v="26-35"/>
    <x v="2"/>
    <s v="Low"/>
  </r>
  <r>
    <n v="31"/>
    <s v="Female"/>
    <n v="27.74"/>
    <n v="0"/>
    <s v="No"/>
    <s v="Southeast"/>
    <n v="6238.2979999999998"/>
    <s v="Adult"/>
    <s v="26-35"/>
    <x v="2"/>
    <s v="Low"/>
  </r>
  <r>
    <n v="31"/>
    <s v="Male"/>
    <n v="27.74"/>
    <n v="0"/>
    <s v="Yes"/>
    <s v="Northwest"/>
    <n v="6250.4350000000004"/>
    <s v="Adult"/>
    <s v="26-35"/>
    <x v="2"/>
    <s v="Low"/>
  </r>
  <r>
    <n v="31"/>
    <s v="Female"/>
    <n v="27.74"/>
    <n v="0"/>
    <s v="No"/>
    <s v="Southwest"/>
    <n v="6272.4772000000003"/>
    <s v="Adult"/>
    <s v="26-35"/>
    <x v="2"/>
    <s v="Low"/>
  </r>
  <r>
    <n v="31"/>
    <s v="Male"/>
    <n v="27.74"/>
    <n v="0"/>
    <s v="No"/>
    <s v="Northeast"/>
    <n v="6282.2349999999997"/>
    <s v="Adult"/>
    <s v="26-35"/>
    <x v="2"/>
    <s v="Low"/>
  </r>
  <r>
    <n v="31"/>
    <s v="Female"/>
    <n v="27.74"/>
    <n v="0"/>
    <s v="No"/>
    <s v="Northwest"/>
    <n v="6289.7548999999999"/>
    <s v="Adult"/>
    <s v="26-35"/>
    <x v="2"/>
    <s v="Low"/>
  </r>
  <r>
    <n v="31"/>
    <s v="Female"/>
    <n v="27.8"/>
    <n v="0"/>
    <s v="No"/>
    <s v="Southwest"/>
    <n v="6311.9520000000002"/>
    <s v="Adult"/>
    <s v="26-35"/>
    <x v="2"/>
    <s v="Low"/>
  </r>
  <r>
    <n v="31"/>
    <s v="Male"/>
    <n v="27.83"/>
    <n v="0"/>
    <s v="No"/>
    <s v="Southwest"/>
    <n v="6313.759"/>
    <s v="Adult"/>
    <s v="26-35"/>
    <x v="2"/>
    <s v="Low"/>
  </r>
  <r>
    <n v="31"/>
    <s v="Male"/>
    <n v="27.83"/>
    <n v="0"/>
    <s v="No"/>
    <s v="Southwest"/>
    <n v="6334.3435499999996"/>
    <s v="Adult"/>
    <s v="26-35"/>
    <x v="2"/>
    <s v="Low"/>
  </r>
  <r>
    <n v="31"/>
    <s v="Male"/>
    <n v="27.83"/>
    <n v="0"/>
    <s v="No"/>
    <s v="Northwest"/>
    <n v="6338.0756000000001"/>
    <s v="Adult"/>
    <s v="26-35"/>
    <x v="2"/>
    <s v="Low"/>
  </r>
  <r>
    <n v="31"/>
    <s v="Male"/>
    <n v="27.83"/>
    <n v="0"/>
    <s v="No"/>
    <s v="Southwest"/>
    <n v="6356.2707"/>
    <s v="Adult"/>
    <s v="26-35"/>
    <x v="2"/>
    <s v="Low"/>
  </r>
  <r>
    <n v="31"/>
    <s v="Male"/>
    <n v="27.835000000000001"/>
    <n v="0"/>
    <s v="No"/>
    <s v="Northwest"/>
    <n v="6358.7764500000003"/>
    <s v="Adult"/>
    <s v="26-35"/>
    <x v="2"/>
    <s v="Low"/>
  </r>
  <r>
    <n v="31"/>
    <s v="Male"/>
    <n v="27.835000000000001"/>
    <n v="0"/>
    <s v="No"/>
    <s v="Southeast"/>
    <n v="6360.9935999999998"/>
    <s v="Adult"/>
    <s v="26-35"/>
    <x v="2"/>
    <s v="Low"/>
  </r>
  <r>
    <n v="31"/>
    <s v="Male"/>
    <n v="27.835000000000001"/>
    <n v="0"/>
    <s v="No"/>
    <s v="Southwest"/>
    <n v="6373.55735"/>
    <s v="Adult"/>
    <s v="26-35"/>
    <x v="2"/>
    <s v="Low"/>
  </r>
  <r>
    <n v="31"/>
    <s v="Female"/>
    <n v="27.835000000000001"/>
    <n v="0"/>
    <s v="No"/>
    <s v="Southeast"/>
    <n v="6389.3778499999999"/>
    <s v="Adult"/>
    <s v="26-35"/>
    <x v="2"/>
    <s v="Low"/>
  </r>
  <r>
    <n v="31"/>
    <s v="Female"/>
    <n v="27.835000000000001"/>
    <n v="0"/>
    <s v="No"/>
    <s v="Northwest"/>
    <n v="6393.6034499999996"/>
    <s v="Adult"/>
    <s v="26-35"/>
    <x v="2"/>
    <s v="Low"/>
  </r>
  <r>
    <n v="31"/>
    <s v="Male"/>
    <n v="27.9"/>
    <n v="0"/>
    <s v="No"/>
    <s v="Southwest"/>
    <n v="6402.2913500000004"/>
    <s v="Adult"/>
    <s v="26-35"/>
    <x v="2"/>
    <s v="Low"/>
  </r>
  <r>
    <n v="31"/>
    <s v="Female"/>
    <n v="27.93"/>
    <n v="0"/>
    <s v="No"/>
    <s v="Southeast"/>
    <n v="6406.4107000000004"/>
    <s v="Adult"/>
    <s v="26-35"/>
    <x v="2"/>
    <s v="Low"/>
  </r>
  <r>
    <n v="31"/>
    <s v="Female"/>
    <n v="27.93"/>
    <n v="0"/>
    <s v="No"/>
    <s v="Southeast"/>
    <n v="6414.1779999999999"/>
    <s v="Adult"/>
    <s v="26-35"/>
    <x v="2"/>
    <s v="Low"/>
  </r>
  <r>
    <n v="31"/>
    <s v="Male"/>
    <n v="27.93"/>
    <n v="0"/>
    <s v="Yes"/>
    <s v="Southwest"/>
    <n v="6435.6237000000001"/>
    <s v="Adult"/>
    <s v="26-35"/>
    <x v="2"/>
    <s v="Low"/>
  </r>
  <r>
    <n v="31"/>
    <s v="Female"/>
    <n v="27.93"/>
    <n v="0"/>
    <s v="No"/>
    <s v="Northeast"/>
    <n v="6455.86265"/>
    <s v="Adult"/>
    <s v="26-35"/>
    <x v="2"/>
    <s v="Low"/>
  </r>
  <r>
    <n v="31"/>
    <s v="Male"/>
    <n v="27.94"/>
    <n v="0"/>
    <s v="No"/>
    <s v="Northeast"/>
    <n v="6457.8433999999997"/>
    <s v="Adult"/>
    <s v="26-35"/>
    <x v="2"/>
    <s v="Low"/>
  </r>
  <r>
    <n v="31"/>
    <s v="Male"/>
    <n v="27.94"/>
    <n v="0"/>
    <s v="No"/>
    <s v="Northwest"/>
    <n v="6474.0129999999999"/>
    <s v="Adult"/>
    <s v="26-35"/>
    <x v="2"/>
    <s v="Low"/>
  </r>
  <r>
    <n v="31"/>
    <s v="Female"/>
    <n v="27.94"/>
    <n v="0"/>
    <s v="Yes"/>
    <s v="Southeast"/>
    <n v="6496.8860000000004"/>
    <s v="Adult"/>
    <s v="26-35"/>
    <x v="2"/>
    <s v="Low"/>
  </r>
  <r>
    <n v="31"/>
    <s v="Female"/>
    <n v="28"/>
    <n v="0"/>
    <s v="No"/>
    <s v="Southwest"/>
    <n v="6500.2358999999997"/>
    <s v="Adult"/>
    <s v="26-35"/>
    <x v="2"/>
    <s v="Low"/>
  </r>
  <r>
    <n v="31"/>
    <s v="Female"/>
    <n v="28"/>
    <n v="0"/>
    <s v="No"/>
    <s v="Northwest"/>
    <n v="6548.1950500000003"/>
    <s v="Adult"/>
    <s v="26-35"/>
    <x v="2"/>
    <s v="Low"/>
  </r>
  <r>
    <n v="31"/>
    <s v="Female"/>
    <n v="28"/>
    <n v="0"/>
    <s v="No"/>
    <s v="Northeast"/>
    <n v="6551.7501000000002"/>
    <s v="Adult"/>
    <s v="26-35"/>
    <x v="2"/>
    <s v="Low"/>
  </r>
  <r>
    <n v="31"/>
    <s v="Female"/>
    <n v="28.024999999999999"/>
    <n v="0"/>
    <s v="No"/>
    <s v="Southeast"/>
    <n v="6555.07035"/>
    <s v="Adult"/>
    <s v="26-35"/>
    <x v="2"/>
    <s v="Low"/>
  </r>
  <r>
    <n v="32"/>
    <s v="Male"/>
    <n v="28.024999999999999"/>
    <n v="0"/>
    <s v="No"/>
    <s v="Southeast"/>
    <n v="6571.0243499999997"/>
    <s v="Adult"/>
    <s v="26-35"/>
    <x v="2"/>
    <s v="Low"/>
  </r>
  <r>
    <n v="32"/>
    <s v="Female"/>
    <n v="28.024999999999999"/>
    <n v="0"/>
    <s v="No"/>
    <s v="Northeast"/>
    <n v="6571.5439999999999"/>
    <s v="Adult"/>
    <s v="26-35"/>
    <x v="2"/>
    <s v="Low"/>
  </r>
  <r>
    <n v="32"/>
    <s v="Female"/>
    <n v="28.024999999999999"/>
    <n v="0"/>
    <s v="No"/>
    <s v="Southwest"/>
    <n v="6593.5083000000004"/>
    <s v="Adult"/>
    <s v="26-35"/>
    <x v="2"/>
    <s v="Low"/>
  </r>
  <r>
    <n v="32"/>
    <s v="Female"/>
    <n v="28.024999999999999"/>
    <n v="0"/>
    <s v="No"/>
    <s v="Northeast"/>
    <n v="6600.2059499999996"/>
    <s v="Adult"/>
    <s v="26-35"/>
    <x v="2"/>
    <s v="Low"/>
  </r>
  <r>
    <n v="32"/>
    <s v="Male"/>
    <n v="28.05"/>
    <n v="0"/>
    <s v="Yes"/>
    <s v="Southwest"/>
    <n v="6600.3609999999999"/>
    <s v="Adult"/>
    <s v="26-35"/>
    <x v="2"/>
    <s v="Low"/>
  </r>
  <r>
    <n v="32"/>
    <s v="Male"/>
    <n v="28.05"/>
    <n v="0"/>
    <s v="Yes"/>
    <s v="Northwest"/>
    <n v="6610.1097"/>
    <s v="Adult"/>
    <s v="26-35"/>
    <x v="2"/>
    <s v="Low"/>
  </r>
  <r>
    <n v="32"/>
    <s v="Male"/>
    <n v="28.05"/>
    <n v="0"/>
    <s v="Yes"/>
    <s v="Northeast"/>
    <n v="6640.5448500000002"/>
    <s v="Adult"/>
    <s v="26-35"/>
    <x v="2"/>
    <s v="Low"/>
  </r>
  <r>
    <n v="32"/>
    <s v="Male"/>
    <n v="28.1"/>
    <n v="0"/>
    <s v="No"/>
    <s v="Northwest"/>
    <n v="6652.5288"/>
    <s v="Adult"/>
    <s v="26-35"/>
    <x v="2"/>
    <s v="Low"/>
  </r>
  <r>
    <n v="32"/>
    <s v="Male"/>
    <n v="28.1"/>
    <n v="0"/>
    <s v="No"/>
    <s v="Southeast"/>
    <n v="6653.7885999999999"/>
    <s v="Adult"/>
    <s v="26-35"/>
    <x v="2"/>
    <s v="Low"/>
  </r>
  <r>
    <n v="32"/>
    <s v="Male"/>
    <n v="28.12"/>
    <n v="0"/>
    <s v="No"/>
    <s v="Southeast"/>
    <n v="6664.68595"/>
    <s v="Adult"/>
    <s v="26-35"/>
    <x v="2"/>
    <s v="Low"/>
  </r>
  <r>
    <n v="32"/>
    <s v="Male"/>
    <n v="28.12"/>
    <n v="0"/>
    <s v="No"/>
    <s v="Northwest"/>
    <n v="6666.2430000000004"/>
    <s v="Adult"/>
    <s v="26-35"/>
    <x v="2"/>
    <s v="Low"/>
  </r>
  <r>
    <n v="32"/>
    <s v="Male"/>
    <n v="28.12"/>
    <n v="0"/>
    <s v="No"/>
    <s v="Southeast"/>
    <n v="6686.4313000000002"/>
    <s v="Adult"/>
    <s v="26-35"/>
    <x v="2"/>
    <s v="Low"/>
  </r>
  <r>
    <n v="32"/>
    <s v="Female"/>
    <n v="28.12"/>
    <n v="0"/>
    <s v="No"/>
    <s v="Southeast"/>
    <n v="6710.1918999999998"/>
    <s v="Adult"/>
    <s v="26-35"/>
    <x v="2"/>
    <s v="Low"/>
  </r>
  <r>
    <n v="32"/>
    <s v="Female"/>
    <n v="28.16"/>
    <n v="0"/>
    <s v="No"/>
    <s v="Southwest"/>
    <n v="6746.7425000000003"/>
    <s v="Adult"/>
    <s v="26-35"/>
    <x v="2"/>
    <s v="Low"/>
  </r>
  <r>
    <n v="32"/>
    <s v="Male"/>
    <n v="28.2"/>
    <n v="0"/>
    <s v="No"/>
    <s v="Southwest"/>
    <n v="6748.5911999999998"/>
    <s v="Adult"/>
    <s v="26-35"/>
    <x v="2"/>
    <s v="Low"/>
  </r>
  <r>
    <n v="32"/>
    <s v="Female"/>
    <n v="28.215"/>
    <n v="0"/>
    <s v="No"/>
    <s v="Northeast"/>
    <n v="6753.0379999999996"/>
    <s v="Adult"/>
    <s v="26-35"/>
    <x v="2"/>
    <s v="Low"/>
  </r>
  <r>
    <n v="32"/>
    <s v="Female"/>
    <n v="28.215"/>
    <n v="0"/>
    <s v="No"/>
    <s v="Northwest"/>
    <n v="6770.1925000000001"/>
    <s v="Adult"/>
    <s v="26-35"/>
    <x v="2"/>
    <s v="Low"/>
  </r>
  <r>
    <n v="32"/>
    <s v="Male"/>
    <n v="28.215"/>
    <n v="0"/>
    <s v="No"/>
    <s v="Southwest"/>
    <n v="6775.9610000000002"/>
    <s v="Adult"/>
    <s v="26-35"/>
    <x v="2"/>
    <s v="Low"/>
  </r>
  <r>
    <n v="32"/>
    <s v="Female"/>
    <n v="28.215"/>
    <n v="0"/>
    <s v="Yes"/>
    <s v="Southeast"/>
    <n v="6781.3541999999998"/>
    <s v="Adult"/>
    <s v="26-35"/>
    <x v="2"/>
    <s v="Low"/>
  </r>
  <r>
    <n v="32"/>
    <s v="Male"/>
    <n v="28.27"/>
    <n v="0"/>
    <s v="No"/>
    <s v="Northwest"/>
    <n v="6796.8632500000003"/>
    <s v="Adult"/>
    <s v="26-35"/>
    <x v="2"/>
    <s v="Low"/>
  </r>
  <r>
    <n v="32"/>
    <s v="Female"/>
    <n v="28.27"/>
    <n v="0"/>
    <s v="No"/>
    <s v="Southwest"/>
    <n v="6799.4579999999996"/>
    <s v="Adult"/>
    <s v="26-35"/>
    <x v="2"/>
    <s v="Low"/>
  </r>
  <r>
    <n v="32"/>
    <s v="Female"/>
    <n v="28.3"/>
    <n v="0"/>
    <s v="No"/>
    <s v="Southeast"/>
    <n v="6837.3687"/>
    <s v="Adult"/>
    <s v="26-35"/>
    <x v="2"/>
    <s v="Low"/>
  </r>
  <r>
    <n v="32"/>
    <s v="Female"/>
    <n v="28.3"/>
    <n v="0"/>
    <s v="No"/>
    <s v="Northeast"/>
    <n v="6849.0259999999998"/>
    <s v="Adult"/>
    <s v="26-35"/>
    <x v="2"/>
    <s v="Low"/>
  </r>
  <r>
    <n v="32"/>
    <s v="Male"/>
    <n v="28.31"/>
    <n v="0"/>
    <s v="No"/>
    <s v="Southwest"/>
    <n v="6858.4795999999997"/>
    <s v="Adult"/>
    <s v="26-35"/>
    <x v="2"/>
    <s v="Low"/>
  </r>
  <r>
    <n v="32"/>
    <s v="Male"/>
    <n v="28.31"/>
    <n v="0"/>
    <s v="Yes"/>
    <s v="Southwest"/>
    <n v="6875.9610000000002"/>
    <s v="Adult"/>
    <s v="26-35"/>
    <x v="2"/>
    <s v="Low"/>
  </r>
  <r>
    <n v="32"/>
    <s v="Male"/>
    <n v="28.31"/>
    <n v="0"/>
    <s v="No"/>
    <s v="Northeast"/>
    <n v="6877.9800999999998"/>
    <s v="Adult"/>
    <s v="26-35"/>
    <x v="2"/>
    <s v="Low"/>
  </r>
  <r>
    <n v="33"/>
    <s v="Female"/>
    <n v="28.31"/>
    <n v="0"/>
    <s v="No"/>
    <s v="Southwest"/>
    <n v="6933.2422500000002"/>
    <s v="Adult"/>
    <s v="26-35"/>
    <x v="2"/>
    <s v="Low"/>
  </r>
  <r>
    <n v="33"/>
    <s v="Male"/>
    <n v="28.31"/>
    <n v="0"/>
    <s v="No"/>
    <s v="Southwest"/>
    <n v="6940.90985"/>
    <s v="Adult"/>
    <s v="26-35"/>
    <x v="2"/>
    <s v="Low"/>
  </r>
  <r>
    <n v="33"/>
    <s v="Female"/>
    <n v="28.31"/>
    <n v="0"/>
    <s v="No"/>
    <s v="Southeast"/>
    <n v="6948.7007999999996"/>
    <s v="Adult"/>
    <s v="26-35"/>
    <x v="2"/>
    <s v="Low"/>
  </r>
  <r>
    <n v="33"/>
    <s v="Female"/>
    <n v="28.31"/>
    <n v="0"/>
    <s v="No"/>
    <s v="Southwest"/>
    <n v="6985.50695"/>
    <s v="Adult"/>
    <s v="26-35"/>
    <x v="2"/>
    <s v="Low"/>
  </r>
  <r>
    <n v="33"/>
    <s v="Male"/>
    <n v="28.31"/>
    <n v="0"/>
    <s v="Yes"/>
    <s v="Southwest"/>
    <n v="6986.6970000000001"/>
    <s v="Adult"/>
    <s v="26-35"/>
    <x v="2"/>
    <s v="Low"/>
  </r>
  <r>
    <n v="33"/>
    <s v="Male"/>
    <n v="28.31"/>
    <n v="0"/>
    <s v="No"/>
    <s v="Northeast"/>
    <n v="7045.4989999999998"/>
    <s v="Adult"/>
    <s v="26-35"/>
    <x v="2"/>
    <s v="Low"/>
  </r>
  <r>
    <n v="33"/>
    <s v="Male"/>
    <n v="28.38"/>
    <n v="0"/>
    <s v="Yes"/>
    <s v="Southeast"/>
    <n v="7046.7222000000002"/>
    <s v="Adult"/>
    <s v="26-35"/>
    <x v="2"/>
    <s v="Low"/>
  </r>
  <r>
    <n v="33"/>
    <s v="Male"/>
    <n v="28.4"/>
    <n v="0"/>
    <s v="Yes"/>
    <s v="Southeast"/>
    <n v="7050.0213000000003"/>
    <s v="Adult"/>
    <s v="26-35"/>
    <x v="2"/>
    <s v="Low"/>
  </r>
  <r>
    <n v="33"/>
    <s v="Female"/>
    <n v="28.4"/>
    <n v="0"/>
    <s v="No"/>
    <s v="Southeast"/>
    <n v="7050.6419999999998"/>
    <s v="Adult"/>
    <s v="26-35"/>
    <x v="2"/>
    <s v="Low"/>
  </r>
  <r>
    <n v="33"/>
    <s v="Male"/>
    <n v="28.405000000000001"/>
    <n v="0"/>
    <s v="No"/>
    <s v="Northwest"/>
    <n v="7077.1894000000002"/>
    <s v="Adult"/>
    <s v="26-35"/>
    <x v="2"/>
    <s v="Low"/>
  </r>
  <r>
    <n v="33"/>
    <s v="Male"/>
    <n v="28.405000000000001"/>
    <n v="0"/>
    <s v="No"/>
    <s v="Northwest"/>
    <n v="7133.9025000000001"/>
    <s v="Adult"/>
    <s v="26-35"/>
    <x v="2"/>
    <s v="Low"/>
  </r>
  <r>
    <n v="33"/>
    <s v="Male"/>
    <n v="28.49"/>
    <n v="0"/>
    <s v="No"/>
    <s v="Northwest"/>
    <n v="7144.86265"/>
    <s v="Adult"/>
    <s v="26-35"/>
    <x v="2"/>
    <s v="Low"/>
  </r>
  <r>
    <n v="33"/>
    <s v="Female"/>
    <n v="28.5"/>
    <n v="0"/>
    <s v="No"/>
    <s v="Northeast"/>
    <n v="7147.1049999999996"/>
    <s v="Adult"/>
    <s v="26-35"/>
    <x v="2"/>
    <s v="Low"/>
  </r>
  <r>
    <n v="33"/>
    <s v="Female"/>
    <n v="28.5"/>
    <n v="0"/>
    <s v="No"/>
    <s v="Southwest"/>
    <n v="7147.4727999999996"/>
    <s v="Adult"/>
    <s v="26-35"/>
    <x v="2"/>
    <s v="Low"/>
  </r>
  <r>
    <n v="33"/>
    <s v="Male"/>
    <n v="28.5"/>
    <n v="0"/>
    <s v="No"/>
    <s v="Northeast"/>
    <n v="7151.0919999999996"/>
    <s v="Adult"/>
    <s v="26-35"/>
    <x v="2"/>
    <s v="Low"/>
  </r>
  <r>
    <n v="33"/>
    <s v="Male"/>
    <n v="28.5"/>
    <n v="0"/>
    <s v="No"/>
    <s v="Southeast"/>
    <n v="7152.6714000000002"/>
    <s v="Adult"/>
    <s v="26-35"/>
    <x v="2"/>
    <s v="Low"/>
  </r>
  <r>
    <n v="33"/>
    <s v="Male"/>
    <n v="28.5"/>
    <n v="0"/>
    <s v="No"/>
    <s v="Northeast"/>
    <n v="7153.5538999999999"/>
    <s v="Adult"/>
    <s v="26-35"/>
    <x v="2"/>
    <s v="Low"/>
  </r>
  <r>
    <n v="33"/>
    <s v="Male"/>
    <n v="28.594999999999999"/>
    <n v="0"/>
    <s v="No"/>
    <s v="Southwest"/>
    <n v="7160.0940000000001"/>
    <s v="Adult"/>
    <s v="26-35"/>
    <x v="2"/>
    <s v="Low"/>
  </r>
  <r>
    <n v="33"/>
    <s v="Male"/>
    <n v="28.594999999999999"/>
    <n v="0"/>
    <s v="Yes"/>
    <s v="Southwest"/>
    <n v="7160.3302999999996"/>
    <s v="Adult"/>
    <s v="26-35"/>
    <x v="2"/>
    <s v="Low"/>
  </r>
  <r>
    <n v="33"/>
    <s v="Male"/>
    <n v="28.594999999999999"/>
    <n v="0"/>
    <s v="No"/>
    <s v="Southwest"/>
    <n v="7162.0122000000001"/>
    <s v="Adult"/>
    <s v="26-35"/>
    <x v="2"/>
    <s v="Low"/>
  </r>
  <r>
    <n v="33"/>
    <s v="Male"/>
    <n v="28.594999999999999"/>
    <n v="0"/>
    <s v="No"/>
    <s v="Southeast"/>
    <n v="7173.35995"/>
    <s v="Adult"/>
    <s v="26-35"/>
    <x v="2"/>
    <s v="Low"/>
  </r>
  <r>
    <n v="33"/>
    <s v="Male"/>
    <n v="28.594999999999999"/>
    <n v="0"/>
    <s v="No"/>
    <s v="Northwest"/>
    <n v="7196.8670000000002"/>
    <s v="Adult"/>
    <s v="26-35"/>
    <x v="2"/>
    <s v="Low"/>
  </r>
  <r>
    <n v="33"/>
    <s v="Female"/>
    <n v="28.594999999999999"/>
    <n v="0"/>
    <s v="No"/>
    <s v="Southwest"/>
    <n v="7201.7008500000002"/>
    <s v="Adult"/>
    <s v="26-35"/>
    <x v="2"/>
    <s v="Low"/>
  </r>
  <r>
    <n v="33"/>
    <s v="Male"/>
    <n v="28.6"/>
    <n v="0"/>
    <s v="No"/>
    <s v="Northeast"/>
    <n v="7209.4917999999998"/>
    <s v="Adult"/>
    <s v="26-35"/>
    <x v="2"/>
    <s v="Low"/>
  </r>
  <r>
    <n v="33"/>
    <s v="Female"/>
    <n v="28.6"/>
    <n v="0"/>
    <s v="No"/>
    <s v="Northeast"/>
    <n v="7222.7862500000001"/>
    <s v="Adult"/>
    <s v="26-35"/>
    <x v="2"/>
    <s v="Low"/>
  </r>
  <r>
    <n v="33"/>
    <s v="Female"/>
    <n v="28.6"/>
    <n v="0"/>
    <s v="No"/>
    <s v="Southeast"/>
    <n v="7228.2156500000001"/>
    <s v="Adult"/>
    <s v="26-35"/>
    <x v="2"/>
    <s v="Low"/>
  </r>
  <r>
    <n v="34"/>
    <s v="Female"/>
    <n v="28.69"/>
    <n v="0"/>
    <s v="No"/>
    <s v="Northeast"/>
    <n v="7243.8136000000004"/>
    <s v="Adult"/>
    <s v="26-35"/>
    <x v="2"/>
    <s v="Low"/>
  </r>
  <r>
    <n v="34"/>
    <s v="Female"/>
    <n v="28.69"/>
    <n v="0"/>
    <s v="No"/>
    <s v="Southeast"/>
    <n v="7256.7231000000002"/>
    <s v="Adult"/>
    <s v="26-35"/>
    <x v="2"/>
    <s v="Low"/>
  </r>
  <r>
    <n v="34"/>
    <s v="Male"/>
    <n v="28.69"/>
    <n v="0"/>
    <s v="Yes"/>
    <s v="Southeast"/>
    <n v="7261.741"/>
    <s v="Adult"/>
    <s v="26-35"/>
    <x v="2"/>
    <s v="Low"/>
  </r>
  <r>
    <n v="34"/>
    <s v="Female"/>
    <n v="28.7"/>
    <n v="0"/>
    <s v="No"/>
    <s v="Southeast"/>
    <n v="7265.7025000000003"/>
    <s v="Adult"/>
    <s v="26-35"/>
    <x v="2"/>
    <s v="Low"/>
  </r>
  <r>
    <n v="34"/>
    <s v="Female"/>
    <n v="28.7"/>
    <n v="0"/>
    <s v="No"/>
    <s v="Northwest"/>
    <n v="7281.5056000000004"/>
    <s v="Adult"/>
    <s v="26-35"/>
    <x v="2"/>
    <s v="Low"/>
  </r>
  <r>
    <n v="34"/>
    <s v="Female"/>
    <n v="28.7"/>
    <n v="0"/>
    <s v="No"/>
    <s v="Southwest"/>
    <n v="7323.7348190000002"/>
    <s v="Adult"/>
    <s v="26-35"/>
    <x v="2"/>
    <s v="Low"/>
  </r>
  <r>
    <n v="34"/>
    <s v="Male"/>
    <n v="28.7"/>
    <n v="0"/>
    <s v="No"/>
    <s v="Northeast"/>
    <n v="7325.0482000000002"/>
    <s v="Adult"/>
    <s v="26-35"/>
    <x v="2"/>
    <s v="Low"/>
  </r>
  <r>
    <n v="34"/>
    <s v="Male"/>
    <n v="28.7"/>
    <n v="0"/>
    <s v="No"/>
    <s v="Northeast"/>
    <n v="7337.7479999999996"/>
    <s v="Adult"/>
    <s v="26-35"/>
    <x v="2"/>
    <s v="Low"/>
  </r>
  <r>
    <n v="34"/>
    <s v="Male"/>
    <n v="28.785"/>
    <n v="0"/>
    <s v="Yes"/>
    <s v="Southeast"/>
    <n v="7345.0839999999998"/>
    <s v="Adult"/>
    <s v="26-35"/>
    <x v="2"/>
    <s v="Low"/>
  </r>
  <r>
    <n v="34"/>
    <s v="Female"/>
    <n v="28.785"/>
    <n v="0"/>
    <s v="No"/>
    <s v="Northeast"/>
    <n v="7345.7266"/>
    <s v="Adult"/>
    <s v="26-35"/>
    <x v="2"/>
    <s v="Low"/>
  </r>
  <r>
    <n v="34"/>
    <s v="Male"/>
    <n v="28.785"/>
    <n v="0"/>
    <s v="No"/>
    <s v="Southeast"/>
    <n v="7348.1419999999998"/>
    <s v="Adult"/>
    <s v="26-35"/>
    <x v="2"/>
    <s v="Low"/>
  </r>
  <r>
    <n v="34"/>
    <s v="Male"/>
    <n v="28.785"/>
    <n v="0"/>
    <s v="No"/>
    <s v="Southeast"/>
    <n v="7358.1756500000001"/>
    <s v="Adult"/>
    <s v="26-35"/>
    <x v="2"/>
    <s v="Low"/>
  </r>
  <r>
    <n v="34"/>
    <s v="Male"/>
    <n v="28.785"/>
    <n v="0"/>
    <s v="No"/>
    <s v="Southeast"/>
    <n v="7371.7719999999999"/>
    <s v="Adult"/>
    <s v="26-35"/>
    <x v="2"/>
    <s v="Low"/>
  </r>
  <r>
    <n v="34"/>
    <s v="Male"/>
    <n v="28.8"/>
    <n v="0"/>
    <s v="No"/>
    <s v="Northeast"/>
    <n v="7418.5219999999999"/>
    <s v="Adult"/>
    <s v="26-35"/>
    <x v="2"/>
    <s v="Low"/>
  </r>
  <r>
    <n v="34"/>
    <s v="Female"/>
    <n v="28.82"/>
    <n v="0"/>
    <s v="No"/>
    <s v="Southwest"/>
    <n v="7419.4778999999999"/>
    <s v="Adult"/>
    <s v="26-35"/>
    <x v="2"/>
    <s v="Low"/>
  </r>
  <r>
    <n v="34"/>
    <s v="Female"/>
    <n v="28.88"/>
    <n v="0"/>
    <s v="No"/>
    <s v="Southwest"/>
    <n v="7421.1945500000002"/>
    <s v="Adult"/>
    <s v="26-35"/>
    <x v="2"/>
    <s v="Low"/>
  </r>
  <r>
    <n v="34"/>
    <s v="Female"/>
    <n v="28.88"/>
    <n v="0"/>
    <s v="No"/>
    <s v="Southeast"/>
    <n v="7441.0529999999999"/>
    <s v="Adult"/>
    <s v="26-35"/>
    <x v="2"/>
    <s v="Low"/>
  </r>
  <r>
    <n v="34"/>
    <s v="Male"/>
    <n v="28.88"/>
    <n v="0"/>
    <s v="No"/>
    <s v="Southeast"/>
    <n v="7441.5010000000002"/>
    <s v="Adult"/>
    <s v="26-35"/>
    <x v="2"/>
    <s v="Low"/>
  </r>
  <r>
    <n v="34"/>
    <s v="Female"/>
    <n v="28.88"/>
    <n v="0"/>
    <s v="No"/>
    <s v="Southwest"/>
    <n v="7443.6430499999997"/>
    <s v="Adult"/>
    <s v="26-35"/>
    <x v="2"/>
    <s v="Low"/>
  </r>
  <r>
    <n v="34"/>
    <s v="Female"/>
    <n v="28.88"/>
    <n v="0"/>
    <s v="No"/>
    <s v="Southeast"/>
    <n v="7445.9179999999997"/>
    <s v="Adult"/>
    <s v="26-35"/>
    <x v="2"/>
    <s v="Low"/>
  </r>
  <r>
    <n v="34"/>
    <s v="Female"/>
    <n v="28.88"/>
    <n v="0"/>
    <s v="No"/>
    <s v="Southeast"/>
    <n v="7448.4039499999999"/>
    <s v="Adult"/>
    <s v="26-35"/>
    <x v="2"/>
    <s v="Low"/>
  </r>
  <r>
    <n v="34"/>
    <s v="Female"/>
    <n v="28.88"/>
    <n v="0"/>
    <s v="Yes"/>
    <s v="Southeast"/>
    <n v="7512.2669999999998"/>
    <s v="Adult"/>
    <s v="26-35"/>
    <x v="2"/>
    <s v="Low"/>
  </r>
  <r>
    <n v="34"/>
    <s v="Male"/>
    <n v="28.88"/>
    <n v="0"/>
    <s v="No"/>
    <s v="Northwest"/>
    <n v="7518.0253499999999"/>
    <s v="Adult"/>
    <s v="26-35"/>
    <x v="2"/>
    <s v="Low"/>
  </r>
  <r>
    <n v="34"/>
    <s v="Male"/>
    <n v="28.9"/>
    <n v="0"/>
    <s v="Yes"/>
    <s v="Northwest"/>
    <n v="7526.7064499999997"/>
    <s v="Adult"/>
    <s v="26-35"/>
    <x v="2"/>
    <s v="Low"/>
  </r>
  <r>
    <n v="34"/>
    <s v="Male"/>
    <n v="28.9"/>
    <n v="0"/>
    <s v="No"/>
    <s v="Northeast"/>
    <n v="7537.1638999999996"/>
    <s v="Adult"/>
    <s v="26-35"/>
    <x v="2"/>
    <s v="Low"/>
  </r>
  <r>
    <n v="34"/>
    <s v="Female"/>
    <n v="28.9"/>
    <n v="0"/>
    <s v="No"/>
    <s v="Southwest"/>
    <n v="7623.518"/>
    <s v="Adult"/>
    <s v="26-35"/>
    <x v="2"/>
    <s v="Low"/>
  </r>
  <r>
    <n v="35"/>
    <s v="Female"/>
    <n v="28.9"/>
    <n v="0"/>
    <s v="No"/>
    <s v="Northeast"/>
    <n v="7624.63"/>
    <s v="Adult"/>
    <s v="26-35"/>
    <x v="2"/>
    <s v="Low"/>
  </r>
  <r>
    <n v="35"/>
    <s v="Female"/>
    <n v="28.9"/>
    <n v="0"/>
    <s v="Yes"/>
    <s v="Southeast"/>
    <n v="7626.9930000000004"/>
    <s v="Adult"/>
    <s v="26-35"/>
    <x v="2"/>
    <s v="Low"/>
  </r>
  <r>
    <n v="35"/>
    <s v="Male"/>
    <n v="28.93"/>
    <n v="0"/>
    <s v="No"/>
    <s v="Southwest"/>
    <n v="7633.7205999999996"/>
    <s v="Adult"/>
    <s v="26-35"/>
    <x v="2"/>
    <s v="Low"/>
  </r>
  <r>
    <n v="35"/>
    <s v="Female"/>
    <n v="28.93"/>
    <n v="0"/>
    <s v="No"/>
    <s v="Southeast"/>
    <n v="7639.4174499999999"/>
    <s v="Adult"/>
    <s v="26-35"/>
    <x v="2"/>
    <s v="Low"/>
  </r>
  <r>
    <n v="35"/>
    <s v="Male"/>
    <n v="28.93"/>
    <n v="0"/>
    <s v="No"/>
    <s v="Southwest"/>
    <n v="7640.3091999999997"/>
    <s v="Adult"/>
    <s v="26-35"/>
    <x v="2"/>
    <s v="Low"/>
  </r>
  <r>
    <n v="35"/>
    <s v="Female"/>
    <n v="28.975000000000001"/>
    <n v="0"/>
    <s v="No"/>
    <s v="Northwest"/>
    <n v="7650.7737500000003"/>
    <s v="Adult"/>
    <s v="26-35"/>
    <x v="2"/>
    <s v="Low"/>
  </r>
  <r>
    <n v="35"/>
    <s v="Female"/>
    <n v="28.975000000000001"/>
    <n v="0"/>
    <s v="No"/>
    <s v="Northeast"/>
    <n v="7682.67"/>
    <s v="Adult"/>
    <s v="26-35"/>
    <x v="2"/>
    <s v="Low"/>
  </r>
  <r>
    <n v="35"/>
    <s v="Male"/>
    <n v="28.975000000000001"/>
    <n v="0"/>
    <s v="No"/>
    <s v="Southwest"/>
    <n v="7726.8540000000003"/>
    <s v="Adult"/>
    <s v="26-35"/>
    <x v="2"/>
    <s v="Low"/>
  </r>
  <r>
    <n v="35"/>
    <s v="Male"/>
    <n v="28.975000000000001"/>
    <n v="0"/>
    <s v="No"/>
    <s v="Northeast"/>
    <n v="7727.2532000000001"/>
    <s v="Adult"/>
    <s v="26-35"/>
    <x v="2"/>
    <s v="Low"/>
  </r>
  <r>
    <n v="35"/>
    <s v="Male"/>
    <n v="28.975000000000001"/>
    <n v="0"/>
    <s v="No"/>
    <s v="Southeast"/>
    <n v="7729.6457499999997"/>
    <s v="Adult"/>
    <s v="26-35"/>
    <x v="2"/>
    <s v="Low"/>
  </r>
  <r>
    <n v="35"/>
    <s v="Female"/>
    <n v="29"/>
    <n v="0"/>
    <s v="Yes"/>
    <s v="Northwest"/>
    <n v="7731.4270999999999"/>
    <s v="Adult"/>
    <s v="26-35"/>
    <x v="2"/>
    <s v="Low"/>
  </r>
  <r>
    <n v="35"/>
    <s v="Male"/>
    <n v="29"/>
    <n v="0"/>
    <s v="No"/>
    <s v="Northwest"/>
    <n v="7731.8578500000003"/>
    <s v="Adult"/>
    <s v="26-35"/>
    <x v="2"/>
    <s v="Low"/>
  </r>
  <r>
    <n v="35"/>
    <s v="Female"/>
    <n v="29.04"/>
    <n v="0"/>
    <s v="No"/>
    <s v="Northwest"/>
    <n v="7740.3370000000004"/>
    <s v="Adult"/>
    <s v="26-35"/>
    <x v="2"/>
    <s v="Low"/>
  </r>
  <r>
    <n v="35"/>
    <s v="Female"/>
    <n v="29.07"/>
    <n v="0"/>
    <s v="No"/>
    <s v="Northeast"/>
    <n v="7742.1098000000002"/>
    <s v="Adult"/>
    <s v="26-35"/>
    <x v="2"/>
    <s v="Low"/>
  </r>
  <r>
    <n v="35"/>
    <s v="Male"/>
    <n v="29.07"/>
    <n v="0"/>
    <s v="No"/>
    <s v="Southwest"/>
    <n v="7749.1563999999998"/>
    <s v="Adult"/>
    <s v="26-35"/>
    <x v="2"/>
    <s v="Low"/>
  </r>
  <r>
    <n v="35"/>
    <s v="Male"/>
    <n v="29.1"/>
    <n v="0"/>
    <s v="No"/>
    <s v="Southeast"/>
    <n v="7789.6350000000002"/>
    <s v="Adult"/>
    <s v="26-35"/>
    <x v="2"/>
    <s v="Low"/>
  </r>
  <r>
    <n v="35"/>
    <s v="Female"/>
    <n v="29.15"/>
    <n v="0"/>
    <s v="No"/>
    <s v="Southeast"/>
    <n v="7804.1605"/>
    <s v="Adult"/>
    <s v="26-35"/>
    <x v="2"/>
    <s v="Low"/>
  </r>
  <r>
    <n v="35"/>
    <s v="Female"/>
    <n v="29.15"/>
    <n v="0"/>
    <s v="No"/>
    <s v="Northwest"/>
    <n v="7935.29115"/>
    <s v="Adult"/>
    <s v="26-35"/>
    <x v="2"/>
    <s v="Low"/>
  </r>
  <r>
    <n v="35"/>
    <s v="Female"/>
    <n v="29.164999999999999"/>
    <n v="0"/>
    <s v="No"/>
    <s v="Northwest"/>
    <n v="7954.5169999999998"/>
    <s v="Adult"/>
    <s v="26-35"/>
    <x v="2"/>
    <s v="Low"/>
  </r>
  <r>
    <n v="35"/>
    <s v="Male"/>
    <n v="29.2"/>
    <n v="0"/>
    <s v="No"/>
    <s v="Northwest"/>
    <n v="7985.8149999999996"/>
    <s v="Adult"/>
    <s v="26-35"/>
    <x v="2"/>
    <s v="Low"/>
  </r>
  <r>
    <n v="35"/>
    <s v="Female"/>
    <n v="29.26"/>
    <n v="0"/>
    <s v="No"/>
    <s v="Southwest"/>
    <n v="7986.4752500000004"/>
    <s v="Adult"/>
    <s v="26-35"/>
    <x v="2"/>
    <s v="Low"/>
  </r>
  <r>
    <n v="35"/>
    <s v="Male"/>
    <n v="29.26"/>
    <n v="0"/>
    <s v="Yes"/>
    <s v="Northwest"/>
    <n v="8017.0611500000005"/>
    <s v="Adult"/>
    <s v="26-35"/>
    <x v="2"/>
    <s v="Low"/>
  </r>
  <r>
    <n v="35"/>
    <s v="Female"/>
    <n v="29.26"/>
    <n v="0"/>
    <s v="No"/>
    <s v="Southwest"/>
    <n v="8023.1354499999998"/>
    <s v="Adult"/>
    <s v="26-35"/>
    <x v="2"/>
    <s v="Low"/>
  </r>
  <r>
    <n v="35"/>
    <s v="Female"/>
    <n v="29.26"/>
    <n v="0"/>
    <s v="No"/>
    <s v="Southeast"/>
    <n v="8026.6665999999996"/>
    <s v="Adult"/>
    <s v="26-35"/>
    <x v="2"/>
    <s v="Low"/>
  </r>
  <r>
    <n v="35"/>
    <s v="Female"/>
    <n v="29.3"/>
    <n v="0"/>
    <s v="No"/>
    <s v="Southeast"/>
    <n v="8027.9679999999998"/>
    <s v="Adult"/>
    <s v="26-35"/>
    <x v="2"/>
    <s v="Low"/>
  </r>
  <r>
    <n v="36"/>
    <s v="Female"/>
    <n v="29.3"/>
    <n v="1"/>
    <s v="No"/>
    <s v="Northeast"/>
    <n v="8059.6791000000003"/>
    <s v="Adult"/>
    <s v="36-45"/>
    <x v="2"/>
    <s v="Low"/>
  </r>
  <r>
    <n v="36"/>
    <s v="Female"/>
    <n v="29.355"/>
    <n v="1"/>
    <s v="No"/>
    <s v="Northeast"/>
    <n v="8062.7640000000001"/>
    <s v="Adult"/>
    <s v="36-45"/>
    <x v="2"/>
    <s v="Low"/>
  </r>
  <r>
    <n v="36"/>
    <s v="Female"/>
    <n v="29.355"/>
    <n v="1"/>
    <s v="No"/>
    <s v="Northwest"/>
    <n v="8068.1850000000004"/>
    <s v="Adult"/>
    <s v="36-45"/>
    <x v="2"/>
    <s v="Low"/>
  </r>
  <r>
    <n v="36"/>
    <s v="Male"/>
    <n v="29.37"/>
    <n v="1"/>
    <s v="No"/>
    <s v="Southeast"/>
    <n v="8083.9197999999997"/>
    <s v="Adult"/>
    <s v="36-45"/>
    <x v="2"/>
    <s v="Low"/>
  </r>
  <r>
    <n v="36"/>
    <s v="Female"/>
    <n v="29.37"/>
    <n v="1"/>
    <s v="Yes"/>
    <s v="Northeast"/>
    <n v="8116.2688500000004"/>
    <s v="Adult"/>
    <s v="36-45"/>
    <x v="2"/>
    <s v="Low"/>
  </r>
  <r>
    <n v="36"/>
    <s v="Male"/>
    <n v="29.4"/>
    <n v="1"/>
    <s v="No"/>
    <s v="Southwest"/>
    <n v="8116.68"/>
    <s v="Adult"/>
    <s v="36-45"/>
    <x v="2"/>
    <s v="Low"/>
  </r>
  <r>
    <n v="36"/>
    <s v="Female"/>
    <n v="29.45"/>
    <n v="1"/>
    <s v="No"/>
    <s v="Northeast"/>
    <n v="8124.4084000000003"/>
    <s v="Adult"/>
    <s v="36-45"/>
    <x v="2"/>
    <s v="Low"/>
  </r>
  <r>
    <n v="36"/>
    <s v="Male"/>
    <n v="29.48"/>
    <n v="1"/>
    <s v="No"/>
    <s v="Northeast"/>
    <n v="8125.7844999999998"/>
    <s v="Adult"/>
    <s v="36-45"/>
    <x v="2"/>
    <s v="Low"/>
  </r>
  <r>
    <n v="36"/>
    <s v="Male"/>
    <n v="29.48"/>
    <n v="1"/>
    <s v="No"/>
    <s v="Southeast"/>
    <n v="8162.7162500000004"/>
    <s v="Adult"/>
    <s v="36-45"/>
    <x v="2"/>
    <s v="Low"/>
  </r>
  <r>
    <n v="36"/>
    <s v="Female"/>
    <n v="29.48"/>
    <n v="1"/>
    <s v="No"/>
    <s v="Southeast"/>
    <n v="8211.1002000000008"/>
    <s v="Adult"/>
    <s v="36-45"/>
    <x v="2"/>
    <s v="Low"/>
  </r>
  <r>
    <n v="36"/>
    <s v="Male"/>
    <n v="29.5"/>
    <n v="1"/>
    <s v="No"/>
    <s v="Southwest"/>
    <n v="8219.2039000000004"/>
    <s v="Adult"/>
    <s v="36-45"/>
    <x v="2"/>
    <s v="Low"/>
  </r>
  <r>
    <n v="36"/>
    <s v="Female"/>
    <n v="29.545000000000002"/>
    <n v="1"/>
    <s v="No"/>
    <s v="Southeast"/>
    <n v="8232.6388000000006"/>
    <s v="Adult"/>
    <s v="36-45"/>
    <x v="2"/>
    <s v="Low"/>
  </r>
  <r>
    <n v="36"/>
    <s v="Male"/>
    <n v="29.59"/>
    <n v="1"/>
    <s v="No"/>
    <s v="Northeast"/>
    <n v="8233.0974999999999"/>
    <s v="Adult"/>
    <s v="36-45"/>
    <x v="2"/>
    <s v="Low"/>
  </r>
  <r>
    <n v="36"/>
    <s v="Female"/>
    <n v="29.59"/>
    <n v="1"/>
    <s v="Yes"/>
    <s v="Northwest"/>
    <n v="8240.5895999999993"/>
    <s v="Adult"/>
    <s v="36-45"/>
    <x v="2"/>
    <s v="Low"/>
  </r>
  <r>
    <n v="36"/>
    <s v="Female"/>
    <n v="29.6"/>
    <n v="1"/>
    <s v="No"/>
    <s v="Northeast"/>
    <n v="8252.2842999999993"/>
    <s v="Adult"/>
    <s v="36-45"/>
    <x v="2"/>
    <s v="Low"/>
  </r>
  <r>
    <n v="36"/>
    <s v="Female"/>
    <n v="29.6"/>
    <n v="1"/>
    <s v="No"/>
    <s v="Southeast"/>
    <n v="8269.0439999999999"/>
    <s v="Adult"/>
    <s v="36-45"/>
    <x v="2"/>
    <s v="Low"/>
  </r>
  <r>
    <n v="36"/>
    <s v="Female"/>
    <n v="29.6"/>
    <n v="1"/>
    <s v="No"/>
    <s v="Southwest"/>
    <n v="8277.5229999999992"/>
    <s v="Adult"/>
    <s v="36-45"/>
    <x v="2"/>
    <s v="Low"/>
  </r>
  <r>
    <n v="36"/>
    <s v="Male"/>
    <n v="29.6"/>
    <n v="1"/>
    <s v="No"/>
    <s v="Northwest"/>
    <n v="8280.6226999999999"/>
    <s v="Adult"/>
    <s v="36-45"/>
    <x v="2"/>
    <s v="Low"/>
  </r>
  <r>
    <n v="36"/>
    <s v="Male"/>
    <n v="29.64"/>
    <n v="1"/>
    <s v="No"/>
    <s v="Southeast"/>
    <n v="8283.6807000000008"/>
    <s v="Adult"/>
    <s v="36-45"/>
    <x v="2"/>
    <s v="Low"/>
  </r>
  <r>
    <n v="36"/>
    <s v="Female"/>
    <n v="29.64"/>
    <n v="1"/>
    <s v="Yes"/>
    <s v="Northeast"/>
    <n v="8302.5356499999998"/>
    <s v="Adult"/>
    <s v="36-45"/>
    <x v="2"/>
    <s v="Low"/>
  </r>
  <r>
    <n v="36"/>
    <s v="Male"/>
    <n v="29.64"/>
    <n v="1"/>
    <s v="No"/>
    <s v="Southeast"/>
    <n v="8310.8391499999998"/>
    <s v="Adult"/>
    <s v="36-45"/>
    <x v="2"/>
    <s v="Low"/>
  </r>
  <r>
    <n v="36"/>
    <s v="Female"/>
    <n v="29.64"/>
    <n v="1"/>
    <s v="No"/>
    <s v="Northeast"/>
    <n v="8334.4575499999992"/>
    <s v="Adult"/>
    <s v="36-45"/>
    <x v="2"/>
    <s v="Low"/>
  </r>
  <r>
    <n v="36"/>
    <s v="Female"/>
    <n v="29.64"/>
    <n v="1"/>
    <s v="No"/>
    <s v="Southeast"/>
    <n v="8334.5895999999993"/>
    <s v="Adult"/>
    <s v="36-45"/>
    <x v="2"/>
    <s v="Low"/>
  </r>
  <r>
    <n v="36"/>
    <s v="Female"/>
    <n v="29.7"/>
    <n v="1"/>
    <s v="No"/>
    <s v="Northeast"/>
    <n v="8342.9087500000005"/>
    <s v="Adult"/>
    <s v="36-45"/>
    <x v="2"/>
    <s v="Low"/>
  </r>
  <r>
    <n v="36"/>
    <s v="Male"/>
    <n v="29.7"/>
    <n v="1"/>
    <s v="No"/>
    <s v="Southwest"/>
    <n v="8347.1643000000004"/>
    <s v="Adult"/>
    <s v="36-45"/>
    <x v="2"/>
    <s v="Low"/>
  </r>
  <r>
    <n v="37"/>
    <s v="Female"/>
    <n v="29.7"/>
    <n v="1"/>
    <s v="No"/>
    <s v="Northwest"/>
    <n v="8410.0468500000006"/>
    <s v="Adult"/>
    <s v="36-45"/>
    <x v="2"/>
    <s v="Low"/>
  </r>
  <r>
    <n v="37"/>
    <s v="Female"/>
    <n v="29.7"/>
    <n v="1"/>
    <s v="No"/>
    <s v="Southeast"/>
    <n v="8413.4630500000003"/>
    <s v="Adult"/>
    <s v="36-45"/>
    <x v="2"/>
    <s v="Low"/>
  </r>
  <r>
    <n v="37"/>
    <s v="Male"/>
    <n v="29.7"/>
    <n v="1"/>
    <s v="No"/>
    <s v="Northwest"/>
    <n v="8428.0692999999992"/>
    <s v="Adult"/>
    <s v="36-45"/>
    <x v="2"/>
    <s v="Low"/>
  </r>
  <r>
    <n v="37"/>
    <s v="Female"/>
    <n v="29.734999999999999"/>
    <n v="1"/>
    <s v="No"/>
    <s v="Southwest"/>
    <n v="8442.6669999999995"/>
    <s v="Adult"/>
    <s v="36-45"/>
    <x v="2"/>
    <s v="Low"/>
  </r>
  <r>
    <n v="37"/>
    <s v="Female"/>
    <n v="29.734999999999999"/>
    <n v="1"/>
    <s v="No"/>
    <s v="Southeast"/>
    <n v="8444.4740000000002"/>
    <s v="Adult"/>
    <s v="36-45"/>
    <x v="2"/>
    <s v="Low"/>
  </r>
  <r>
    <n v="37"/>
    <s v="Female"/>
    <n v="29.734999999999999"/>
    <n v="1"/>
    <s v="Yes"/>
    <s v="Northwest"/>
    <n v="8457.8179999999993"/>
    <s v="Adult"/>
    <s v="36-45"/>
    <x v="2"/>
    <s v="Low"/>
  </r>
  <r>
    <n v="37"/>
    <s v="Female"/>
    <n v="29.734999999999999"/>
    <n v="1"/>
    <s v="No"/>
    <s v="Southeast"/>
    <n v="8515.7587000000003"/>
    <s v="Adult"/>
    <s v="36-45"/>
    <x v="2"/>
    <s v="Low"/>
  </r>
  <r>
    <n v="37"/>
    <s v="Female"/>
    <n v="29.8"/>
    <n v="1"/>
    <s v="No"/>
    <s v="Northeast"/>
    <n v="8516.8289999999997"/>
    <s v="Adult"/>
    <s v="36-45"/>
    <x v="2"/>
    <s v="Low"/>
  </r>
  <r>
    <n v="37"/>
    <s v="Female"/>
    <n v="29.8"/>
    <n v="1"/>
    <s v="Yes"/>
    <s v="Northwest"/>
    <n v="8520.0259999999998"/>
    <s v="Adult"/>
    <s v="36-45"/>
    <x v="2"/>
    <s v="Low"/>
  </r>
  <r>
    <n v="37"/>
    <s v="Male"/>
    <n v="29.8"/>
    <n v="1"/>
    <s v="No"/>
    <s v="Northeast"/>
    <n v="8522.0030000000006"/>
    <s v="Adult"/>
    <s v="36-45"/>
    <x v="2"/>
    <s v="Low"/>
  </r>
  <r>
    <n v="37"/>
    <s v="Male"/>
    <n v="29.8"/>
    <n v="1"/>
    <s v="Yes"/>
    <s v="Southwest"/>
    <n v="8527.5319999999992"/>
    <s v="Adult"/>
    <s v="36-45"/>
    <x v="2"/>
    <s v="Low"/>
  </r>
  <r>
    <n v="37"/>
    <s v="Female"/>
    <n v="29.81"/>
    <n v="1"/>
    <s v="No"/>
    <s v="Southeast"/>
    <n v="8534.6718000000001"/>
    <s v="Adult"/>
    <s v="36-45"/>
    <x v="2"/>
    <s v="Low"/>
  </r>
  <r>
    <n v="37"/>
    <s v="Female"/>
    <n v="29.81"/>
    <n v="1"/>
    <s v="No"/>
    <s v="Southwest"/>
    <n v="8538.28845"/>
    <s v="Adult"/>
    <s v="36-45"/>
    <x v="2"/>
    <s v="Low"/>
  </r>
  <r>
    <n v="37"/>
    <s v="Female"/>
    <n v="29.81"/>
    <n v="1"/>
    <s v="No"/>
    <s v="Northeast"/>
    <n v="8539.6710000000003"/>
    <s v="Adult"/>
    <s v="36-45"/>
    <x v="2"/>
    <s v="Low"/>
  </r>
  <r>
    <n v="37"/>
    <s v="Female"/>
    <n v="29.81"/>
    <n v="1"/>
    <s v="No"/>
    <s v="Northeast"/>
    <n v="8547.6913000000004"/>
    <s v="Adult"/>
    <s v="36-45"/>
    <x v="2"/>
    <s v="Low"/>
  </r>
  <r>
    <n v="37"/>
    <s v="Female"/>
    <n v="29.83"/>
    <n v="1"/>
    <s v="No"/>
    <s v="Southeast"/>
    <n v="8551.3469999999998"/>
    <s v="Adult"/>
    <s v="36-45"/>
    <x v="2"/>
    <s v="Low"/>
  </r>
  <r>
    <n v="37"/>
    <s v="Female"/>
    <n v="29.83"/>
    <n v="1"/>
    <s v="Yes"/>
    <s v="Southeast"/>
    <n v="8556.9069999999992"/>
    <s v="Adult"/>
    <s v="36-45"/>
    <x v="2"/>
    <s v="Low"/>
  </r>
  <r>
    <n v="37"/>
    <s v="Female"/>
    <n v="29.83"/>
    <n v="1"/>
    <s v="No"/>
    <s v="Northeast"/>
    <n v="8569.8618000000006"/>
    <s v="Adult"/>
    <s v="36-45"/>
    <x v="2"/>
    <s v="Low"/>
  </r>
  <r>
    <n v="37"/>
    <s v="Male"/>
    <n v="29.83"/>
    <n v="1"/>
    <s v="Yes"/>
    <s v="Southwest"/>
    <n v="8582.3022999999994"/>
    <s v="Adult"/>
    <s v="36-45"/>
    <x v="2"/>
    <s v="Low"/>
  </r>
  <r>
    <n v="37"/>
    <s v="Female"/>
    <n v="29.83"/>
    <n v="1"/>
    <s v="Yes"/>
    <s v="Southeast"/>
    <n v="8596.8277999999991"/>
    <s v="Adult"/>
    <s v="36-45"/>
    <x v="2"/>
    <s v="Low"/>
  </r>
  <r>
    <n v="37"/>
    <s v="Female"/>
    <n v="29.83"/>
    <n v="1"/>
    <s v="No"/>
    <s v="Southwest"/>
    <n v="8601.3292999999994"/>
    <s v="Adult"/>
    <s v="36-45"/>
    <x v="2"/>
    <s v="Low"/>
  </r>
  <r>
    <n v="37"/>
    <s v="Male"/>
    <n v="29.9"/>
    <n v="1"/>
    <s v="No"/>
    <s v="Southwest"/>
    <n v="8603.8233999999993"/>
    <s v="Adult"/>
    <s v="36-45"/>
    <x v="2"/>
    <s v="Low"/>
  </r>
  <r>
    <n v="37"/>
    <s v="Male"/>
    <n v="29.9"/>
    <n v="1"/>
    <s v="Yes"/>
    <s v="Southwest"/>
    <n v="8604.4836500000001"/>
    <s v="Adult"/>
    <s v="36-45"/>
    <x v="2"/>
    <s v="Low"/>
  </r>
  <r>
    <n v="37"/>
    <s v="Female"/>
    <n v="29.9"/>
    <n v="1"/>
    <s v="No"/>
    <s v="Southwest"/>
    <n v="8605.3615000000009"/>
    <s v="Adult"/>
    <s v="36-45"/>
    <x v="2"/>
    <s v="Low"/>
  </r>
  <r>
    <n v="37"/>
    <s v="Male"/>
    <n v="29.92"/>
    <n v="1"/>
    <s v="Yes"/>
    <s v="Northeast"/>
    <n v="8606.2173999999995"/>
    <s v="Adult"/>
    <s v="36-45"/>
    <x v="2"/>
    <s v="Low"/>
  </r>
  <r>
    <n v="38"/>
    <s v="Male"/>
    <n v="29.92"/>
    <n v="1"/>
    <s v="No"/>
    <s v="Northwest"/>
    <n v="8615.2999999999993"/>
    <s v="Adult"/>
    <s v="36-45"/>
    <x v="2"/>
    <s v="Low"/>
  </r>
  <r>
    <n v="38"/>
    <s v="Female"/>
    <n v="29.92"/>
    <n v="1"/>
    <s v="No"/>
    <s v="Northwest"/>
    <n v="8627.5411000000004"/>
    <s v="Adult"/>
    <s v="36-45"/>
    <x v="2"/>
    <s v="Low"/>
  </r>
  <r>
    <n v="38"/>
    <s v="Male"/>
    <n v="29.92"/>
    <n v="1"/>
    <s v="No"/>
    <s v="Northeast"/>
    <n v="8671.1912499999999"/>
    <s v="Adult"/>
    <s v="36-45"/>
    <x v="2"/>
    <s v="Low"/>
  </r>
  <r>
    <n v="38"/>
    <s v="Male"/>
    <n v="29.92"/>
    <n v="1"/>
    <s v="No"/>
    <s v="Southeast"/>
    <n v="8688.8588500000005"/>
    <s v="Adult"/>
    <s v="36-45"/>
    <x v="2"/>
    <s v="Low"/>
  </r>
  <r>
    <n v="38"/>
    <s v="Male"/>
    <n v="29.92"/>
    <n v="1"/>
    <s v="No"/>
    <s v="Southwest"/>
    <n v="8703.4560000000001"/>
    <s v="Adult"/>
    <s v="36-45"/>
    <x v="2"/>
    <s v="Low"/>
  </r>
  <r>
    <n v="38"/>
    <s v="Female"/>
    <n v="29.925000000000001"/>
    <n v="1"/>
    <s v="Yes"/>
    <s v="Northwest"/>
    <n v="8733.2292500000003"/>
    <s v="Adult"/>
    <s v="36-45"/>
    <x v="2"/>
    <s v="Low"/>
  </r>
  <r>
    <n v="38"/>
    <s v="Male"/>
    <n v="29.925000000000001"/>
    <n v="1"/>
    <s v="No"/>
    <s v="Southwest"/>
    <n v="8765.2489999999998"/>
    <s v="Adult"/>
    <s v="36-45"/>
    <x v="2"/>
    <s v="Low"/>
  </r>
  <r>
    <n v="38"/>
    <s v="Male"/>
    <n v="29.925000000000001"/>
    <n v="1"/>
    <s v="No"/>
    <s v="Southwest"/>
    <n v="8782.4689999999991"/>
    <s v="Adult"/>
    <s v="36-45"/>
    <x v="2"/>
    <s v="Low"/>
  </r>
  <r>
    <n v="38"/>
    <s v="Female"/>
    <n v="30"/>
    <n v="1"/>
    <s v="No"/>
    <s v="Southeast"/>
    <n v="8798.5930000000008"/>
    <s v="Adult"/>
    <s v="36-45"/>
    <x v="3"/>
    <s v="Low"/>
  </r>
  <r>
    <n v="38"/>
    <s v="Male"/>
    <n v="30"/>
    <n v="1"/>
    <s v="No"/>
    <s v="Northeast"/>
    <n v="8823.2790000000005"/>
    <s v="Adult"/>
    <s v="36-45"/>
    <x v="3"/>
    <s v="Low"/>
  </r>
  <r>
    <n v="38"/>
    <s v="Male"/>
    <n v="30.02"/>
    <n v="1"/>
    <s v="No"/>
    <s v="Southwest"/>
    <n v="8823.9857499999998"/>
    <s v="Adult"/>
    <s v="36-45"/>
    <x v="3"/>
    <s v="Low"/>
  </r>
  <r>
    <n v="38"/>
    <s v="Male"/>
    <n v="30.02"/>
    <n v="1"/>
    <s v="No"/>
    <s v="Northeast"/>
    <n v="8825.0859999999993"/>
    <s v="Adult"/>
    <s v="36-45"/>
    <x v="3"/>
    <s v="Low"/>
  </r>
  <r>
    <n v="38"/>
    <s v="Female"/>
    <n v="30.02"/>
    <n v="1"/>
    <s v="No"/>
    <s v="Northwest"/>
    <n v="8827.2098999999998"/>
    <s v="Adult"/>
    <s v="36-45"/>
    <x v="3"/>
    <s v="Low"/>
  </r>
  <r>
    <n v="38"/>
    <s v="Female"/>
    <n v="30.02"/>
    <n v="1"/>
    <s v="No"/>
    <s v="Northeast"/>
    <n v="8835.2649500000007"/>
    <s v="Adult"/>
    <s v="36-45"/>
    <x v="3"/>
    <s v="Low"/>
  </r>
  <r>
    <n v="38"/>
    <s v="Male"/>
    <n v="30.03"/>
    <n v="1"/>
    <s v="Yes"/>
    <s v="Northeast"/>
    <n v="8871.1517000000003"/>
    <s v="Adult"/>
    <s v="36-45"/>
    <x v="3"/>
    <s v="Low"/>
  </r>
  <r>
    <n v="38"/>
    <s v="Male"/>
    <n v="30.03"/>
    <n v="1"/>
    <s v="No"/>
    <s v="Southeast"/>
    <n v="8891.1394999999993"/>
    <s v="Adult"/>
    <s v="36-45"/>
    <x v="3"/>
    <s v="Low"/>
  </r>
  <r>
    <n v="38"/>
    <s v="Male"/>
    <n v="30.03"/>
    <n v="1"/>
    <s v="No"/>
    <s v="Southwest"/>
    <n v="8930.9345499999999"/>
    <s v="Adult"/>
    <s v="36-45"/>
    <x v="3"/>
    <s v="Low"/>
  </r>
  <r>
    <n v="38"/>
    <s v="Male"/>
    <n v="30.1"/>
    <n v="1"/>
    <s v="Yes"/>
    <s v="Northwest"/>
    <n v="8932.0840000000007"/>
    <s v="Adult"/>
    <s v="36-45"/>
    <x v="3"/>
    <s v="Low"/>
  </r>
  <r>
    <n v="38"/>
    <s v="Male"/>
    <n v="30.1"/>
    <n v="1"/>
    <s v="No"/>
    <s v="Northeast"/>
    <n v="8944.1151000000009"/>
    <s v="Adult"/>
    <s v="36-45"/>
    <x v="3"/>
    <s v="Low"/>
  </r>
  <r>
    <n v="38"/>
    <s v="Female"/>
    <n v="30.114999999999998"/>
    <n v="1"/>
    <s v="No"/>
    <s v="Northwest"/>
    <n v="8964.0605500000001"/>
    <s v="Adult"/>
    <s v="36-45"/>
    <x v="3"/>
    <s v="Low"/>
  </r>
  <r>
    <n v="38"/>
    <s v="Male"/>
    <n v="30.114999999999998"/>
    <n v="1"/>
    <s v="No"/>
    <s v="Southeast"/>
    <n v="8965.7957499999993"/>
    <s v="Adult"/>
    <s v="36-45"/>
    <x v="3"/>
    <s v="Low"/>
  </r>
  <r>
    <n v="38"/>
    <s v="Male"/>
    <n v="30.114999999999998"/>
    <n v="1"/>
    <s v="No"/>
    <s v="Northeast"/>
    <n v="8968.33"/>
    <s v="Adult"/>
    <s v="36-45"/>
    <x v="3"/>
    <s v="Low"/>
  </r>
  <r>
    <n v="38"/>
    <s v="Male"/>
    <n v="30.114999999999998"/>
    <n v="1"/>
    <s v="No"/>
    <s v="Northwest"/>
    <n v="8978.1851000000006"/>
    <s v="Adult"/>
    <s v="36-45"/>
    <x v="3"/>
    <s v="Low"/>
  </r>
  <r>
    <n v="38"/>
    <s v="Female"/>
    <n v="30.114999999999998"/>
    <n v="1"/>
    <s v="No"/>
    <s v="Northeast"/>
    <n v="8988.1587500000005"/>
    <s v="Adult"/>
    <s v="36-45"/>
    <x v="3"/>
    <s v="Low"/>
  </r>
  <r>
    <n v="38"/>
    <s v="Male"/>
    <n v="30.114999999999998"/>
    <n v="1"/>
    <s v="No"/>
    <s v="Northeast"/>
    <n v="9048.0272999999997"/>
    <s v="Adult"/>
    <s v="36-45"/>
    <x v="3"/>
    <s v="Low"/>
  </r>
  <r>
    <n v="39"/>
    <s v="Female"/>
    <n v="30.14"/>
    <n v="1"/>
    <s v="No"/>
    <s v="Northeast"/>
    <n v="9058.7302999999993"/>
    <s v="Adult"/>
    <s v="36-45"/>
    <x v="3"/>
    <s v="Low"/>
  </r>
  <r>
    <n v="39"/>
    <s v="Female"/>
    <n v="30.14"/>
    <n v="1"/>
    <s v="No"/>
    <s v="Southeast"/>
    <n v="9095.0682500000003"/>
    <s v="Adult"/>
    <s v="36-45"/>
    <x v="3"/>
    <s v="Low"/>
  </r>
  <r>
    <n v="39"/>
    <s v="Female"/>
    <n v="30.2"/>
    <n v="1"/>
    <s v="No"/>
    <s v="Southeast"/>
    <n v="9101.7980000000007"/>
    <s v="Adult"/>
    <s v="36-45"/>
    <x v="3"/>
    <s v="Low"/>
  </r>
  <r>
    <n v="39"/>
    <s v="Female"/>
    <n v="30.2"/>
    <n v="1"/>
    <s v="No"/>
    <s v="Southeast"/>
    <n v="9140.9509999999991"/>
    <s v="Adult"/>
    <s v="36-45"/>
    <x v="3"/>
    <s v="Low"/>
  </r>
  <r>
    <n v="39"/>
    <s v="Female"/>
    <n v="30.2"/>
    <n v="1"/>
    <s v="No"/>
    <s v="Southeast"/>
    <n v="9144.5650000000005"/>
    <s v="Adult"/>
    <s v="36-45"/>
    <x v="3"/>
    <s v="Low"/>
  </r>
  <r>
    <n v="39"/>
    <s v="Female"/>
    <n v="30.2"/>
    <n v="1"/>
    <s v="No"/>
    <s v="Southeast"/>
    <n v="9174.1356500000002"/>
    <s v="Adult"/>
    <s v="36-45"/>
    <x v="3"/>
    <s v="Low"/>
  </r>
  <r>
    <n v="39"/>
    <s v="Female"/>
    <n v="30.2"/>
    <n v="1"/>
    <s v="Yes"/>
    <s v="Southeast"/>
    <n v="9182.17"/>
    <s v="Adult"/>
    <s v="36-45"/>
    <x v="3"/>
    <s v="Low"/>
  </r>
  <r>
    <n v="39"/>
    <s v="Female"/>
    <n v="30.2"/>
    <n v="1"/>
    <s v="No"/>
    <s v="Southwest"/>
    <n v="9193.8384999999998"/>
    <s v="Adult"/>
    <s v="36-45"/>
    <x v="3"/>
    <s v="Low"/>
  </r>
  <r>
    <n v="39"/>
    <s v="Male"/>
    <n v="30.21"/>
    <n v="1"/>
    <s v="No"/>
    <s v="Northwest"/>
    <n v="9222.4025999999994"/>
    <s v="Adult"/>
    <s v="36-45"/>
    <x v="3"/>
    <s v="Low"/>
  </r>
  <r>
    <n v="39"/>
    <s v="Female"/>
    <n v="30.21"/>
    <n v="1"/>
    <s v="No"/>
    <s v="Northeast"/>
    <n v="9225.2564000000002"/>
    <s v="Adult"/>
    <s v="36-45"/>
    <x v="3"/>
    <s v="Low"/>
  </r>
  <r>
    <n v="39"/>
    <s v="Female"/>
    <n v="30.21"/>
    <n v="1"/>
    <s v="No"/>
    <s v="Northeast"/>
    <n v="9249.4951999999994"/>
    <s v="Adult"/>
    <s v="36-45"/>
    <x v="3"/>
    <s v="Low"/>
  </r>
  <r>
    <n v="39"/>
    <s v="Male"/>
    <n v="30.21"/>
    <n v="1"/>
    <s v="No"/>
    <s v="Southeast"/>
    <n v="9264.7970000000005"/>
    <s v="Adult"/>
    <s v="36-45"/>
    <x v="3"/>
    <s v="Low"/>
  </r>
  <r>
    <n v="39"/>
    <s v="Female"/>
    <n v="30.25"/>
    <n v="1"/>
    <s v="No"/>
    <s v="Southeast"/>
    <n v="9282.4806000000008"/>
    <s v="Adult"/>
    <s v="36-45"/>
    <x v="3"/>
    <s v="Low"/>
  </r>
  <r>
    <n v="39"/>
    <s v="Female"/>
    <n v="30.25"/>
    <n v="1"/>
    <s v="No"/>
    <s v="Northeast"/>
    <n v="9283.5619999999999"/>
    <s v="Adult"/>
    <s v="36-45"/>
    <x v="3"/>
    <s v="Low"/>
  </r>
  <r>
    <n v="39"/>
    <s v="Male"/>
    <n v="30.3"/>
    <n v="1"/>
    <s v="No"/>
    <s v="Southeast"/>
    <n v="9288.0267000000003"/>
    <s v="Adult"/>
    <s v="36-45"/>
    <x v="3"/>
    <s v="Low"/>
  </r>
  <r>
    <n v="39"/>
    <s v="Female"/>
    <n v="30.3"/>
    <n v="1"/>
    <s v="Yes"/>
    <s v="Southeast"/>
    <n v="9290.1394999999993"/>
    <s v="Adult"/>
    <s v="36-45"/>
    <x v="3"/>
    <s v="Low"/>
  </r>
  <r>
    <n v="39"/>
    <s v="Male"/>
    <n v="30.3"/>
    <n v="1"/>
    <s v="Yes"/>
    <s v="Southeast"/>
    <n v="9301.8935500000007"/>
    <s v="Adult"/>
    <s v="36-45"/>
    <x v="3"/>
    <s v="Low"/>
  </r>
  <r>
    <n v="39"/>
    <s v="Male"/>
    <n v="30.305"/>
    <n v="1"/>
    <s v="No"/>
    <s v="Southwest"/>
    <n v="9304.7019"/>
    <s v="Adult"/>
    <s v="36-45"/>
    <x v="3"/>
    <s v="Low"/>
  </r>
  <r>
    <n v="39"/>
    <s v="Female"/>
    <n v="30.305"/>
    <n v="1"/>
    <s v="Yes"/>
    <s v="Northwest"/>
    <n v="9361.3268000000007"/>
    <s v="Adult"/>
    <s v="36-45"/>
    <x v="3"/>
    <s v="Low"/>
  </r>
  <r>
    <n v="39"/>
    <s v="Male"/>
    <n v="30.36"/>
    <n v="1"/>
    <s v="Yes"/>
    <s v="Northeast"/>
    <n v="9377.9046999999991"/>
    <s v="Adult"/>
    <s v="36-45"/>
    <x v="3"/>
    <s v="Low"/>
  </r>
  <r>
    <n v="39"/>
    <s v="Female"/>
    <n v="30.4"/>
    <n v="1"/>
    <s v="No"/>
    <s v="Southeast"/>
    <n v="9386.1612999999998"/>
    <s v="Adult"/>
    <s v="36-45"/>
    <x v="3"/>
    <s v="Low"/>
  </r>
  <r>
    <n v="39"/>
    <s v="Male"/>
    <n v="30.4"/>
    <n v="1"/>
    <s v="No"/>
    <s v="Southeast"/>
    <n v="9391.3459999999995"/>
    <s v="Adult"/>
    <s v="36-45"/>
    <x v="3"/>
    <s v="Low"/>
  </r>
  <r>
    <n v="39"/>
    <s v="Female"/>
    <n v="30.4"/>
    <n v="1"/>
    <s v="No"/>
    <s v="Northeast"/>
    <n v="9411.0049999999992"/>
    <s v="Adult"/>
    <s v="36-45"/>
    <x v="3"/>
    <s v="Low"/>
  </r>
  <r>
    <n v="39"/>
    <s v="Male"/>
    <n v="30.4"/>
    <n v="1"/>
    <s v="No"/>
    <s v="Southeast"/>
    <n v="9414.92"/>
    <s v="Adult"/>
    <s v="36-45"/>
    <x v="3"/>
    <s v="Low"/>
  </r>
  <r>
    <n v="39"/>
    <s v="Female"/>
    <n v="30.4"/>
    <n v="1"/>
    <s v="No"/>
    <s v="Southeast"/>
    <n v="9432.9253000000008"/>
    <s v="Adult"/>
    <s v="36-45"/>
    <x v="3"/>
    <s v="Low"/>
  </r>
  <r>
    <n v="40"/>
    <s v="Female"/>
    <n v="30.495000000000001"/>
    <n v="1"/>
    <s v="Yes"/>
    <s v="Southeast"/>
    <n v="9447.2503500000003"/>
    <s v="Adult"/>
    <s v="36-45"/>
    <x v="3"/>
    <s v="Low"/>
  </r>
  <r>
    <n v="40"/>
    <s v="Male"/>
    <n v="30.495000000000001"/>
    <n v="1"/>
    <s v="No"/>
    <s v="Northwest"/>
    <n v="9447.3824000000004"/>
    <s v="Adult"/>
    <s v="36-45"/>
    <x v="3"/>
    <s v="Low"/>
  </r>
  <r>
    <n v="40"/>
    <s v="Female"/>
    <n v="30.495000000000001"/>
    <n v="1"/>
    <s v="No"/>
    <s v="Southeast"/>
    <n v="9487.6442000000006"/>
    <s v="Adult"/>
    <s v="36-45"/>
    <x v="3"/>
    <s v="Low"/>
  </r>
  <r>
    <n v="40"/>
    <s v="Male"/>
    <n v="30.495000000000001"/>
    <n v="1"/>
    <s v="Yes"/>
    <s v="Northwest"/>
    <n v="9500.5730500000009"/>
    <s v="Adult"/>
    <s v="36-45"/>
    <x v="3"/>
    <s v="Low"/>
  </r>
  <r>
    <n v="40"/>
    <s v="Male"/>
    <n v="30.495000000000001"/>
    <n v="1"/>
    <s v="No"/>
    <s v="Southwest"/>
    <n v="9504.3102999999992"/>
    <s v="Adult"/>
    <s v="36-45"/>
    <x v="3"/>
    <s v="Low"/>
  </r>
  <r>
    <n v="40"/>
    <s v="Female"/>
    <n v="30.495000000000001"/>
    <n v="1"/>
    <s v="No"/>
    <s v="Northwest"/>
    <n v="9541.6955500000004"/>
    <s v="Adult"/>
    <s v="36-45"/>
    <x v="3"/>
    <s v="Low"/>
  </r>
  <r>
    <n v="40"/>
    <s v="Female"/>
    <n v="30.495000000000001"/>
    <n v="1"/>
    <s v="No"/>
    <s v="Southwest"/>
    <n v="9549.5650999999998"/>
    <s v="Adult"/>
    <s v="36-45"/>
    <x v="3"/>
    <s v="Low"/>
  </r>
  <r>
    <n v="40"/>
    <s v="Male"/>
    <n v="30.495000000000001"/>
    <n v="1"/>
    <s v="No"/>
    <s v="Southwest"/>
    <n v="9563.0290000000005"/>
    <s v="Adult"/>
    <s v="36-45"/>
    <x v="3"/>
    <s v="Low"/>
  </r>
  <r>
    <n v="40"/>
    <s v="Male"/>
    <n v="30.5"/>
    <n v="1"/>
    <s v="Yes"/>
    <s v="Southwest"/>
    <n v="9566.9909000000007"/>
    <s v="Adult"/>
    <s v="36-45"/>
    <x v="3"/>
    <s v="Low"/>
  </r>
  <r>
    <n v="40"/>
    <s v="Male"/>
    <n v="30.5"/>
    <n v="1"/>
    <s v="No"/>
    <s v="Northwest"/>
    <n v="9583.8932999999997"/>
    <s v="Adult"/>
    <s v="36-45"/>
    <x v="3"/>
    <s v="Low"/>
  </r>
  <r>
    <n v="40"/>
    <s v="Female"/>
    <n v="30.5"/>
    <n v="1"/>
    <s v="No"/>
    <s v="Southwest"/>
    <n v="9617.6624499999998"/>
    <s v="Adult"/>
    <s v="36-45"/>
    <x v="3"/>
    <s v="Low"/>
  </r>
  <r>
    <n v="40"/>
    <s v="Male"/>
    <n v="30.5"/>
    <n v="1"/>
    <s v="No"/>
    <s v="Northeast"/>
    <n v="9620.3307000000004"/>
    <s v="Adult"/>
    <s v="36-45"/>
    <x v="3"/>
    <s v="Low"/>
  </r>
  <r>
    <n v="40"/>
    <s v="Male"/>
    <n v="30.59"/>
    <n v="1"/>
    <s v="No"/>
    <s v="Northeast"/>
    <n v="9625.92"/>
    <s v="Adult"/>
    <s v="36-45"/>
    <x v="3"/>
    <s v="Low"/>
  </r>
  <r>
    <n v="40"/>
    <s v="Male"/>
    <n v="30.59"/>
    <n v="1"/>
    <s v="No"/>
    <s v="Southeast"/>
    <n v="9630.3970000000008"/>
    <s v="Adult"/>
    <s v="36-45"/>
    <x v="3"/>
    <s v="Low"/>
  </r>
  <r>
    <n v="40"/>
    <s v="Female"/>
    <n v="30.59"/>
    <n v="1"/>
    <s v="No"/>
    <s v="Southwest"/>
    <n v="9634.5380000000005"/>
    <s v="Adult"/>
    <s v="36-45"/>
    <x v="3"/>
    <s v="Low"/>
  </r>
  <r>
    <n v="40"/>
    <s v="Male"/>
    <n v="30.59"/>
    <n v="1"/>
    <s v="Yes"/>
    <s v="Southeast"/>
    <n v="9644.2525000000005"/>
    <s v="Adult"/>
    <s v="36-45"/>
    <x v="3"/>
    <s v="Low"/>
  </r>
  <r>
    <n v="40"/>
    <s v="Male"/>
    <n v="30.59"/>
    <n v="1"/>
    <s v="No"/>
    <s v="Northeast"/>
    <n v="9704.6680500000002"/>
    <s v="Adult"/>
    <s v="36-45"/>
    <x v="3"/>
    <s v="Low"/>
  </r>
  <r>
    <n v="40"/>
    <s v="Male"/>
    <n v="30.59"/>
    <n v="1"/>
    <s v="No"/>
    <s v="Southwest"/>
    <n v="9715.8410000000003"/>
    <s v="Adult"/>
    <s v="36-45"/>
    <x v="3"/>
    <s v="Low"/>
  </r>
  <r>
    <n v="40"/>
    <s v="Male"/>
    <n v="30.684999999999999"/>
    <n v="1"/>
    <s v="No"/>
    <s v="Northwest"/>
    <n v="9722.7695000000003"/>
    <s v="Adult"/>
    <s v="36-45"/>
    <x v="3"/>
    <s v="Low"/>
  </r>
  <r>
    <n v="40"/>
    <s v="Male"/>
    <n v="30.684999999999999"/>
    <n v="1"/>
    <s v="No"/>
    <s v="Northwest"/>
    <n v="9724.5300000000007"/>
    <s v="Adult"/>
    <s v="36-45"/>
    <x v="3"/>
    <s v="Low"/>
  </r>
  <r>
    <n v="40"/>
    <s v="Female"/>
    <n v="30.684999999999999"/>
    <n v="1"/>
    <s v="No"/>
    <s v="Southwest"/>
    <n v="9748.9105999999992"/>
    <s v="Adult"/>
    <s v="36-45"/>
    <x v="3"/>
    <s v="Low"/>
  </r>
  <r>
    <n v="40"/>
    <s v="Female"/>
    <n v="30.69"/>
    <n v="1"/>
    <s v="No"/>
    <s v="Northwest"/>
    <n v="9778.3472000000002"/>
    <s v="Adult"/>
    <s v="36-45"/>
    <x v="3"/>
    <s v="Low"/>
  </r>
  <r>
    <n v="40"/>
    <s v="Female"/>
    <n v="30.69"/>
    <n v="1"/>
    <s v="No"/>
    <s v="Northeast"/>
    <n v="9788.8659000000007"/>
    <s v="Adult"/>
    <s v="36-45"/>
    <x v="3"/>
    <s v="Low"/>
  </r>
  <r>
    <n v="40"/>
    <s v="Male"/>
    <n v="30.78"/>
    <n v="1"/>
    <s v="Yes"/>
    <s v="Southeast"/>
    <n v="9800.8881999999994"/>
    <s v="Adult"/>
    <s v="36-45"/>
    <x v="3"/>
    <s v="Low"/>
  </r>
  <r>
    <n v="40"/>
    <s v="Male"/>
    <n v="30.78"/>
    <n v="1"/>
    <s v="No"/>
    <s v="Northwest"/>
    <n v="9850.4320000000007"/>
    <s v="Adult"/>
    <s v="36-45"/>
    <x v="3"/>
    <s v="Low"/>
  </r>
  <r>
    <n v="40"/>
    <s v="Female"/>
    <n v="30.78"/>
    <n v="1"/>
    <s v="No"/>
    <s v="Southeast"/>
    <n v="9855.1314000000002"/>
    <s v="Adult"/>
    <s v="36-45"/>
    <x v="3"/>
    <s v="Low"/>
  </r>
  <r>
    <n v="40"/>
    <s v="Female"/>
    <n v="30.78"/>
    <n v="1"/>
    <s v="No"/>
    <s v="Southeast"/>
    <n v="9861.0249999999996"/>
    <s v="Adult"/>
    <s v="36-45"/>
    <x v="3"/>
    <s v="Low"/>
  </r>
  <r>
    <n v="41"/>
    <s v="Female"/>
    <n v="30.78"/>
    <n v="1"/>
    <s v="No"/>
    <s v="Northeast"/>
    <n v="9863.4717999999993"/>
    <s v="Adult"/>
    <s v="36-45"/>
    <x v="3"/>
    <s v="Low"/>
  </r>
  <r>
    <n v="41"/>
    <s v="Male"/>
    <n v="30.8"/>
    <n v="1"/>
    <s v="No"/>
    <s v="Southeast"/>
    <n v="9866.3048500000004"/>
    <s v="Adult"/>
    <s v="36-45"/>
    <x v="3"/>
    <s v="Low"/>
  </r>
  <r>
    <n v="41"/>
    <s v="Female"/>
    <n v="30.8"/>
    <n v="1"/>
    <s v="No"/>
    <s v="Northwest"/>
    <n v="9869.8101999999999"/>
    <s v="Adult"/>
    <s v="36-45"/>
    <x v="3"/>
    <s v="Low"/>
  </r>
  <r>
    <n v="41"/>
    <s v="Female"/>
    <n v="30.8"/>
    <n v="1"/>
    <s v="No"/>
    <s v="Northwest"/>
    <n v="9872.7009999999991"/>
    <s v="Adult"/>
    <s v="36-45"/>
    <x v="3"/>
    <s v="Low"/>
  </r>
  <r>
    <n v="41"/>
    <s v="Female"/>
    <n v="30.8"/>
    <n v="1"/>
    <s v="No"/>
    <s v="Southwest"/>
    <n v="9875.6803999999993"/>
    <s v="Adult"/>
    <s v="36-45"/>
    <x v="3"/>
    <s v="Low"/>
  </r>
  <r>
    <n v="41"/>
    <s v="Female"/>
    <n v="30.8"/>
    <n v="1"/>
    <s v="Yes"/>
    <s v="Southeast"/>
    <n v="9877.6077000000005"/>
    <s v="Adult"/>
    <s v="36-45"/>
    <x v="3"/>
    <s v="Low"/>
  </r>
  <r>
    <n v="41"/>
    <s v="Male"/>
    <n v="30.8"/>
    <n v="1"/>
    <s v="No"/>
    <s v="Northwest"/>
    <n v="9880.0679999999993"/>
    <s v="Adult"/>
    <s v="36-45"/>
    <x v="3"/>
    <s v="Low"/>
  </r>
  <r>
    <n v="41"/>
    <s v="Female"/>
    <n v="30.8"/>
    <n v="1"/>
    <s v="No"/>
    <s v="Northeast"/>
    <n v="9910.3598500000007"/>
    <s v="Adult"/>
    <s v="36-45"/>
    <x v="3"/>
    <s v="Low"/>
  </r>
  <r>
    <n v="41"/>
    <s v="Female"/>
    <n v="30.8"/>
    <n v="1"/>
    <s v="No"/>
    <s v="Northeast"/>
    <n v="9957.7216000000008"/>
    <s v="Adult"/>
    <s v="36-45"/>
    <x v="3"/>
    <s v="Low"/>
  </r>
  <r>
    <n v="41"/>
    <s v="Male"/>
    <n v="30.875"/>
    <n v="1"/>
    <s v="No"/>
    <s v="Southeast"/>
    <n v="9964.06"/>
    <s v="Adult"/>
    <s v="36-45"/>
    <x v="3"/>
    <s v="Low"/>
  </r>
  <r>
    <n v="41"/>
    <s v="Female"/>
    <n v="30.875"/>
    <n v="1"/>
    <s v="No"/>
    <s v="Southeast"/>
    <n v="9991.0376500000002"/>
    <s v="Adult"/>
    <s v="36-45"/>
    <x v="3"/>
    <s v="Low"/>
  </r>
  <r>
    <n v="41"/>
    <s v="Female"/>
    <n v="30.875"/>
    <n v="1"/>
    <s v="No"/>
    <s v="Northwest"/>
    <n v="10043.249"/>
    <s v="Adult"/>
    <s v="36-45"/>
    <x v="3"/>
    <s v="Medium"/>
  </r>
  <r>
    <n v="41"/>
    <s v="Male"/>
    <n v="30.875"/>
    <n v="1"/>
    <s v="No"/>
    <s v="Northeast"/>
    <n v="10065.413"/>
    <s v="Adult"/>
    <s v="36-45"/>
    <x v="3"/>
    <s v="Medium"/>
  </r>
  <r>
    <n v="41"/>
    <s v="Female"/>
    <n v="30.875"/>
    <n v="1"/>
    <s v="No"/>
    <s v="Southwest"/>
    <n v="10072.055050000001"/>
    <s v="Adult"/>
    <s v="36-45"/>
    <x v="3"/>
    <s v="Medium"/>
  </r>
  <r>
    <n v="41"/>
    <s v="Male"/>
    <n v="30.875"/>
    <n v="1"/>
    <s v="No"/>
    <s v="Southwest"/>
    <n v="10085.846"/>
    <s v="Adult"/>
    <s v="36-45"/>
    <x v="3"/>
    <s v="Medium"/>
  </r>
  <r>
    <n v="41"/>
    <s v="Female"/>
    <n v="30.875"/>
    <n v="1"/>
    <s v="No"/>
    <s v="Northwest"/>
    <n v="10096.969999999999"/>
    <s v="Adult"/>
    <s v="36-45"/>
    <x v="3"/>
    <s v="Medium"/>
  </r>
  <r>
    <n v="41"/>
    <s v="Male"/>
    <n v="30.875"/>
    <n v="1"/>
    <s v="No"/>
    <s v="Northwest"/>
    <n v="10106.134249999999"/>
    <s v="Adult"/>
    <s v="36-45"/>
    <x v="3"/>
    <s v="Medium"/>
  </r>
  <r>
    <n v="41"/>
    <s v="Female"/>
    <n v="30.9"/>
    <n v="1"/>
    <s v="No"/>
    <s v="Northwest"/>
    <n v="10107.220600000001"/>
    <s v="Adult"/>
    <s v="36-45"/>
    <x v="3"/>
    <s v="Medium"/>
  </r>
  <r>
    <n v="41"/>
    <s v="Female"/>
    <n v="30.9"/>
    <n v="1"/>
    <s v="No"/>
    <s v="Northwest"/>
    <n v="10115.00885"/>
    <s v="Adult"/>
    <s v="36-45"/>
    <x v="3"/>
    <s v="Medium"/>
  </r>
  <r>
    <n v="41"/>
    <s v="Female"/>
    <n v="30.9"/>
    <n v="1"/>
    <s v="No"/>
    <s v="Northeast"/>
    <n v="10118.424000000001"/>
    <s v="Adult"/>
    <s v="36-45"/>
    <x v="3"/>
    <s v="Medium"/>
  </r>
  <r>
    <n v="41"/>
    <s v="Male"/>
    <n v="30.97"/>
    <n v="1"/>
    <s v="No"/>
    <s v="Southwest"/>
    <n v="10141.136200000001"/>
    <s v="Adult"/>
    <s v="36-45"/>
    <x v="3"/>
    <s v="Medium"/>
  </r>
  <r>
    <n v="41"/>
    <s v="Male"/>
    <n v="31"/>
    <n v="1"/>
    <s v="No"/>
    <s v="Southwest"/>
    <n v="10156.7832"/>
    <s v="Adult"/>
    <s v="36-45"/>
    <x v="3"/>
    <s v="Medium"/>
  </r>
  <r>
    <n v="41"/>
    <s v="Male"/>
    <n v="31"/>
    <n v="1"/>
    <s v="No"/>
    <s v="Southwest"/>
    <n v="10197.772199999999"/>
    <s v="Adult"/>
    <s v="36-45"/>
    <x v="3"/>
    <s v="Medium"/>
  </r>
  <r>
    <n v="41"/>
    <s v="Female"/>
    <n v="31.02"/>
    <n v="1"/>
    <s v="No"/>
    <s v="Northeast"/>
    <n v="10214.636"/>
    <s v="Adult"/>
    <s v="36-45"/>
    <x v="3"/>
    <s v="Medium"/>
  </r>
  <r>
    <n v="41"/>
    <s v="Female"/>
    <n v="31.02"/>
    <n v="1"/>
    <s v="Yes"/>
    <s v="Southeast"/>
    <n v="10226.2842"/>
    <s v="Adult"/>
    <s v="36-45"/>
    <x v="3"/>
    <s v="Medium"/>
  </r>
  <r>
    <n v="41"/>
    <s v="Male"/>
    <n v="31.02"/>
    <n v="1"/>
    <s v="No"/>
    <s v="Northwest"/>
    <n v="10231.499900000001"/>
    <s v="Adult"/>
    <s v="36-45"/>
    <x v="3"/>
    <s v="Medium"/>
  </r>
  <r>
    <n v="41"/>
    <s v="Female"/>
    <n v="31.065000000000001"/>
    <n v="1"/>
    <s v="Yes"/>
    <s v="Northeast"/>
    <n v="10264.4421"/>
    <s v="Adult"/>
    <s v="36-45"/>
    <x v="3"/>
    <s v="Medium"/>
  </r>
  <r>
    <n v="42"/>
    <s v="Female"/>
    <n v="31.065000000000001"/>
    <n v="1"/>
    <s v="No"/>
    <s v="Northeast"/>
    <n v="10269.459999999999"/>
    <s v="Adult"/>
    <s v="36-45"/>
    <x v="3"/>
    <s v="Medium"/>
  </r>
  <r>
    <n v="42"/>
    <s v="Female"/>
    <n v="31.065000000000001"/>
    <n v="1"/>
    <s v="No"/>
    <s v="Southeast"/>
    <n v="10325.206"/>
    <s v="Adult"/>
    <s v="36-45"/>
    <x v="3"/>
    <s v="Medium"/>
  </r>
  <r>
    <n v="42"/>
    <s v="Male"/>
    <n v="31.065000000000001"/>
    <n v="1"/>
    <s v="Yes"/>
    <s v="Southeast"/>
    <n v="10338.9316"/>
    <s v="Adult"/>
    <s v="36-45"/>
    <x v="3"/>
    <s v="Medium"/>
  </r>
  <r>
    <n v="42"/>
    <s v="Male"/>
    <n v="31.1"/>
    <n v="1"/>
    <s v="No"/>
    <s v="Southwest"/>
    <n v="10355.641"/>
    <s v="Adult"/>
    <s v="36-45"/>
    <x v="3"/>
    <s v="Medium"/>
  </r>
  <r>
    <n v="42"/>
    <s v="Female"/>
    <n v="31.13"/>
    <n v="1"/>
    <s v="No"/>
    <s v="Southwest"/>
    <n v="10370.912549999999"/>
    <s v="Adult"/>
    <s v="36-45"/>
    <x v="3"/>
    <s v="Medium"/>
  </r>
  <r>
    <n v="42"/>
    <s v="Female"/>
    <n v="31.13"/>
    <n v="1"/>
    <s v="No"/>
    <s v="Northeast"/>
    <n v="10381.4787"/>
    <s v="Adult"/>
    <s v="36-45"/>
    <x v="3"/>
    <s v="Medium"/>
  </r>
  <r>
    <n v="42"/>
    <s v="Female"/>
    <n v="31.13"/>
    <n v="1"/>
    <s v="No"/>
    <s v="Southwest"/>
    <n v="10407.085849999999"/>
    <s v="Adult"/>
    <s v="36-45"/>
    <x v="3"/>
    <s v="Medium"/>
  </r>
  <r>
    <n v="42"/>
    <s v="Female"/>
    <n v="31.13"/>
    <n v="1"/>
    <s v="No"/>
    <s v="Northwest"/>
    <n v="10422.916649999999"/>
    <s v="Adult"/>
    <s v="36-45"/>
    <x v="3"/>
    <s v="Medium"/>
  </r>
  <r>
    <n v="42"/>
    <s v="Female"/>
    <n v="31.16"/>
    <n v="1"/>
    <s v="Yes"/>
    <s v="Southeast"/>
    <n v="10435.06525"/>
    <s v="Adult"/>
    <s v="36-45"/>
    <x v="3"/>
    <s v="Medium"/>
  </r>
  <r>
    <n v="42"/>
    <s v="Male"/>
    <n v="31.16"/>
    <n v="1"/>
    <s v="No"/>
    <s v="Southwest"/>
    <n v="10436.096"/>
    <s v="Adult"/>
    <s v="36-45"/>
    <x v="3"/>
    <s v="Medium"/>
  </r>
  <r>
    <n v="42"/>
    <s v="Male"/>
    <n v="31.16"/>
    <n v="1"/>
    <s v="Yes"/>
    <s v="Northeast"/>
    <n v="10450.552"/>
    <s v="Adult"/>
    <s v="36-45"/>
    <x v="3"/>
    <s v="Medium"/>
  </r>
  <r>
    <n v="42"/>
    <s v="Male"/>
    <n v="31.16"/>
    <n v="1"/>
    <s v="Yes"/>
    <s v="Southwest"/>
    <n v="10461.9794"/>
    <s v="Adult"/>
    <s v="36-45"/>
    <x v="3"/>
    <s v="Medium"/>
  </r>
  <r>
    <n v="42"/>
    <s v="Male"/>
    <n v="31.2"/>
    <n v="1"/>
    <s v="No"/>
    <s v="Northeast"/>
    <n v="10493.9458"/>
    <s v="Adult"/>
    <s v="36-45"/>
    <x v="3"/>
    <s v="Medium"/>
  </r>
  <r>
    <n v="42"/>
    <s v="Male"/>
    <n v="31.24"/>
    <n v="1"/>
    <s v="Yes"/>
    <s v="Southeast"/>
    <n v="10560.4917"/>
    <s v="Adult"/>
    <s v="36-45"/>
    <x v="3"/>
    <s v="Medium"/>
  </r>
  <r>
    <n v="42"/>
    <s v="Male"/>
    <n v="31.254999999999999"/>
    <n v="1"/>
    <s v="Yes"/>
    <s v="Northeast"/>
    <n v="10564.8845"/>
    <s v="Adult"/>
    <s v="36-45"/>
    <x v="3"/>
    <s v="Medium"/>
  </r>
  <r>
    <n v="42"/>
    <s v="Female"/>
    <n v="31.254999999999999"/>
    <n v="1"/>
    <s v="No"/>
    <s v="Southeast"/>
    <n v="10577.087"/>
    <s v="Adult"/>
    <s v="36-45"/>
    <x v="3"/>
    <s v="Medium"/>
  </r>
  <r>
    <n v="42"/>
    <s v="Male"/>
    <n v="31.254999999999999"/>
    <n v="1"/>
    <s v="No"/>
    <s v="Northwest"/>
    <n v="10579.710999999999"/>
    <s v="Adult"/>
    <s v="36-45"/>
    <x v="3"/>
    <s v="Medium"/>
  </r>
  <r>
    <n v="42"/>
    <s v="Female"/>
    <n v="31.3"/>
    <n v="1"/>
    <s v="No"/>
    <s v="Northwest"/>
    <n v="10594.225700000001"/>
    <s v="Adult"/>
    <s v="36-45"/>
    <x v="3"/>
    <s v="Medium"/>
  </r>
  <r>
    <n v="42"/>
    <s v="Male"/>
    <n v="31.35"/>
    <n v="1"/>
    <s v="No"/>
    <s v="Southwest"/>
    <n v="10594.501550000001"/>
    <s v="Adult"/>
    <s v="36-45"/>
    <x v="3"/>
    <s v="Medium"/>
  </r>
  <r>
    <n v="42"/>
    <s v="Male"/>
    <n v="31.35"/>
    <n v="1"/>
    <s v="No"/>
    <s v="Northwest"/>
    <n v="10600.5483"/>
    <s v="Adult"/>
    <s v="36-45"/>
    <x v="3"/>
    <s v="Medium"/>
  </r>
  <r>
    <n v="42"/>
    <s v="Female"/>
    <n v="31.35"/>
    <n v="1"/>
    <s v="No"/>
    <s v="Southwest"/>
    <n v="10601.412"/>
    <s v="Adult"/>
    <s v="36-45"/>
    <x v="3"/>
    <s v="Medium"/>
  </r>
  <r>
    <n v="42"/>
    <s v="Male"/>
    <n v="31.35"/>
    <n v="1"/>
    <s v="No"/>
    <s v="Northwest"/>
    <n v="10601.632250000001"/>
    <s v="Adult"/>
    <s v="36-45"/>
    <x v="3"/>
    <s v="Medium"/>
  </r>
  <r>
    <n v="42"/>
    <s v="Female"/>
    <n v="31.35"/>
    <n v="1"/>
    <s v="Yes"/>
    <s v="Southeast"/>
    <n v="10602.385"/>
    <s v="Adult"/>
    <s v="36-45"/>
    <x v="3"/>
    <s v="Medium"/>
  </r>
  <r>
    <n v="42"/>
    <s v="Male"/>
    <n v="31.35"/>
    <n v="1"/>
    <s v="No"/>
    <s v="Northwest"/>
    <n v="10702.642400000001"/>
    <s v="Adult"/>
    <s v="36-45"/>
    <x v="3"/>
    <s v="Medium"/>
  </r>
  <r>
    <n v="42"/>
    <s v="Male"/>
    <n v="31.35"/>
    <n v="1"/>
    <s v="No"/>
    <s v="Northwest"/>
    <n v="10704.47"/>
    <s v="Adult"/>
    <s v="36-45"/>
    <x v="3"/>
    <s v="Medium"/>
  </r>
  <r>
    <n v="42"/>
    <s v="Female"/>
    <n v="31.35"/>
    <n v="1"/>
    <s v="No"/>
    <s v="Southeast"/>
    <n v="10713.644"/>
    <s v="Adult"/>
    <s v="36-45"/>
    <x v="3"/>
    <s v="Medium"/>
  </r>
  <r>
    <n v="42"/>
    <s v="Male"/>
    <n v="31.4"/>
    <n v="1"/>
    <s v="No"/>
    <s v="Northeast"/>
    <n v="10736.87075"/>
    <s v="Adult"/>
    <s v="36-45"/>
    <x v="3"/>
    <s v="Medium"/>
  </r>
  <r>
    <n v="43"/>
    <s v="Male"/>
    <n v="31.4"/>
    <n v="1"/>
    <s v="No"/>
    <s v="Northeast"/>
    <n v="10791.96"/>
    <s v="Adult"/>
    <s v="36-45"/>
    <x v="3"/>
    <s v="Medium"/>
  </r>
  <r>
    <n v="43"/>
    <s v="Female"/>
    <n v="31.4"/>
    <n v="1"/>
    <s v="No"/>
    <s v="Northeast"/>
    <n v="10795.937330000001"/>
    <s v="Adult"/>
    <s v="36-45"/>
    <x v="3"/>
    <s v="Medium"/>
  </r>
  <r>
    <n v="43"/>
    <s v="Female"/>
    <n v="31.445"/>
    <n v="1"/>
    <s v="Yes"/>
    <s v="Southeast"/>
    <n v="10796.35025"/>
    <s v="Adult"/>
    <s v="36-45"/>
    <x v="3"/>
    <s v="Medium"/>
  </r>
  <r>
    <n v="43"/>
    <s v="Male"/>
    <n v="31.445"/>
    <n v="1"/>
    <s v="No"/>
    <s v="Northeast"/>
    <n v="10797.3362"/>
    <s v="Adult"/>
    <s v="36-45"/>
    <x v="3"/>
    <s v="Medium"/>
  </r>
  <r>
    <n v="43"/>
    <s v="Male"/>
    <n v="31.46"/>
    <n v="1"/>
    <s v="Yes"/>
    <s v="Southeast"/>
    <n v="10806.839"/>
    <s v="Adult"/>
    <s v="36-45"/>
    <x v="3"/>
    <s v="Medium"/>
  </r>
  <r>
    <n v="43"/>
    <s v="Female"/>
    <n v="31.46"/>
    <n v="1"/>
    <s v="No"/>
    <s v="Northeast"/>
    <n v="10807.4863"/>
    <s v="Adult"/>
    <s v="36-45"/>
    <x v="3"/>
    <s v="Medium"/>
  </r>
  <r>
    <n v="43"/>
    <s v="Male"/>
    <n v="31.5"/>
    <n v="1"/>
    <s v="No"/>
    <s v="Southwest"/>
    <n v="10825.253699999999"/>
    <s v="Adult"/>
    <s v="36-45"/>
    <x v="3"/>
    <s v="Medium"/>
  </r>
  <r>
    <n v="43"/>
    <s v="Male"/>
    <n v="31.5"/>
    <n v="1"/>
    <s v="Yes"/>
    <s v="Southwest"/>
    <n v="10848.1343"/>
    <s v="Adult"/>
    <s v="36-45"/>
    <x v="3"/>
    <s v="Medium"/>
  </r>
  <r>
    <n v="43"/>
    <s v="Male"/>
    <n v="31.54"/>
    <n v="1"/>
    <s v="No"/>
    <s v="Northeast"/>
    <n v="10923.933199999999"/>
    <s v="Adult"/>
    <s v="36-45"/>
    <x v="3"/>
    <s v="Medium"/>
  </r>
  <r>
    <n v="43"/>
    <s v="Female"/>
    <n v="31.54"/>
    <n v="1"/>
    <s v="No"/>
    <s v="Northeast"/>
    <n v="10928.849"/>
    <s v="Adult"/>
    <s v="36-45"/>
    <x v="3"/>
    <s v="Medium"/>
  </r>
  <r>
    <n v="43"/>
    <s v="Female"/>
    <n v="31.57"/>
    <n v="1"/>
    <s v="No"/>
    <s v="Northwest"/>
    <n v="10942.13205"/>
    <s v="Adult"/>
    <s v="36-45"/>
    <x v="3"/>
    <s v="Medium"/>
  </r>
  <r>
    <n v="43"/>
    <s v="Male"/>
    <n v="31.57"/>
    <n v="1"/>
    <s v="No"/>
    <s v="Southwest"/>
    <n v="10959.33"/>
    <s v="Adult"/>
    <s v="36-45"/>
    <x v="3"/>
    <s v="Medium"/>
  </r>
  <r>
    <n v="43"/>
    <s v="Female"/>
    <n v="31.6"/>
    <n v="1"/>
    <s v="No"/>
    <s v="Southwest"/>
    <n v="10959.6947"/>
    <s v="Adult"/>
    <s v="36-45"/>
    <x v="3"/>
    <s v="Medium"/>
  </r>
  <r>
    <n v="43"/>
    <s v="Female"/>
    <n v="31.6"/>
    <n v="1"/>
    <s v="No"/>
    <s v="Southwest"/>
    <n v="10965.446"/>
    <s v="Adult"/>
    <s v="36-45"/>
    <x v="3"/>
    <s v="Medium"/>
  </r>
  <r>
    <n v="43"/>
    <s v="Female"/>
    <n v="31.6"/>
    <n v="1"/>
    <s v="No"/>
    <s v="Northwest"/>
    <n v="10976.24575"/>
    <s v="Adult"/>
    <s v="36-45"/>
    <x v="3"/>
    <s v="Medium"/>
  </r>
  <r>
    <n v="43"/>
    <s v="Male"/>
    <n v="31.635000000000002"/>
    <n v="1"/>
    <s v="No"/>
    <s v="Southwest"/>
    <n v="10977.2063"/>
    <s v="Adult"/>
    <s v="36-45"/>
    <x v="3"/>
    <s v="Medium"/>
  </r>
  <r>
    <n v="43"/>
    <s v="Female"/>
    <n v="31.635000000000002"/>
    <n v="1"/>
    <s v="No"/>
    <s v="Southwest"/>
    <n v="10982.5013"/>
    <s v="Adult"/>
    <s v="36-45"/>
    <x v="3"/>
    <s v="Medium"/>
  </r>
  <r>
    <n v="43"/>
    <s v="Female"/>
    <n v="31.68"/>
    <n v="1"/>
    <s v="No"/>
    <s v="Northeast"/>
    <n v="11013.7119"/>
    <s v="Adult"/>
    <s v="36-45"/>
    <x v="3"/>
    <s v="Medium"/>
  </r>
  <r>
    <n v="43"/>
    <s v="Female"/>
    <n v="31.68"/>
    <n v="1"/>
    <s v="Yes"/>
    <s v="Northwest"/>
    <n v="11015.1747"/>
    <s v="Adult"/>
    <s v="36-45"/>
    <x v="3"/>
    <s v="Medium"/>
  </r>
  <r>
    <n v="43"/>
    <s v="Male"/>
    <n v="31.73"/>
    <n v="1"/>
    <s v="No"/>
    <s v="Northwest"/>
    <n v="11033.661700000001"/>
    <s v="Adult"/>
    <s v="36-45"/>
    <x v="3"/>
    <s v="Medium"/>
  </r>
  <r>
    <n v="43"/>
    <s v="Male"/>
    <n v="31.73"/>
    <n v="1"/>
    <s v="No"/>
    <s v="Southeast"/>
    <n v="11070.535"/>
    <s v="Adult"/>
    <s v="36-45"/>
    <x v="3"/>
    <s v="Medium"/>
  </r>
  <r>
    <n v="43"/>
    <s v="Male"/>
    <n v="31.73"/>
    <n v="1"/>
    <s v="No"/>
    <s v="Northwest"/>
    <n v="11073.175999999999"/>
    <s v="Adult"/>
    <s v="36-45"/>
    <x v="3"/>
    <s v="Medium"/>
  </r>
  <r>
    <n v="43"/>
    <s v="Male"/>
    <n v="31.73"/>
    <n v="1"/>
    <s v="No"/>
    <s v="Northeast"/>
    <n v="11082.5772"/>
    <s v="Adult"/>
    <s v="36-45"/>
    <x v="3"/>
    <s v="Medium"/>
  </r>
  <r>
    <n v="43"/>
    <s v="Male"/>
    <n v="31.73"/>
    <n v="1"/>
    <s v="No"/>
    <s v="Southeast"/>
    <n v="11085.586799999999"/>
    <s v="Adult"/>
    <s v="36-45"/>
    <x v="3"/>
    <s v="Medium"/>
  </r>
  <r>
    <n v="43"/>
    <s v="Male"/>
    <n v="31.73"/>
    <n v="1"/>
    <s v="No"/>
    <s v="Northwest"/>
    <n v="11090.7178"/>
    <s v="Adult"/>
    <s v="36-45"/>
    <x v="3"/>
    <s v="Medium"/>
  </r>
  <r>
    <n v="43"/>
    <s v="Male"/>
    <n v="31.79"/>
    <n v="1"/>
    <s v="Yes"/>
    <s v="Southwest"/>
    <n v="11093.6229"/>
    <s v="Adult"/>
    <s v="36-45"/>
    <x v="3"/>
    <s v="Medium"/>
  </r>
  <r>
    <n v="43"/>
    <s v="Male"/>
    <n v="31.79"/>
    <n v="1"/>
    <s v="No"/>
    <s v="Southeast"/>
    <n v="11150.78"/>
    <s v="Adult"/>
    <s v="36-45"/>
    <x v="3"/>
    <s v="Medium"/>
  </r>
  <r>
    <n v="44"/>
    <s v="Male"/>
    <n v="31.79"/>
    <n v="1"/>
    <s v="No"/>
    <s v="Southeast"/>
    <n v="11163.567999999999"/>
    <s v="Adult"/>
    <s v="36-45"/>
    <x v="3"/>
    <s v="Medium"/>
  </r>
  <r>
    <n v="44"/>
    <s v="Female"/>
    <n v="31.79"/>
    <n v="1"/>
    <s v="Yes"/>
    <s v="Southwest"/>
    <n v="11165.417649999999"/>
    <s v="Adult"/>
    <s v="36-45"/>
    <x v="3"/>
    <s v="Medium"/>
  </r>
  <r>
    <n v="44"/>
    <s v="Female"/>
    <n v="31.8"/>
    <n v="1"/>
    <s v="No"/>
    <s v="Southeast"/>
    <n v="11187.6567"/>
    <s v="Adult"/>
    <s v="36-45"/>
    <x v="3"/>
    <s v="Medium"/>
  </r>
  <r>
    <n v="44"/>
    <s v="Female"/>
    <n v="31.824999999999999"/>
    <n v="1"/>
    <s v="No"/>
    <s v="Southwest"/>
    <n v="11244.376899999999"/>
    <s v="Adult"/>
    <s v="36-45"/>
    <x v="3"/>
    <s v="Medium"/>
  </r>
  <r>
    <n v="44"/>
    <s v="Male"/>
    <n v="31.824999999999999"/>
    <n v="1"/>
    <s v="No"/>
    <s v="Northeast"/>
    <n v="11253.421"/>
    <s v="Adult"/>
    <s v="36-45"/>
    <x v="3"/>
    <s v="Medium"/>
  </r>
  <r>
    <n v="44"/>
    <s v="Male"/>
    <n v="31.824999999999999"/>
    <n v="1"/>
    <s v="No"/>
    <s v="Northwest"/>
    <n v="11264.540999999999"/>
    <s v="Adult"/>
    <s v="36-45"/>
    <x v="3"/>
    <s v="Medium"/>
  </r>
  <r>
    <n v="44"/>
    <s v="Male"/>
    <n v="31.824999999999999"/>
    <n v="1"/>
    <s v="No"/>
    <s v="Northeast"/>
    <n v="11272.331389999999"/>
    <s v="Adult"/>
    <s v="36-45"/>
    <x v="3"/>
    <s v="Medium"/>
  </r>
  <r>
    <n v="44"/>
    <s v="Female"/>
    <n v="31.824999999999999"/>
    <n v="1"/>
    <s v="No"/>
    <s v="Southeast"/>
    <n v="11286.538699999999"/>
    <s v="Adult"/>
    <s v="36-45"/>
    <x v="3"/>
    <s v="Medium"/>
  </r>
  <r>
    <n v="44"/>
    <s v="Female"/>
    <n v="31.9"/>
    <n v="1"/>
    <s v="No"/>
    <s v="Southeast"/>
    <n v="11289.10925"/>
    <s v="Adult"/>
    <s v="36-45"/>
    <x v="3"/>
    <s v="Medium"/>
  </r>
  <r>
    <n v="44"/>
    <s v="Male"/>
    <n v="31.9"/>
    <n v="1"/>
    <s v="No"/>
    <s v="Southwest"/>
    <n v="11299.343000000001"/>
    <s v="Adult"/>
    <s v="36-45"/>
    <x v="3"/>
    <s v="Medium"/>
  </r>
  <r>
    <n v="44"/>
    <s v="Female"/>
    <n v="31.9"/>
    <n v="1"/>
    <s v="No"/>
    <s v="Northeast"/>
    <n v="11305.93455"/>
    <s v="Adult"/>
    <s v="36-45"/>
    <x v="3"/>
    <s v="Medium"/>
  </r>
  <r>
    <n v="44"/>
    <s v="Male"/>
    <n v="31.92"/>
    <n v="1"/>
    <s v="Yes"/>
    <s v="Southeast"/>
    <n v="11326.71487"/>
    <s v="Adult"/>
    <s v="36-45"/>
    <x v="3"/>
    <s v="Medium"/>
  </r>
  <r>
    <n v="44"/>
    <s v="Female"/>
    <n v="31.92"/>
    <n v="1"/>
    <s v="No"/>
    <s v="Northwest"/>
    <n v="11345.519"/>
    <s v="Adult"/>
    <s v="36-45"/>
    <x v="3"/>
    <s v="Medium"/>
  </r>
  <r>
    <n v="44"/>
    <s v="Male"/>
    <n v="31.92"/>
    <n v="1"/>
    <s v="Yes"/>
    <s v="Northwest"/>
    <n v="11353.2276"/>
    <s v="Adult"/>
    <s v="36-45"/>
    <x v="3"/>
    <s v="Medium"/>
  </r>
  <r>
    <n v="44"/>
    <s v="Male"/>
    <n v="31.92"/>
    <n v="1"/>
    <s v="No"/>
    <s v="Southeast"/>
    <n v="11356.660900000001"/>
    <s v="Adult"/>
    <s v="36-45"/>
    <x v="3"/>
    <s v="Medium"/>
  </r>
  <r>
    <n v="44"/>
    <s v="Female"/>
    <n v="31.92"/>
    <n v="1"/>
    <s v="No"/>
    <s v="Northeast"/>
    <n v="11362.754999999999"/>
    <s v="Adult"/>
    <s v="36-45"/>
    <x v="3"/>
    <s v="Medium"/>
  </r>
  <r>
    <n v="44"/>
    <s v="Female"/>
    <n v="32"/>
    <n v="1"/>
    <s v="No"/>
    <s v="Southwest"/>
    <n v="11363.2832"/>
    <s v="Adult"/>
    <s v="36-45"/>
    <x v="3"/>
    <s v="Medium"/>
  </r>
  <r>
    <n v="44"/>
    <s v="Male"/>
    <n v="32.01"/>
    <n v="1"/>
    <s v="Yes"/>
    <s v="Northeast"/>
    <n v="11365.951999999999"/>
    <s v="Adult"/>
    <s v="36-45"/>
    <x v="3"/>
    <s v="Medium"/>
  </r>
  <r>
    <n v="44"/>
    <s v="Female"/>
    <n v="32.01"/>
    <n v="1"/>
    <s v="No"/>
    <s v="Southeast"/>
    <n v="11381.3254"/>
    <s v="Adult"/>
    <s v="36-45"/>
    <x v="3"/>
    <s v="Medium"/>
  </r>
  <r>
    <n v="44"/>
    <s v="Female"/>
    <n v="32.015000000000001"/>
    <n v="1"/>
    <s v="No"/>
    <s v="Southeast"/>
    <n v="11394.065549999999"/>
    <s v="Adult"/>
    <s v="36-45"/>
    <x v="3"/>
    <s v="Medium"/>
  </r>
  <r>
    <n v="44"/>
    <s v="Male"/>
    <n v="32.015000000000001"/>
    <n v="1"/>
    <s v="No"/>
    <s v="Southwest"/>
    <n v="11396.9002"/>
    <s v="Adult"/>
    <s v="36-45"/>
    <x v="3"/>
    <s v="Medium"/>
  </r>
  <r>
    <n v="44"/>
    <s v="Female"/>
    <n v="32.1"/>
    <n v="1"/>
    <s v="Yes"/>
    <s v="Southeast"/>
    <n v="11411.684999999999"/>
    <s v="Adult"/>
    <s v="36-45"/>
    <x v="3"/>
    <s v="Medium"/>
  </r>
  <r>
    <n v="44"/>
    <s v="Male"/>
    <n v="32.11"/>
    <n v="1"/>
    <s v="No"/>
    <s v="Southeast"/>
    <n v="11436.738149999999"/>
    <s v="Adult"/>
    <s v="36-45"/>
    <x v="3"/>
    <s v="Medium"/>
  </r>
  <r>
    <n v="44"/>
    <s v="Female"/>
    <n v="32.11"/>
    <n v="1"/>
    <s v="No"/>
    <s v="Northwest"/>
    <n v="11454.021500000001"/>
    <s v="Adult"/>
    <s v="36-45"/>
    <x v="3"/>
    <s v="Medium"/>
  </r>
  <r>
    <n v="44"/>
    <s v="Female"/>
    <n v="32.11"/>
    <n v="1"/>
    <s v="No"/>
    <s v="Northwest"/>
    <n v="11455.28"/>
    <s v="Adult"/>
    <s v="36-45"/>
    <x v="3"/>
    <s v="Medium"/>
  </r>
  <r>
    <n v="44"/>
    <s v="Female"/>
    <n v="32.11"/>
    <n v="1"/>
    <s v="No"/>
    <s v="Northwest"/>
    <n v="11482.63485"/>
    <s v="Adult"/>
    <s v="36-45"/>
    <x v="3"/>
    <s v="Medium"/>
  </r>
  <r>
    <n v="44"/>
    <s v="Male"/>
    <n v="32.11"/>
    <n v="1"/>
    <s v="No"/>
    <s v="Southeast"/>
    <n v="11488.31695"/>
    <s v="Adult"/>
    <s v="36-45"/>
    <x v="3"/>
    <s v="Medium"/>
  </r>
  <r>
    <n v="45"/>
    <s v="Male"/>
    <n v="32.11"/>
    <n v="1"/>
    <s v="No"/>
    <s v="Northeast"/>
    <n v="11512.405000000001"/>
    <s v="Adult"/>
    <s v="36-45"/>
    <x v="3"/>
    <s v="Medium"/>
  </r>
  <r>
    <n v="45"/>
    <s v="Female"/>
    <n v="32.11"/>
    <n v="1"/>
    <s v="No"/>
    <s v="Southwest"/>
    <n v="11520.099850000001"/>
    <s v="Adult"/>
    <s v="36-45"/>
    <x v="3"/>
    <s v="Medium"/>
  </r>
  <r>
    <n v="45"/>
    <s v="Female"/>
    <n v="32.119999999999997"/>
    <n v="1"/>
    <s v="No"/>
    <s v="Northwest"/>
    <n v="11534.872649999999"/>
    <s v="Adult"/>
    <s v="36-45"/>
    <x v="3"/>
    <s v="Medium"/>
  </r>
  <r>
    <n v="45"/>
    <s v="Male"/>
    <n v="32.200000000000003"/>
    <n v="1"/>
    <s v="No"/>
    <s v="Southeast"/>
    <n v="11538.421"/>
    <s v="Adult"/>
    <s v="36-45"/>
    <x v="3"/>
    <s v="Medium"/>
  </r>
  <r>
    <n v="45"/>
    <s v="Male"/>
    <n v="32.200000000000003"/>
    <n v="1"/>
    <s v="No"/>
    <s v="Northeast"/>
    <n v="11552.904"/>
    <s v="Adult"/>
    <s v="36-45"/>
    <x v="3"/>
    <s v="Medium"/>
  </r>
  <r>
    <n v="45"/>
    <s v="Male"/>
    <n v="32.200000000000003"/>
    <n v="1"/>
    <s v="No"/>
    <s v="Southeast"/>
    <n v="11554.223599999999"/>
    <s v="Adult"/>
    <s v="36-45"/>
    <x v="3"/>
    <s v="Medium"/>
  </r>
  <r>
    <n v="45"/>
    <s v="Female"/>
    <n v="32.204999999999998"/>
    <n v="1"/>
    <s v="No"/>
    <s v="Southeast"/>
    <n v="11566.30055"/>
    <s v="Adult"/>
    <s v="36-45"/>
    <x v="3"/>
    <s v="Medium"/>
  </r>
  <r>
    <n v="45"/>
    <s v="Female"/>
    <n v="32.204999999999998"/>
    <n v="1"/>
    <s v="No"/>
    <s v="Northwest"/>
    <n v="11576.13"/>
    <s v="Adult"/>
    <s v="36-45"/>
    <x v="3"/>
    <s v="Medium"/>
  </r>
  <r>
    <n v="45"/>
    <s v="Male"/>
    <n v="32.229999999999997"/>
    <n v="1"/>
    <s v="No"/>
    <s v="Southwest"/>
    <n v="11657.7189"/>
    <s v="Adult"/>
    <s v="36-45"/>
    <x v="3"/>
    <s v="Medium"/>
  </r>
  <r>
    <n v="45"/>
    <s v="Female"/>
    <n v="32.229999999999997"/>
    <n v="1"/>
    <s v="Yes"/>
    <s v="Northeast"/>
    <n v="11658.11505"/>
    <s v="Adult"/>
    <s v="36-45"/>
    <x v="3"/>
    <s v="Medium"/>
  </r>
  <r>
    <n v="45"/>
    <s v="Female"/>
    <n v="32.299999999999997"/>
    <n v="1"/>
    <s v="Yes"/>
    <s v="Northwest"/>
    <n v="11658.379150000001"/>
    <s v="Adult"/>
    <s v="36-45"/>
    <x v="3"/>
    <s v="Medium"/>
  </r>
  <r>
    <n v="45"/>
    <s v="Male"/>
    <n v="32.299999999999997"/>
    <n v="1"/>
    <s v="No"/>
    <s v="Southwest"/>
    <n v="11674.13"/>
    <s v="Adult"/>
    <s v="36-45"/>
    <x v="3"/>
    <s v="Medium"/>
  </r>
  <r>
    <n v="45"/>
    <s v="Male"/>
    <n v="32.299999999999997"/>
    <n v="1"/>
    <s v="No"/>
    <s v="Northwest"/>
    <n v="11729.6795"/>
    <s v="Adult"/>
    <s v="36-45"/>
    <x v="3"/>
    <s v="Medium"/>
  </r>
  <r>
    <n v="45"/>
    <s v="Female"/>
    <n v="32.299999999999997"/>
    <n v="1"/>
    <s v="No"/>
    <s v="Southeast"/>
    <n v="11735.87905"/>
    <s v="Adult"/>
    <s v="36-45"/>
    <x v="3"/>
    <s v="Medium"/>
  </r>
  <r>
    <n v="45"/>
    <s v="Female"/>
    <n v="32.299999999999997"/>
    <n v="1"/>
    <s v="No"/>
    <s v="Southeast"/>
    <n v="11737.848840000001"/>
    <s v="Adult"/>
    <s v="36-45"/>
    <x v="3"/>
    <s v="Medium"/>
  </r>
  <r>
    <n v="45"/>
    <s v="Male"/>
    <n v="32.299999999999997"/>
    <n v="1"/>
    <s v="No"/>
    <s v="Northwest"/>
    <n v="11741.726000000001"/>
    <s v="Adult"/>
    <s v="36-45"/>
    <x v="3"/>
    <s v="Medium"/>
  </r>
  <r>
    <n v="45"/>
    <s v="Female"/>
    <n v="32.299999999999997"/>
    <n v="1"/>
    <s v="No"/>
    <s v="Northeast"/>
    <n v="11743.299000000001"/>
    <s v="Adult"/>
    <s v="36-45"/>
    <x v="3"/>
    <s v="Medium"/>
  </r>
  <r>
    <n v="45"/>
    <s v="Male"/>
    <n v="32.299999999999997"/>
    <n v="1"/>
    <s v="Yes"/>
    <s v="Southeast"/>
    <n v="11743.9341"/>
    <s v="Adult"/>
    <s v="36-45"/>
    <x v="3"/>
    <s v="Medium"/>
  </r>
  <r>
    <n v="45"/>
    <s v="Male"/>
    <n v="32.299999999999997"/>
    <n v="1"/>
    <s v="Yes"/>
    <s v="Northeast"/>
    <n v="11763.000899999999"/>
    <s v="Adult"/>
    <s v="36-45"/>
    <x v="3"/>
    <s v="Medium"/>
  </r>
  <r>
    <n v="45"/>
    <s v="Male"/>
    <n v="32.299999999999997"/>
    <n v="1"/>
    <s v="Yes"/>
    <s v="Northeast"/>
    <n v="11830.6072"/>
    <s v="Adult"/>
    <s v="36-45"/>
    <x v="3"/>
    <s v="Medium"/>
  </r>
  <r>
    <n v="45"/>
    <s v="Male"/>
    <n v="32.299999999999997"/>
    <n v="1"/>
    <s v="No"/>
    <s v="Northwest"/>
    <n v="11833.782300000001"/>
    <s v="Adult"/>
    <s v="36-45"/>
    <x v="3"/>
    <s v="Medium"/>
  </r>
  <r>
    <n v="45"/>
    <s v="Male"/>
    <n v="32.299999999999997"/>
    <n v="1"/>
    <s v="No"/>
    <s v="Southwest"/>
    <n v="11837.16"/>
    <s v="Adult"/>
    <s v="36-45"/>
    <x v="3"/>
    <s v="Medium"/>
  </r>
  <r>
    <n v="45"/>
    <s v="Female"/>
    <n v="32.299999999999997"/>
    <n v="1"/>
    <s v="No"/>
    <s v="Northwest"/>
    <n v="11840.77505"/>
    <s v="Adult"/>
    <s v="36-45"/>
    <x v="3"/>
    <s v="Medium"/>
  </r>
  <r>
    <n v="45"/>
    <s v="Female"/>
    <n v="32.340000000000003"/>
    <n v="1"/>
    <s v="No"/>
    <s v="Northwest"/>
    <n v="11842.441999999999"/>
    <s v="Adult"/>
    <s v="36-45"/>
    <x v="3"/>
    <s v="Medium"/>
  </r>
  <r>
    <n v="45"/>
    <s v="Male"/>
    <n v="32.340000000000003"/>
    <n v="1"/>
    <s v="No"/>
    <s v="Northwest"/>
    <n v="11842.623750000001"/>
    <s v="Adult"/>
    <s v="36-45"/>
    <x v="3"/>
    <s v="Medium"/>
  </r>
  <r>
    <n v="45"/>
    <s v="Male"/>
    <n v="32.395000000000003"/>
    <n v="1"/>
    <s v="No"/>
    <s v="Northwest"/>
    <n v="11848.141"/>
    <s v="Adult"/>
    <s v="36-45"/>
    <x v="3"/>
    <s v="Medium"/>
  </r>
  <r>
    <n v="45"/>
    <s v="Male"/>
    <n v="32.395000000000003"/>
    <n v="1"/>
    <s v="No"/>
    <s v="Southeast"/>
    <n v="11856.4115"/>
    <s v="Adult"/>
    <s v="36-45"/>
    <x v="3"/>
    <s v="Medium"/>
  </r>
  <r>
    <n v="45"/>
    <s v="Male"/>
    <n v="32.395000000000003"/>
    <n v="1"/>
    <s v="No"/>
    <s v="Southwest"/>
    <n v="11879.10405"/>
    <s v="Adult"/>
    <s v="36-45"/>
    <x v="3"/>
    <s v="Medium"/>
  </r>
  <r>
    <n v="45"/>
    <s v="Female"/>
    <n v="32.395000000000003"/>
    <n v="1"/>
    <s v="No"/>
    <s v="Northeast"/>
    <n v="11881.358"/>
    <s v="Adult"/>
    <s v="36-45"/>
    <x v="3"/>
    <s v="Medium"/>
  </r>
  <r>
    <n v="46"/>
    <s v="Female"/>
    <n v="32.395000000000003"/>
    <n v="1"/>
    <s v="No"/>
    <s v="Northeast"/>
    <n v="11881.9696"/>
    <s v="Adult"/>
    <s v="46-60"/>
    <x v="3"/>
    <s v="Medium"/>
  </r>
  <r>
    <n v="46"/>
    <s v="Female"/>
    <n v="32.4"/>
    <n v="1"/>
    <s v="No"/>
    <s v="Northwest"/>
    <n v="11884.048580000001"/>
    <s v="Adult"/>
    <s v="46-60"/>
    <x v="3"/>
    <s v="Medium"/>
  </r>
  <r>
    <n v="46"/>
    <s v="Male"/>
    <n v="32.450000000000003"/>
    <n v="1"/>
    <s v="No"/>
    <s v="Southwest"/>
    <n v="11931.125249999999"/>
    <s v="Adult"/>
    <s v="46-60"/>
    <x v="3"/>
    <s v="Medium"/>
  </r>
  <r>
    <n v="46"/>
    <s v="Male"/>
    <n v="32.49"/>
    <n v="1"/>
    <s v="No"/>
    <s v="Northeast"/>
    <n v="11938.255950000001"/>
    <s v="Adult"/>
    <s v="46-60"/>
    <x v="3"/>
    <s v="Medium"/>
  </r>
  <r>
    <n v="46"/>
    <s v="Female"/>
    <n v="32.49"/>
    <n v="1"/>
    <s v="Yes"/>
    <s v="Southeast"/>
    <n v="11944.594349999999"/>
    <s v="Adult"/>
    <s v="46-60"/>
    <x v="3"/>
    <s v="Medium"/>
  </r>
  <r>
    <n v="46"/>
    <s v="Female"/>
    <n v="32.5"/>
    <n v="1"/>
    <s v="Yes"/>
    <s v="Southeast"/>
    <n v="11945.1327"/>
    <s v="Adult"/>
    <s v="46-60"/>
    <x v="3"/>
    <s v="Medium"/>
  </r>
  <r>
    <n v="46"/>
    <s v="Male"/>
    <n v="32.56"/>
    <n v="1"/>
    <s v="No"/>
    <s v="Northeast"/>
    <n v="11946.625899999999"/>
    <s v="Adult"/>
    <s v="46-60"/>
    <x v="3"/>
    <s v="Medium"/>
  </r>
  <r>
    <n v="46"/>
    <s v="Female"/>
    <n v="32.56"/>
    <n v="1"/>
    <s v="Yes"/>
    <s v="Southeast"/>
    <n v="11987.1682"/>
    <s v="Adult"/>
    <s v="46-60"/>
    <x v="3"/>
    <s v="Medium"/>
  </r>
  <r>
    <n v="46"/>
    <s v="Female"/>
    <n v="32.585000000000001"/>
    <n v="1"/>
    <s v="No"/>
    <s v="Southwest"/>
    <n v="12029.286700000001"/>
    <s v="Adult"/>
    <s v="46-60"/>
    <x v="3"/>
    <s v="Medium"/>
  </r>
  <r>
    <n v="46"/>
    <s v="Male"/>
    <n v="32.6"/>
    <n v="1"/>
    <s v="No"/>
    <s v="Southeast"/>
    <n v="12032.325999999999"/>
    <s v="Adult"/>
    <s v="46-60"/>
    <x v="3"/>
    <s v="Medium"/>
  </r>
  <r>
    <n v="46"/>
    <s v="Female"/>
    <n v="32.6"/>
    <n v="1"/>
    <s v="No"/>
    <s v="Southwest"/>
    <n v="12044.342000000001"/>
    <s v="Adult"/>
    <s v="46-60"/>
    <x v="3"/>
    <s v="Medium"/>
  </r>
  <r>
    <n v="46"/>
    <s v="Male"/>
    <n v="32.67"/>
    <n v="1"/>
    <s v="No"/>
    <s v="Northwest"/>
    <n v="12094.477999999999"/>
    <s v="Adult"/>
    <s v="46-60"/>
    <x v="3"/>
    <s v="Medium"/>
  </r>
  <r>
    <n v="46"/>
    <s v="Female"/>
    <n v="32.67"/>
    <n v="1"/>
    <s v="Yes"/>
    <s v="Northeast"/>
    <n v="12096.6512"/>
    <s v="Adult"/>
    <s v="46-60"/>
    <x v="3"/>
    <s v="Medium"/>
  </r>
  <r>
    <n v="46"/>
    <s v="Male"/>
    <n v="32.68"/>
    <n v="1"/>
    <s v="No"/>
    <s v="Northwest"/>
    <n v="12105.32"/>
    <s v="Adult"/>
    <s v="46-60"/>
    <x v="3"/>
    <s v="Medium"/>
  </r>
  <r>
    <n v="46"/>
    <s v="Female"/>
    <n v="32.68"/>
    <n v="1"/>
    <s v="Yes"/>
    <s v="Northeast"/>
    <n v="12124.992399999999"/>
    <s v="Adult"/>
    <s v="46-60"/>
    <x v="3"/>
    <s v="Medium"/>
  </r>
  <r>
    <n v="46"/>
    <s v="Female"/>
    <n v="32.68"/>
    <n v="1"/>
    <s v="No"/>
    <s v="Northeast"/>
    <n v="12129.614149999999"/>
    <s v="Adult"/>
    <s v="46-60"/>
    <x v="3"/>
    <s v="Medium"/>
  </r>
  <r>
    <n v="46"/>
    <s v="Female"/>
    <n v="32.68"/>
    <n v="1"/>
    <s v="Yes"/>
    <s v="Northeast"/>
    <n v="12142.578600000001"/>
    <s v="Adult"/>
    <s v="46-60"/>
    <x v="3"/>
    <s v="Medium"/>
  </r>
  <r>
    <n v="46"/>
    <s v="Female"/>
    <n v="32.700000000000003"/>
    <n v="1"/>
    <s v="No"/>
    <s v="Southwest"/>
    <n v="12146.971"/>
    <s v="Adult"/>
    <s v="46-60"/>
    <x v="3"/>
    <s v="Medium"/>
  </r>
  <r>
    <n v="46"/>
    <s v="Female"/>
    <n v="32.700000000000003"/>
    <n v="1"/>
    <s v="Yes"/>
    <s v="Southeast"/>
    <n v="12222.898300000001"/>
    <s v="Adult"/>
    <s v="46-60"/>
    <x v="3"/>
    <s v="Medium"/>
  </r>
  <r>
    <n v="46"/>
    <s v="Male"/>
    <n v="32.774999999999999"/>
    <n v="1"/>
    <s v="Yes"/>
    <s v="Northwest"/>
    <n v="12224.350850000001"/>
    <s v="Adult"/>
    <s v="46-60"/>
    <x v="3"/>
    <s v="Medium"/>
  </r>
  <r>
    <n v="46"/>
    <s v="Female"/>
    <n v="32.774999999999999"/>
    <n v="1"/>
    <s v="No"/>
    <s v="Southeast"/>
    <n v="12231.613600000001"/>
    <s v="Adult"/>
    <s v="46-60"/>
    <x v="3"/>
    <s v="Medium"/>
  </r>
  <r>
    <n v="46"/>
    <s v="Male"/>
    <n v="32.774999999999999"/>
    <n v="1"/>
    <s v="No"/>
    <s v="Southwest"/>
    <n v="12233.828"/>
    <s v="Adult"/>
    <s v="46-60"/>
    <x v="3"/>
    <s v="Medium"/>
  </r>
  <r>
    <n v="46"/>
    <s v="Female"/>
    <n v="32.774999999999999"/>
    <n v="1"/>
    <s v="Yes"/>
    <s v="Southwest"/>
    <n v="12235.8392"/>
    <s v="Adult"/>
    <s v="46-60"/>
    <x v="3"/>
    <s v="Medium"/>
  </r>
  <r>
    <n v="46"/>
    <s v="Female"/>
    <n v="32.774999999999999"/>
    <n v="1"/>
    <s v="No"/>
    <s v="Southwest"/>
    <n v="12244.531000000001"/>
    <s v="Adult"/>
    <s v="46-60"/>
    <x v="3"/>
    <s v="Medium"/>
  </r>
  <r>
    <n v="46"/>
    <s v="Female"/>
    <n v="32.774999999999999"/>
    <n v="1"/>
    <s v="No"/>
    <s v="Northwest"/>
    <n v="12265.5069"/>
    <s v="Adult"/>
    <s v="46-60"/>
    <x v="3"/>
    <s v="Medium"/>
  </r>
  <r>
    <n v="46"/>
    <s v="Female"/>
    <n v="32.774999999999999"/>
    <n v="1"/>
    <s v="No"/>
    <s v="Northeast"/>
    <n v="12268.632250000001"/>
    <s v="Adult"/>
    <s v="46-60"/>
    <x v="3"/>
    <s v="Medium"/>
  </r>
  <r>
    <n v="46"/>
    <s v="Male"/>
    <n v="32.78"/>
    <n v="1"/>
    <s v="No"/>
    <s v="Southwest"/>
    <n v="12269.68865"/>
    <s v="Adult"/>
    <s v="46-60"/>
    <x v="3"/>
    <s v="Medium"/>
  </r>
  <r>
    <n v="46"/>
    <s v="Male"/>
    <n v="32.799999999999997"/>
    <n v="1"/>
    <s v="No"/>
    <s v="Southwest"/>
    <n v="12323.936"/>
    <s v="Adult"/>
    <s v="46-60"/>
    <x v="3"/>
    <s v="Medium"/>
  </r>
  <r>
    <n v="46"/>
    <s v="Male"/>
    <n v="32.799999999999997"/>
    <n v="1"/>
    <s v="No"/>
    <s v="Southeast"/>
    <n v="12333.828"/>
    <s v="Adult"/>
    <s v="46-60"/>
    <x v="3"/>
    <s v="Medium"/>
  </r>
  <r>
    <n v="47"/>
    <s v="Male"/>
    <n v="32.799999999999997"/>
    <n v="1"/>
    <s v="No"/>
    <s v="Southwest"/>
    <n v="12347.172"/>
    <s v="Adult"/>
    <s v="46-60"/>
    <x v="3"/>
    <s v="Medium"/>
  </r>
  <r>
    <n v="47"/>
    <s v="Male"/>
    <n v="32.869999999999997"/>
    <n v="1"/>
    <s v="No"/>
    <s v="Northeast"/>
    <n v="12363.547"/>
    <s v="Adult"/>
    <s v="46-60"/>
    <x v="3"/>
    <s v="Medium"/>
  </r>
  <r>
    <n v="47"/>
    <s v="Female"/>
    <n v="32.9"/>
    <n v="1"/>
    <s v="No"/>
    <s v="Southwest"/>
    <n v="12404.8791"/>
    <s v="Adult"/>
    <s v="46-60"/>
    <x v="3"/>
    <s v="Medium"/>
  </r>
  <r>
    <n v="47"/>
    <s v="Male"/>
    <n v="32.9"/>
    <n v="1"/>
    <s v="No"/>
    <s v="Southwest"/>
    <n v="12430.95335"/>
    <s v="Adult"/>
    <s v="46-60"/>
    <x v="3"/>
    <s v="Medium"/>
  </r>
  <r>
    <n v="47"/>
    <s v="Female"/>
    <n v="32.9"/>
    <n v="1"/>
    <s v="No"/>
    <s v="Southeast"/>
    <n v="12475.3513"/>
    <s v="Adult"/>
    <s v="46-60"/>
    <x v="3"/>
    <s v="Medium"/>
  </r>
  <r>
    <n v="47"/>
    <s v="Male"/>
    <n v="32.965000000000003"/>
    <n v="1"/>
    <s v="No"/>
    <s v="Southeast"/>
    <n v="12479.70895"/>
    <s v="Adult"/>
    <s v="46-60"/>
    <x v="3"/>
    <s v="Medium"/>
  </r>
  <r>
    <n v="47"/>
    <s v="Male"/>
    <n v="32.965000000000003"/>
    <n v="1"/>
    <s v="No"/>
    <s v="Southwest"/>
    <n v="12485.8009"/>
    <s v="Adult"/>
    <s v="46-60"/>
    <x v="3"/>
    <s v="Medium"/>
  </r>
  <r>
    <n v="47"/>
    <s v="Male"/>
    <n v="32.965000000000003"/>
    <n v="1"/>
    <s v="No"/>
    <s v="Northeast"/>
    <n v="12495.290849999999"/>
    <s v="Adult"/>
    <s v="46-60"/>
    <x v="3"/>
    <s v="Medium"/>
  </r>
  <r>
    <n v="47"/>
    <s v="Female"/>
    <n v="32.965000000000003"/>
    <n v="1"/>
    <s v="No"/>
    <s v="Northwest"/>
    <n v="12523.604799999999"/>
    <s v="Adult"/>
    <s v="46-60"/>
    <x v="3"/>
    <s v="Medium"/>
  </r>
  <r>
    <n v="47"/>
    <s v="Female"/>
    <n v="33"/>
    <n v="1"/>
    <s v="No"/>
    <s v="Southwest"/>
    <n v="12557.605299999999"/>
    <s v="Adult"/>
    <s v="46-60"/>
    <x v="3"/>
    <s v="Medium"/>
  </r>
  <r>
    <n v="47"/>
    <s v="Male"/>
    <n v="33"/>
    <n v="1"/>
    <s v="No"/>
    <s v="Southeast"/>
    <n v="12574.049000000001"/>
    <s v="Adult"/>
    <s v="46-60"/>
    <x v="3"/>
    <s v="Medium"/>
  </r>
  <r>
    <n v="47"/>
    <s v="Male"/>
    <n v="33"/>
    <n v="1"/>
    <s v="No"/>
    <s v="Southwest"/>
    <n v="12592.5345"/>
    <s v="Adult"/>
    <s v="46-60"/>
    <x v="3"/>
    <s v="Medium"/>
  </r>
  <r>
    <n v="47"/>
    <s v="Female"/>
    <n v="33"/>
    <n v="1"/>
    <s v="No"/>
    <s v="Southwest"/>
    <n v="12609.88702"/>
    <s v="Adult"/>
    <s v="46-60"/>
    <x v="3"/>
    <s v="Medium"/>
  </r>
  <r>
    <n v="47"/>
    <s v="Male"/>
    <n v="33"/>
    <n v="1"/>
    <s v="No"/>
    <s v="Southwest"/>
    <n v="12622.1795"/>
    <s v="Adult"/>
    <s v="46-60"/>
    <x v="3"/>
    <s v="Medium"/>
  </r>
  <r>
    <n v="47"/>
    <s v="Male"/>
    <n v="33"/>
    <n v="1"/>
    <s v="No"/>
    <s v="Northwest"/>
    <n v="12629.1656"/>
    <s v="Adult"/>
    <s v="46-60"/>
    <x v="3"/>
    <s v="Medium"/>
  </r>
  <r>
    <n v="47"/>
    <s v="Female"/>
    <n v="33.06"/>
    <n v="1"/>
    <s v="No"/>
    <s v="Northeast"/>
    <n v="12629.896699999999"/>
    <s v="Adult"/>
    <s v="46-60"/>
    <x v="3"/>
    <s v="Medium"/>
  </r>
  <r>
    <n v="47"/>
    <s v="Female"/>
    <n v="33.1"/>
    <n v="1"/>
    <s v="Yes"/>
    <s v="Northeast"/>
    <n v="12638.195"/>
    <s v="Adult"/>
    <s v="46-60"/>
    <x v="3"/>
    <s v="Medium"/>
  </r>
  <r>
    <n v="47"/>
    <s v="Male"/>
    <n v="33.1"/>
    <n v="1"/>
    <s v="No"/>
    <s v="Northwest"/>
    <n v="12643.3778"/>
    <s v="Adult"/>
    <s v="46-60"/>
    <x v="3"/>
    <s v="Medium"/>
  </r>
  <r>
    <n v="47"/>
    <s v="Male"/>
    <n v="33.1"/>
    <n v="1"/>
    <s v="Yes"/>
    <s v="Southeast"/>
    <n v="12644.589"/>
    <s v="Adult"/>
    <s v="46-60"/>
    <x v="3"/>
    <s v="Medium"/>
  </r>
  <r>
    <n v="47"/>
    <s v="Male"/>
    <n v="33.1"/>
    <n v="1"/>
    <s v="Yes"/>
    <s v="Northeast"/>
    <n v="12646.207"/>
    <s v="Adult"/>
    <s v="46-60"/>
    <x v="3"/>
    <s v="Medium"/>
  </r>
  <r>
    <n v="47"/>
    <s v="Female"/>
    <n v="33.11"/>
    <n v="1"/>
    <s v="No"/>
    <s v="Northwest"/>
    <n v="12648.7034"/>
    <s v="Adult"/>
    <s v="46-60"/>
    <x v="3"/>
    <s v="Medium"/>
  </r>
  <r>
    <n v="47"/>
    <s v="Male"/>
    <n v="33.11"/>
    <n v="1"/>
    <s v="No"/>
    <s v="Southwest"/>
    <n v="12730.999599999999"/>
    <s v="Adult"/>
    <s v="46-60"/>
    <x v="3"/>
    <s v="Medium"/>
  </r>
  <r>
    <n v="47"/>
    <s v="Male"/>
    <n v="33.11"/>
    <n v="1"/>
    <s v="No"/>
    <s v="Northwest"/>
    <n v="12741.167450000001"/>
    <s v="Adult"/>
    <s v="46-60"/>
    <x v="3"/>
    <s v="Medium"/>
  </r>
  <r>
    <n v="47"/>
    <s v="Female"/>
    <n v="33.11"/>
    <n v="1"/>
    <s v="Yes"/>
    <s v="Northwest"/>
    <n v="12797.20962"/>
    <s v="Adult"/>
    <s v="46-60"/>
    <x v="3"/>
    <s v="Medium"/>
  </r>
  <r>
    <n v="47"/>
    <s v="Female"/>
    <n v="33.155000000000001"/>
    <n v="1"/>
    <s v="No"/>
    <s v="Southeast"/>
    <n v="12815.444949999999"/>
    <s v="Adult"/>
    <s v="46-60"/>
    <x v="3"/>
    <s v="Medium"/>
  </r>
  <r>
    <n v="47"/>
    <s v="Male"/>
    <n v="33.155000000000001"/>
    <n v="1"/>
    <s v="No"/>
    <s v="Northeast"/>
    <n v="12829.455099999999"/>
    <s v="Adult"/>
    <s v="46-60"/>
    <x v="3"/>
    <s v="Medium"/>
  </r>
  <r>
    <n v="47"/>
    <s v="Male"/>
    <n v="33.155000000000001"/>
    <n v="1"/>
    <s v="Yes"/>
    <s v="Southeast"/>
    <n v="12890.057650000001"/>
    <s v="Adult"/>
    <s v="46-60"/>
    <x v="3"/>
    <s v="Medium"/>
  </r>
  <r>
    <n v="47"/>
    <s v="Male"/>
    <n v="33.155000000000001"/>
    <n v="1"/>
    <s v="No"/>
    <s v="Northeast"/>
    <n v="12913.992399999999"/>
    <s v="Adult"/>
    <s v="46-60"/>
    <x v="3"/>
    <s v="Medium"/>
  </r>
  <r>
    <n v="47"/>
    <s v="Female"/>
    <n v="33.155000000000001"/>
    <n v="1"/>
    <s v="No"/>
    <s v="Southwest"/>
    <n v="12925.886"/>
    <s v="Adult"/>
    <s v="46-60"/>
    <x v="3"/>
    <s v="Medium"/>
  </r>
  <r>
    <n v="48"/>
    <s v="Female"/>
    <n v="33.200000000000003"/>
    <n v="1"/>
    <s v="Yes"/>
    <s v="Northeast"/>
    <n v="12928.7911"/>
    <s v="Adult"/>
    <s v="46-60"/>
    <x v="3"/>
    <s v="Medium"/>
  </r>
  <r>
    <n v="48"/>
    <s v="Male"/>
    <n v="33.25"/>
    <n v="1"/>
    <s v="No"/>
    <s v="Northwest"/>
    <n v="12949.1554"/>
    <s v="Adult"/>
    <s v="46-60"/>
    <x v="3"/>
    <s v="Medium"/>
  </r>
  <r>
    <n v="48"/>
    <s v="Female"/>
    <n v="33.25"/>
    <n v="2"/>
    <s v="No"/>
    <s v="Southeast"/>
    <n v="12950.0712"/>
    <s v="Adult"/>
    <s v="46-60"/>
    <x v="3"/>
    <s v="Medium"/>
  </r>
  <r>
    <n v="48"/>
    <s v="Female"/>
    <n v="33.25"/>
    <n v="2"/>
    <s v="No"/>
    <s v="Northwest"/>
    <n v="12957.118"/>
    <s v="Adult"/>
    <s v="46-60"/>
    <x v="3"/>
    <s v="Medium"/>
  </r>
  <r>
    <n v="48"/>
    <s v="Male"/>
    <n v="33.299999999999997"/>
    <n v="2"/>
    <s v="No"/>
    <s v="Northeast"/>
    <n v="12979.358"/>
    <s v="Adult"/>
    <s v="46-60"/>
    <x v="3"/>
    <s v="Medium"/>
  </r>
  <r>
    <n v="48"/>
    <s v="Male"/>
    <n v="33.299999999999997"/>
    <n v="2"/>
    <s v="Yes"/>
    <s v="Southeast"/>
    <n v="12981.3457"/>
    <s v="Adult"/>
    <s v="46-60"/>
    <x v="3"/>
    <s v="Medium"/>
  </r>
  <r>
    <n v="48"/>
    <s v="Male"/>
    <n v="33.33"/>
    <n v="2"/>
    <s v="No"/>
    <s v="Northeast"/>
    <n v="12982.8747"/>
    <s v="Adult"/>
    <s v="46-60"/>
    <x v="3"/>
    <s v="Medium"/>
  </r>
  <r>
    <n v="48"/>
    <s v="Male"/>
    <n v="33.33"/>
    <n v="2"/>
    <s v="No"/>
    <s v="Southeast"/>
    <n v="13012.20865"/>
    <s v="Adult"/>
    <s v="46-60"/>
    <x v="3"/>
    <s v="Medium"/>
  </r>
  <r>
    <n v="48"/>
    <s v="Female"/>
    <n v="33.33"/>
    <n v="2"/>
    <s v="No"/>
    <s v="Southwest"/>
    <n v="13019.161050000001"/>
    <s v="Adult"/>
    <s v="46-60"/>
    <x v="3"/>
    <s v="Medium"/>
  </r>
  <r>
    <n v="48"/>
    <s v="Female"/>
    <n v="33.33"/>
    <n v="2"/>
    <s v="No"/>
    <s v="Northeast"/>
    <n v="13041.921"/>
    <s v="Adult"/>
    <s v="46-60"/>
    <x v="3"/>
    <s v="Medium"/>
  </r>
  <r>
    <n v="48"/>
    <s v="Male"/>
    <n v="33.33"/>
    <n v="2"/>
    <s v="No"/>
    <s v="Northeast"/>
    <n v="13047.332350000001"/>
    <s v="Adult"/>
    <s v="46-60"/>
    <x v="3"/>
    <s v="Medium"/>
  </r>
  <r>
    <n v="48"/>
    <s v="Female"/>
    <n v="33.33"/>
    <n v="2"/>
    <s v="No"/>
    <s v="Southeast"/>
    <n v="13063.883"/>
    <s v="Adult"/>
    <s v="46-60"/>
    <x v="3"/>
    <s v="Medium"/>
  </r>
  <r>
    <n v="48"/>
    <s v="Male"/>
    <n v="33.33"/>
    <n v="2"/>
    <s v="No"/>
    <s v="Southwest"/>
    <n v="13112.604799999999"/>
    <s v="Adult"/>
    <s v="46-60"/>
    <x v="3"/>
    <s v="Medium"/>
  </r>
  <r>
    <n v="48"/>
    <s v="Female"/>
    <n v="33.344999999999999"/>
    <n v="2"/>
    <s v="Yes"/>
    <s v="Southwest"/>
    <n v="13126.677449999999"/>
    <s v="Adult"/>
    <s v="46-60"/>
    <x v="3"/>
    <s v="Medium"/>
  </r>
  <r>
    <n v="48"/>
    <s v="Male"/>
    <n v="33.344999999999999"/>
    <n v="2"/>
    <s v="No"/>
    <s v="Northwest"/>
    <n v="13129.603450000001"/>
    <s v="Adult"/>
    <s v="46-60"/>
    <x v="3"/>
    <s v="Medium"/>
  </r>
  <r>
    <n v="48"/>
    <s v="Male"/>
    <n v="33.344999999999999"/>
    <n v="2"/>
    <s v="Yes"/>
    <s v="Northeast"/>
    <n v="13143.336649999999"/>
    <s v="Adult"/>
    <s v="46-60"/>
    <x v="3"/>
    <s v="Medium"/>
  </r>
  <r>
    <n v="48"/>
    <s v="Female"/>
    <n v="33.344999999999999"/>
    <n v="2"/>
    <s v="No"/>
    <s v="Northwest"/>
    <n v="13143.86485"/>
    <s v="Adult"/>
    <s v="46-60"/>
    <x v="3"/>
    <s v="Medium"/>
  </r>
  <r>
    <n v="48"/>
    <s v="Female"/>
    <n v="33.344999999999999"/>
    <n v="2"/>
    <s v="No"/>
    <s v="Southwest"/>
    <n v="13204.28565"/>
    <s v="Adult"/>
    <s v="46-60"/>
    <x v="3"/>
    <s v="Medium"/>
  </r>
  <r>
    <n v="48"/>
    <s v="Male"/>
    <n v="33.4"/>
    <n v="2"/>
    <s v="No"/>
    <s v="Northwest"/>
    <n v="13217.094499999999"/>
    <s v="Adult"/>
    <s v="46-60"/>
    <x v="3"/>
    <s v="Medium"/>
  </r>
  <r>
    <n v="48"/>
    <s v="Female"/>
    <n v="33.4"/>
    <n v="2"/>
    <s v="No"/>
    <s v="Southeast"/>
    <n v="13224.057049999999"/>
    <s v="Adult"/>
    <s v="46-60"/>
    <x v="3"/>
    <s v="Medium"/>
  </r>
  <r>
    <n v="48"/>
    <s v="Female"/>
    <n v="33.4"/>
    <n v="2"/>
    <s v="Yes"/>
    <s v="Northwest"/>
    <n v="13224.692999999999"/>
    <s v="Adult"/>
    <s v="46-60"/>
    <x v="3"/>
    <s v="Medium"/>
  </r>
  <r>
    <n v="48"/>
    <s v="Male"/>
    <n v="33.44"/>
    <n v="2"/>
    <s v="Yes"/>
    <s v="Northeast"/>
    <n v="13228.846949999999"/>
    <s v="Adult"/>
    <s v="46-60"/>
    <x v="3"/>
    <s v="Medium"/>
  </r>
  <r>
    <n v="48"/>
    <s v="Female"/>
    <n v="33.44"/>
    <n v="2"/>
    <s v="No"/>
    <s v="Southwest"/>
    <n v="13352.0998"/>
    <s v="Adult"/>
    <s v="46-60"/>
    <x v="3"/>
    <s v="Medium"/>
  </r>
  <r>
    <n v="48"/>
    <s v="Female"/>
    <n v="33.44"/>
    <n v="2"/>
    <s v="No"/>
    <s v="Southeast"/>
    <n v="13390.558999999999"/>
    <s v="Adult"/>
    <s v="46-60"/>
    <x v="3"/>
    <s v="Medium"/>
  </r>
  <r>
    <n v="48"/>
    <s v="Female"/>
    <n v="33.44"/>
    <n v="2"/>
    <s v="No"/>
    <s v="Southwest"/>
    <n v="13393.755999999999"/>
    <s v="Adult"/>
    <s v="46-60"/>
    <x v="3"/>
    <s v="Medium"/>
  </r>
  <r>
    <n v="48"/>
    <s v="Female"/>
    <n v="33.5"/>
    <n v="2"/>
    <s v="No"/>
    <s v="Southwest"/>
    <n v="13405.390299999999"/>
    <s v="Adult"/>
    <s v="46-60"/>
    <x v="3"/>
    <s v="Medium"/>
  </r>
  <r>
    <n v="48"/>
    <s v="Male"/>
    <n v="33.534999999999997"/>
    <n v="2"/>
    <s v="No"/>
    <s v="Southwest"/>
    <n v="13415.0381"/>
    <s v="Adult"/>
    <s v="46-60"/>
    <x v="3"/>
    <s v="Medium"/>
  </r>
  <r>
    <n v="48"/>
    <s v="Male"/>
    <n v="33.534999999999997"/>
    <n v="2"/>
    <s v="No"/>
    <s v="Northwest"/>
    <n v="13429.035400000001"/>
    <s v="Adult"/>
    <s v="46-60"/>
    <x v="3"/>
    <s v="Medium"/>
  </r>
  <r>
    <n v="48"/>
    <s v="Male"/>
    <n v="33.534999999999997"/>
    <n v="2"/>
    <s v="No"/>
    <s v="Southwest"/>
    <n v="13430.264999999999"/>
    <s v="Adult"/>
    <s v="46-60"/>
    <x v="3"/>
    <s v="Medium"/>
  </r>
  <r>
    <n v="49"/>
    <s v="Male"/>
    <n v="33.549999999999997"/>
    <n v="2"/>
    <s v="No"/>
    <s v="Northeast"/>
    <n v="13451.121999999999"/>
    <s v="Adult"/>
    <s v="46-60"/>
    <x v="3"/>
    <s v="Medium"/>
  </r>
  <r>
    <n v="49"/>
    <s v="Female"/>
    <n v="33.630000000000003"/>
    <n v="2"/>
    <s v="No"/>
    <s v="Southwest"/>
    <n v="13457.960800000001"/>
    <s v="Adult"/>
    <s v="46-60"/>
    <x v="3"/>
    <s v="Medium"/>
  </r>
  <r>
    <n v="49"/>
    <s v="Female"/>
    <n v="33.630000000000003"/>
    <n v="2"/>
    <s v="No"/>
    <s v="Southwest"/>
    <n v="13462.52"/>
    <s v="Adult"/>
    <s v="46-60"/>
    <x v="3"/>
    <s v="Medium"/>
  </r>
  <r>
    <n v="49"/>
    <s v="Female"/>
    <n v="33.630000000000003"/>
    <n v="2"/>
    <s v="No"/>
    <s v="Southeast"/>
    <n v="13470.804400000001"/>
    <s v="Adult"/>
    <s v="46-60"/>
    <x v="3"/>
    <s v="Medium"/>
  </r>
  <r>
    <n v="49"/>
    <s v="Male"/>
    <n v="33.630000000000003"/>
    <n v="2"/>
    <s v="No"/>
    <s v="Southeast"/>
    <n v="13470.86"/>
    <s v="Adult"/>
    <s v="46-60"/>
    <x v="3"/>
    <s v="Medium"/>
  </r>
  <r>
    <n v="49"/>
    <s v="Male"/>
    <n v="33.630000000000003"/>
    <n v="2"/>
    <s v="No"/>
    <s v="Southeast"/>
    <n v="13555.0049"/>
    <s v="Adult"/>
    <s v="46-60"/>
    <x v="3"/>
    <s v="Medium"/>
  </r>
  <r>
    <n v="49"/>
    <s v="Female"/>
    <n v="33.630000000000003"/>
    <n v="2"/>
    <s v="No"/>
    <s v="Southwest"/>
    <n v="13607.36875"/>
    <s v="Adult"/>
    <s v="46-60"/>
    <x v="3"/>
    <s v="Medium"/>
  </r>
  <r>
    <n v="49"/>
    <s v="Male"/>
    <n v="33.659999999999997"/>
    <n v="2"/>
    <s v="No"/>
    <s v="Southwest"/>
    <n v="13616.3586"/>
    <s v="Adult"/>
    <s v="46-60"/>
    <x v="3"/>
    <s v="Medium"/>
  </r>
  <r>
    <n v="49"/>
    <s v="Female"/>
    <n v="33.659999999999997"/>
    <n v="2"/>
    <s v="No"/>
    <s v="Southwest"/>
    <n v="13635.6379"/>
    <s v="Adult"/>
    <s v="46-60"/>
    <x v="3"/>
    <s v="Medium"/>
  </r>
  <r>
    <n v="49"/>
    <s v="Male"/>
    <n v="33.659999999999997"/>
    <n v="2"/>
    <s v="No"/>
    <s v="Southeast"/>
    <n v="13725.47184"/>
    <s v="Adult"/>
    <s v="46-60"/>
    <x v="3"/>
    <s v="Medium"/>
  </r>
  <r>
    <n v="49"/>
    <s v="Female"/>
    <n v="33.659999999999997"/>
    <n v="2"/>
    <s v="No"/>
    <s v="Southwest"/>
    <n v="13747.87235"/>
    <s v="Adult"/>
    <s v="46-60"/>
    <x v="3"/>
    <s v="Medium"/>
  </r>
  <r>
    <n v="49"/>
    <s v="Male"/>
    <n v="33.659999999999997"/>
    <n v="2"/>
    <s v="No"/>
    <s v="Northeast"/>
    <n v="13770.097900000001"/>
    <s v="Adult"/>
    <s v="46-60"/>
    <x v="3"/>
    <s v="Medium"/>
  </r>
  <r>
    <n v="49"/>
    <s v="Female"/>
    <n v="33.700000000000003"/>
    <n v="2"/>
    <s v="No"/>
    <s v="Northwest"/>
    <n v="13822.803"/>
    <s v="Adult"/>
    <s v="46-60"/>
    <x v="3"/>
    <s v="Medium"/>
  </r>
  <r>
    <n v="49"/>
    <s v="Male"/>
    <n v="33.700000000000003"/>
    <n v="2"/>
    <s v="No"/>
    <s v="Southeast"/>
    <n v="13831.1152"/>
    <s v="Adult"/>
    <s v="46-60"/>
    <x v="3"/>
    <s v="Medium"/>
  </r>
  <r>
    <n v="49"/>
    <s v="Male"/>
    <n v="33.700000000000003"/>
    <n v="2"/>
    <s v="No"/>
    <s v="Southeast"/>
    <n v="13844.505999999999"/>
    <s v="Adult"/>
    <s v="46-60"/>
    <x v="3"/>
    <s v="Medium"/>
  </r>
  <r>
    <n v="49"/>
    <s v="Male"/>
    <n v="33.725000000000001"/>
    <n v="2"/>
    <s v="No"/>
    <s v="Southeast"/>
    <n v="13844.797200000001"/>
    <s v="Adult"/>
    <s v="46-60"/>
    <x v="3"/>
    <s v="Medium"/>
  </r>
  <r>
    <n v="49"/>
    <s v="Female"/>
    <n v="33.725000000000001"/>
    <n v="2"/>
    <s v="No"/>
    <s v="Southeast"/>
    <n v="13880.949000000001"/>
    <s v="Adult"/>
    <s v="46-60"/>
    <x v="3"/>
    <s v="Medium"/>
  </r>
  <r>
    <n v="49"/>
    <s v="Female"/>
    <n v="33.770000000000003"/>
    <n v="2"/>
    <s v="No"/>
    <s v="Northeast"/>
    <n v="13887.204"/>
    <s v="Adult"/>
    <s v="46-60"/>
    <x v="3"/>
    <s v="Medium"/>
  </r>
  <r>
    <n v="49"/>
    <s v="Male"/>
    <n v="33.770000000000003"/>
    <n v="2"/>
    <s v="No"/>
    <s v="Northwest"/>
    <n v="13887.968500000001"/>
    <s v="Adult"/>
    <s v="46-60"/>
    <x v="3"/>
    <s v="Medium"/>
  </r>
  <r>
    <n v="49"/>
    <s v="Male"/>
    <n v="33.799999999999997"/>
    <n v="2"/>
    <s v="No"/>
    <s v="Southeast"/>
    <n v="13919.822899999999"/>
    <s v="Adult"/>
    <s v="46-60"/>
    <x v="3"/>
    <s v="Medium"/>
  </r>
  <r>
    <n v="49"/>
    <s v="Female"/>
    <n v="33.82"/>
    <n v="2"/>
    <s v="No"/>
    <s v="Southwest"/>
    <n v="13937.666499999999"/>
    <s v="Adult"/>
    <s v="46-60"/>
    <x v="3"/>
    <s v="Medium"/>
  </r>
  <r>
    <n v="49"/>
    <s v="Male"/>
    <n v="33.82"/>
    <n v="2"/>
    <s v="No"/>
    <s v="Southwest"/>
    <n v="13974.455550000001"/>
    <s v="Adult"/>
    <s v="46-60"/>
    <x v="3"/>
    <s v="Medium"/>
  </r>
  <r>
    <n v="49"/>
    <s v="Male"/>
    <n v="33.82"/>
    <n v="2"/>
    <s v="Yes"/>
    <s v="Northeast"/>
    <n v="13981.850350000001"/>
    <s v="Adult"/>
    <s v="46-60"/>
    <x v="3"/>
    <s v="Medium"/>
  </r>
  <r>
    <n v="49"/>
    <s v="Male"/>
    <n v="33.82"/>
    <n v="2"/>
    <s v="No"/>
    <s v="Northwest"/>
    <n v="14001.1338"/>
    <s v="Adult"/>
    <s v="46-60"/>
    <x v="3"/>
    <s v="Medium"/>
  </r>
  <r>
    <n v="49"/>
    <s v="Male"/>
    <n v="33.880000000000003"/>
    <n v="2"/>
    <s v="Yes"/>
    <s v="Southwest"/>
    <n v="14001.286700000001"/>
    <s v="Adult"/>
    <s v="46-60"/>
    <x v="3"/>
    <s v="Medium"/>
  </r>
  <r>
    <n v="49"/>
    <s v="Male"/>
    <n v="33.880000000000003"/>
    <n v="2"/>
    <s v="No"/>
    <s v="Northeast"/>
    <n v="14007.222"/>
    <s v="Adult"/>
    <s v="46-60"/>
    <x v="3"/>
    <s v="Medium"/>
  </r>
  <r>
    <n v="49"/>
    <s v="Male"/>
    <n v="33.880000000000003"/>
    <n v="2"/>
    <s v="Yes"/>
    <s v="Southeast"/>
    <n v="14043.476699999999"/>
    <s v="Adult"/>
    <s v="46-60"/>
    <x v="3"/>
    <s v="Medium"/>
  </r>
  <r>
    <n v="49"/>
    <s v="Female"/>
    <n v="33.914999999999999"/>
    <n v="2"/>
    <s v="No"/>
    <s v="Northwest"/>
    <n v="14119.62"/>
    <s v="Adult"/>
    <s v="46-60"/>
    <x v="3"/>
    <s v="Medium"/>
  </r>
  <r>
    <n v="50"/>
    <s v="Male"/>
    <n v="33.914999999999999"/>
    <n v="2"/>
    <s v="Yes"/>
    <s v="Southwest"/>
    <n v="14133.03775"/>
    <s v="Adult"/>
    <s v="46-60"/>
    <x v="3"/>
    <s v="Medium"/>
  </r>
  <r>
    <n v="50"/>
    <s v="Male"/>
    <n v="33.914999999999999"/>
    <n v="2"/>
    <s v="Yes"/>
    <s v="Northwest"/>
    <n v="14210.53595"/>
    <s v="Adult"/>
    <s v="46-60"/>
    <x v="3"/>
    <s v="Medium"/>
  </r>
  <r>
    <n v="50"/>
    <s v="Male"/>
    <n v="33.914999999999999"/>
    <n v="2"/>
    <s v="No"/>
    <s v="Southeast"/>
    <n v="14235.072"/>
    <s v="Adult"/>
    <s v="46-60"/>
    <x v="3"/>
    <s v="Medium"/>
  </r>
  <r>
    <n v="50"/>
    <s v="Male"/>
    <n v="33.99"/>
    <n v="2"/>
    <s v="Yes"/>
    <s v="Southeast"/>
    <n v="14254.608200000001"/>
    <s v="Adult"/>
    <s v="46-60"/>
    <x v="3"/>
    <s v="Medium"/>
  </r>
  <r>
    <n v="50"/>
    <s v="Male"/>
    <n v="33.99"/>
    <n v="2"/>
    <s v="No"/>
    <s v="Northwest"/>
    <n v="14256.192800000001"/>
    <s v="Adult"/>
    <s v="46-60"/>
    <x v="3"/>
    <s v="Medium"/>
  </r>
  <r>
    <n v="50"/>
    <s v="Male"/>
    <n v="34.01"/>
    <n v="2"/>
    <s v="Yes"/>
    <s v="Northeast"/>
    <n v="14283.4594"/>
    <s v="Adult"/>
    <s v="46-60"/>
    <x v="3"/>
    <s v="Medium"/>
  </r>
  <r>
    <n v="50"/>
    <s v="Male"/>
    <n v="34.1"/>
    <n v="2"/>
    <s v="No"/>
    <s v="Northwest"/>
    <n v="14313.846299999999"/>
    <s v="Adult"/>
    <s v="46-60"/>
    <x v="3"/>
    <s v="Medium"/>
  </r>
  <r>
    <n v="50"/>
    <s v="Female"/>
    <n v="34.1"/>
    <n v="2"/>
    <s v="No"/>
    <s v="Northwest"/>
    <n v="14319.031000000001"/>
    <s v="Adult"/>
    <s v="46-60"/>
    <x v="3"/>
    <s v="Medium"/>
  </r>
  <r>
    <n v="50"/>
    <s v="Female"/>
    <n v="34.1"/>
    <n v="2"/>
    <s v="No"/>
    <s v="Southwest"/>
    <n v="14349.8544"/>
    <s v="Adult"/>
    <s v="46-60"/>
    <x v="3"/>
    <s v="Medium"/>
  </r>
  <r>
    <n v="50"/>
    <s v="Female"/>
    <n v="34.1"/>
    <n v="2"/>
    <s v="No"/>
    <s v="Southeast"/>
    <n v="14358.364369999999"/>
    <s v="Adult"/>
    <s v="46-60"/>
    <x v="3"/>
    <s v="Medium"/>
  </r>
  <r>
    <n v="50"/>
    <s v="Male"/>
    <n v="34.1"/>
    <n v="2"/>
    <s v="No"/>
    <s v="Northeast"/>
    <n v="14382.709049999999"/>
    <s v="Adult"/>
    <s v="46-60"/>
    <x v="3"/>
    <s v="Medium"/>
  </r>
  <r>
    <n v="50"/>
    <s v="Male"/>
    <n v="34.1"/>
    <n v="2"/>
    <s v="No"/>
    <s v="Northwest"/>
    <n v="14394.398150000001"/>
    <s v="Adult"/>
    <s v="46-60"/>
    <x v="3"/>
    <s v="Medium"/>
  </r>
  <r>
    <n v="50"/>
    <s v="Male"/>
    <n v="34.1"/>
    <n v="2"/>
    <s v="No"/>
    <s v="Southwest"/>
    <n v="14394.5579"/>
    <s v="Adult"/>
    <s v="46-60"/>
    <x v="3"/>
    <s v="Medium"/>
  </r>
  <r>
    <n v="50"/>
    <s v="Male"/>
    <n v="34.1"/>
    <n v="2"/>
    <s v="Yes"/>
    <s v="Northwest"/>
    <n v="14410.9321"/>
    <s v="Adult"/>
    <s v="46-60"/>
    <x v="3"/>
    <s v="Medium"/>
  </r>
  <r>
    <n v="50"/>
    <s v="Male"/>
    <n v="34.104999999999997"/>
    <n v="2"/>
    <s v="No"/>
    <s v="Northwest"/>
    <n v="14418.2804"/>
    <s v="Adult"/>
    <s v="46-60"/>
    <x v="3"/>
    <s v="Medium"/>
  </r>
  <r>
    <n v="50"/>
    <s v="Male"/>
    <n v="34.104999999999997"/>
    <n v="2"/>
    <s v="No"/>
    <s v="Northeast"/>
    <n v="14426.073850000001"/>
    <s v="Adult"/>
    <s v="46-60"/>
    <x v="3"/>
    <s v="Medium"/>
  </r>
  <r>
    <n v="50"/>
    <s v="Female"/>
    <n v="34.104999999999997"/>
    <n v="2"/>
    <s v="No"/>
    <s v="Southeast"/>
    <n v="14449.8544"/>
    <s v="Adult"/>
    <s v="46-60"/>
    <x v="3"/>
    <s v="Medium"/>
  </r>
  <r>
    <n v="50"/>
    <s v="Female"/>
    <n v="34.104999999999997"/>
    <n v="2"/>
    <s v="No"/>
    <s v="Southeast"/>
    <n v="14451.835150000001"/>
    <s v="Adult"/>
    <s v="46-60"/>
    <x v="3"/>
    <s v="Medium"/>
  </r>
  <r>
    <n v="50"/>
    <s v="Female"/>
    <n v="34.200000000000003"/>
    <n v="2"/>
    <s v="No"/>
    <s v="Northeast"/>
    <n v="14455.644050000001"/>
    <s v="Adult"/>
    <s v="46-60"/>
    <x v="3"/>
    <s v="Medium"/>
  </r>
  <r>
    <n v="50"/>
    <s v="Female"/>
    <n v="34.200000000000003"/>
    <n v="2"/>
    <s v="No"/>
    <s v="Northwest"/>
    <n v="14474.674999999999"/>
    <s v="Adult"/>
    <s v="46-60"/>
    <x v="3"/>
    <s v="Medium"/>
  </r>
  <r>
    <n v="50"/>
    <s v="Female"/>
    <n v="34.200000000000003"/>
    <n v="2"/>
    <s v="No"/>
    <s v="Southwest"/>
    <n v="14478.33015"/>
    <s v="Adult"/>
    <s v="46-60"/>
    <x v="3"/>
    <s v="Medium"/>
  </r>
  <r>
    <n v="50"/>
    <s v="Male"/>
    <n v="34.200000000000003"/>
    <n v="2"/>
    <s v="No"/>
    <s v="Southeast"/>
    <n v="14571.890799999999"/>
    <s v="Adult"/>
    <s v="46-60"/>
    <x v="3"/>
    <s v="Medium"/>
  </r>
  <r>
    <n v="50"/>
    <s v="Male"/>
    <n v="34.200000000000003"/>
    <n v="2"/>
    <s v="Yes"/>
    <s v="Northeast"/>
    <n v="14590.63205"/>
    <s v="Adult"/>
    <s v="46-60"/>
    <x v="3"/>
    <s v="Medium"/>
  </r>
  <r>
    <n v="50"/>
    <s v="Male"/>
    <n v="34.21"/>
    <n v="2"/>
    <s v="No"/>
    <s v="Southeast"/>
    <n v="14692.66935"/>
    <s v="Adult"/>
    <s v="46-60"/>
    <x v="3"/>
    <s v="Medium"/>
  </r>
  <r>
    <n v="50"/>
    <s v="Male"/>
    <n v="34.21"/>
    <n v="2"/>
    <s v="No"/>
    <s v="Southeast"/>
    <n v="14711.7438"/>
    <s v="Adult"/>
    <s v="46-60"/>
    <x v="3"/>
    <s v="Medium"/>
  </r>
  <r>
    <n v="50"/>
    <s v="Female"/>
    <n v="34.21"/>
    <n v="2"/>
    <s v="No"/>
    <s v="Northeast"/>
    <n v="14901.5167"/>
    <s v="Adult"/>
    <s v="46-60"/>
    <x v="3"/>
    <s v="Medium"/>
  </r>
  <r>
    <n v="50"/>
    <s v="Female"/>
    <n v="34.21"/>
    <n v="2"/>
    <s v="No"/>
    <s v="Southeast"/>
    <n v="14988.432000000001"/>
    <s v="Adult"/>
    <s v="46-60"/>
    <x v="3"/>
    <s v="Medium"/>
  </r>
  <r>
    <n v="50"/>
    <s v="Male"/>
    <n v="34.295000000000002"/>
    <n v="2"/>
    <s v="No"/>
    <s v="Northeast"/>
    <n v="15006.579449999999"/>
    <s v="Adult"/>
    <s v="46-60"/>
    <x v="3"/>
    <s v="Medium"/>
  </r>
  <r>
    <n v="50"/>
    <s v="Male"/>
    <n v="34.299999999999997"/>
    <n v="2"/>
    <s v="No"/>
    <s v="Northeast"/>
    <n v="15019.760050000001"/>
    <s v="Adult"/>
    <s v="46-60"/>
    <x v="3"/>
    <s v="Medium"/>
  </r>
  <r>
    <n v="51"/>
    <s v="Male"/>
    <n v="34.32"/>
    <n v="2"/>
    <s v="Yes"/>
    <s v="Southwest"/>
    <n v="15161.5344"/>
    <s v="Older"/>
    <s v="46-60"/>
    <x v="3"/>
    <s v="Medium"/>
  </r>
  <r>
    <n v="51"/>
    <s v="Female"/>
    <n v="34.32"/>
    <n v="2"/>
    <s v="No"/>
    <s v="Northeast"/>
    <n v="15170.069"/>
    <s v="Older"/>
    <s v="46-60"/>
    <x v="3"/>
    <s v="Medium"/>
  </r>
  <r>
    <n v="51"/>
    <s v="Male"/>
    <n v="34.32"/>
    <n v="2"/>
    <s v="No"/>
    <s v="Northeast"/>
    <n v="15230.324049999999"/>
    <s v="Older"/>
    <s v="46-60"/>
    <x v="3"/>
    <s v="Medium"/>
  </r>
  <r>
    <n v="51"/>
    <s v="Female"/>
    <n v="34.39"/>
    <n v="2"/>
    <s v="No"/>
    <s v="Southwest"/>
    <n v="15359.104499999999"/>
    <s v="Older"/>
    <s v="46-60"/>
    <x v="3"/>
    <s v="Medium"/>
  </r>
  <r>
    <n v="51"/>
    <s v="Male"/>
    <n v="34.39"/>
    <n v="2"/>
    <s v="No"/>
    <s v="Northwest"/>
    <n v="15518.180249999999"/>
    <s v="Older"/>
    <s v="46-60"/>
    <x v="3"/>
    <s v="Medium"/>
  </r>
  <r>
    <n v="51"/>
    <s v="Female"/>
    <n v="34.4"/>
    <n v="2"/>
    <s v="No"/>
    <s v="Northwest"/>
    <n v="15555.188749999999"/>
    <s v="Older"/>
    <s v="46-60"/>
    <x v="3"/>
    <s v="Medium"/>
  </r>
  <r>
    <n v="51"/>
    <s v="Male"/>
    <n v="34.4"/>
    <n v="2"/>
    <s v="No"/>
    <s v="Northeast"/>
    <n v="15612.19335"/>
    <s v="Older"/>
    <s v="46-60"/>
    <x v="3"/>
    <s v="Medium"/>
  </r>
  <r>
    <n v="51"/>
    <s v="Female"/>
    <n v="34.4"/>
    <n v="2"/>
    <s v="Yes"/>
    <s v="Northeast"/>
    <n v="15817.985699999999"/>
    <s v="Older"/>
    <s v="46-60"/>
    <x v="3"/>
    <s v="Medium"/>
  </r>
  <r>
    <n v="51"/>
    <s v="Female"/>
    <n v="34.4"/>
    <n v="2"/>
    <s v="No"/>
    <s v="Southwest"/>
    <n v="15820.699000000001"/>
    <s v="Older"/>
    <s v="46-60"/>
    <x v="3"/>
    <s v="Medium"/>
  </r>
  <r>
    <n v="51"/>
    <s v="Female"/>
    <n v="34.43"/>
    <n v="2"/>
    <s v="No"/>
    <s v="Northeast"/>
    <n v="15828.82173"/>
    <s v="Older"/>
    <s v="46-60"/>
    <x v="3"/>
    <s v="Medium"/>
  </r>
  <r>
    <n v="51"/>
    <s v="Female"/>
    <n v="34.43"/>
    <n v="2"/>
    <s v="No"/>
    <s v="Southwest"/>
    <n v="16069.08475"/>
    <s v="Older"/>
    <s v="46-60"/>
    <x v="3"/>
    <s v="Medium"/>
  </r>
  <r>
    <n v="51"/>
    <s v="Male"/>
    <n v="34.43"/>
    <n v="2"/>
    <s v="No"/>
    <s v="Southeast"/>
    <n v="16085.127500000001"/>
    <s v="Older"/>
    <s v="46-60"/>
    <x v="3"/>
    <s v="Medium"/>
  </r>
  <r>
    <n v="51"/>
    <s v="Female"/>
    <n v="34.43"/>
    <n v="2"/>
    <s v="Yes"/>
    <s v="Northwest"/>
    <n v="16115.3045"/>
    <s v="Older"/>
    <s v="46-60"/>
    <x v="3"/>
    <s v="Medium"/>
  </r>
  <r>
    <n v="51"/>
    <s v="Female"/>
    <n v="34.484999999999999"/>
    <n v="2"/>
    <s v="No"/>
    <s v="Northeast"/>
    <n v="16138.762049999999"/>
    <s v="Older"/>
    <s v="46-60"/>
    <x v="3"/>
    <s v="Medium"/>
  </r>
  <r>
    <n v="51"/>
    <s v="Female"/>
    <n v="34.484999999999999"/>
    <n v="2"/>
    <s v="No"/>
    <s v="Southwest"/>
    <n v="16232.847"/>
    <s v="Older"/>
    <s v="46-60"/>
    <x v="3"/>
    <s v="Medium"/>
  </r>
  <r>
    <n v="51"/>
    <s v="Female"/>
    <n v="34.5"/>
    <n v="2"/>
    <s v="No"/>
    <s v="Southeast"/>
    <n v="16297.846"/>
    <s v="Older"/>
    <s v="46-60"/>
    <x v="3"/>
    <s v="Medium"/>
  </r>
  <r>
    <n v="51"/>
    <s v="Female"/>
    <n v="34.58"/>
    <n v="2"/>
    <s v="No"/>
    <s v="Northeast"/>
    <n v="16420.494549999999"/>
    <s v="Older"/>
    <s v="46-60"/>
    <x v="3"/>
    <s v="Medium"/>
  </r>
  <r>
    <n v="51"/>
    <s v="Female"/>
    <n v="34.58"/>
    <n v="2"/>
    <s v="No"/>
    <s v="Northwest"/>
    <n v="16450.894700000001"/>
    <s v="Older"/>
    <s v="46-60"/>
    <x v="3"/>
    <s v="Medium"/>
  </r>
  <r>
    <n v="51"/>
    <s v="Male"/>
    <n v="34.6"/>
    <n v="2"/>
    <s v="Yes"/>
    <s v="Northwest"/>
    <n v="16455.707849999999"/>
    <s v="Older"/>
    <s v="46-60"/>
    <x v="3"/>
    <s v="Medium"/>
  </r>
  <r>
    <n v="51"/>
    <s v="Male"/>
    <n v="34.6"/>
    <n v="2"/>
    <s v="Yes"/>
    <s v="Southwest"/>
    <n v="16577.779500000001"/>
    <s v="Older"/>
    <s v="46-60"/>
    <x v="3"/>
    <s v="Medium"/>
  </r>
  <r>
    <n v="51"/>
    <s v="Male"/>
    <n v="34.674999999999997"/>
    <n v="2"/>
    <s v="No"/>
    <s v="Southwest"/>
    <n v="16586.49771"/>
    <s v="Older"/>
    <s v="46-60"/>
    <x v="3"/>
    <s v="Medium"/>
  </r>
  <r>
    <n v="51"/>
    <s v="Male"/>
    <n v="34.700000000000003"/>
    <n v="2"/>
    <s v="No"/>
    <s v="Southwest"/>
    <n v="16657.71745"/>
    <s v="Older"/>
    <s v="46-60"/>
    <x v="3"/>
    <s v="Medium"/>
  </r>
  <r>
    <n v="51"/>
    <s v="Male"/>
    <n v="34.700000000000003"/>
    <n v="2"/>
    <s v="No"/>
    <s v="Northeast"/>
    <n v="16776.304049999999"/>
    <s v="Older"/>
    <s v="46-60"/>
    <x v="3"/>
    <s v="Medium"/>
  </r>
  <r>
    <n v="51"/>
    <s v="Male"/>
    <n v="34.770000000000003"/>
    <n v="2"/>
    <s v="No"/>
    <s v="Northwest"/>
    <n v="16796.411940000002"/>
    <s v="Older"/>
    <s v="46-60"/>
    <x v="3"/>
    <s v="Medium"/>
  </r>
  <r>
    <n v="51"/>
    <s v="Male"/>
    <n v="34.770000000000003"/>
    <n v="2"/>
    <s v="No"/>
    <s v="Northeast"/>
    <n v="16884.923999999999"/>
    <s v="Older"/>
    <s v="46-60"/>
    <x v="3"/>
    <s v="Medium"/>
  </r>
  <r>
    <n v="51"/>
    <s v="Male"/>
    <n v="34.770000000000003"/>
    <n v="2"/>
    <s v="Yes"/>
    <s v="Northwest"/>
    <n v="17043.341400000001"/>
    <s v="Older"/>
    <s v="46-60"/>
    <x v="3"/>
    <s v="Medium"/>
  </r>
  <r>
    <n v="51"/>
    <s v="Male"/>
    <n v="34.799999999999997"/>
    <n v="2"/>
    <s v="No"/>
    <s v="Northeast"/>
    <n v="17081.080000000002"/>
    <s v="Older"/>
    <s v="46-60"/>
    <x v="3"/>
    <s v="Medium"/>
  </r>
  <r>
    <n v="51"/>
    <s v="Male"/>
    <n v="34.799999999999997"/>
    <n v="2"/>
    <s v="No"/>
    <s v="Northeast"/>
    <n v="17085.267599999999"/>
    <s v="Older"/>
    <s v="46-60"/>
    <x v="3"/>
    <s v="Medium"/>
  </r>
  <r>
    <n v="51"/>
    <s v="Female"/>
    <n v="34.799999999999997"/>
    <n v="2"/>
    <s v="No"/>
    <s v="Southwest"/>
    <n v="17128.426080000001"/>
    <s v="Older"/>
    <s v="46-60"/>
    <x v="3"/>
    <s v="Medium"/>
  </r>
  <r>
    <n v="52"/>
    <s v="Male"/>
    <n v="34.799999999999997"/>
    <n v="2"/>
    <s v="Yes"/>
    <s v="Southeast"/>
    <n v="17178.682400000002"/>
    <s v="Older"/>
    <s v="46-60"/>
    <x v="3"/>
    <s v="Medium"/>
  </r>
  <r>
    <n v="52"/>
    <s v="Female"/>
    <n v="34.799999999999997"/>
    <n v="2"/>
    <s v="No"/>
    <s v="Southeast"/>
    <n v="17179.522000000001"/>
    <s v="Older"/>
    <s v="46-60"/>
    <x v="3"/>
    <s v="Medium"/>
  </r>
  <r>
    <n v="52"/>
    <s v="Male"/>
    <n v="34.799999999999997"/>
    <n v="2"/>
    <s v="No"/>
    <s v="Northwest"/>
    <n v="17352.6803"/>
    <s v="Older"/>
    <s v="46-60"/>
    <x v="3"/>
    <s v="Medium"/>
  </r>
  <r>
    <n v="52"/>
    <s v="Female"/>
    <n v="34.799999999999997"/>
    <n v="2"/>
    <s v="No"/>
    <s v="Southwest"/>
    <n v="17361.766100000001"/>
    <s v="Older"/>
    <s v="46-60"/>
    <x v="3"/>
    <s v="Medium"/>
  </r>
  <r>
    <n v="52"/>
    <s v="Male"/>
    <n v="34.865000000000002"/>
    <n v="2"/>
    <s v="No"/>
    <s v="Northwest"/>
    <n v="17468.983899999999"/>
    <s v="Older"/>
    <s v="46-60"/>
    <x v="3"/>
    <s v="Medium"/>
  </r>
  <r>
    <n v="52"/>
    <s v="Female"/>
    <n v="34.865000000000002"/>
    <n v="2"/>
    <s v="No"/>
    <s v="Northwest"/>
    <n v="17496.306"/>
    <s v="Older"/>
    <s v="46-60"/>
    <x v="3"/>
    <s v="Medium"/>
  </r>
  <r>
    <n v="52"/>
    <s v="Female"/>
    <n v="34.869999999999997"/>
    <n v="2"/>
    <s v="No"/>
    <s v="Southwest"/>
    <n v="17560.37975"/>
    <s v="Older"/>
    <s v="46-60"/>
    <x v="3"/>
    <s v="Medium"/>
  </r>
  <r>
    <n v="52"/>
    <s v="Female"/>
    <n v="34.9"/>
    <n v="2"/>
    <s v="No"/>
    <s v="Northwest"/>
    <n v="17626.239509999999"/>
    <s v="Older"/>
    <s v="46-60"/>
    <x v="3"/>
    <s v="Medium"/>
  </r>
  <r>
    <n v="52"/>
    <s v="Female"/>
    <n v="34.96"/>
    <n v="2"/>
    <s v="No"/>
    <s v="Northwest"/>
    <n v="17663.144199999999"/>
    <s v="Older"/>
    <s v="46-60"/>
    <x v="3"/>
    <s v="Medium"/>
  </r>
  <r>
    <n v="52"/>
    <s v="Male"/>
    <n v="34.96"/>
    <n v="2"/>
    <s v="No"/>
    <s v="Southwest"/>
    <n v="17748.5062"/>
    <s v="Older"/>
    <s v="46-60"/>
    <x v="3"/>
    <s v="Medium"/>
  </r>
  <r>
    <n v="52"/>
    <s v="Female"/>
    <n v="34.96"/>
    <n v="2"/>
    <s v="Yes"/>
    <s v="Southeast"/>
    <n v="17878.900679999999"/>
    <s v="Older"/>
    <s v="46-60"/>
    <x v="3"/>
    <s v="Medium"/>
  </r>
  <r>
    <n v="52"/>
    <s v="Male"/>
    <n v="35.090000000000003"/>
    <n v="2"/>
    <s v="Yes"/>
    <s v="Southeast"/>
    <n v="17904.527050000001"/>
    <s v="Older"/>
    <s v="46-60"/>
    <x v="3"/>
    <s v="Medium"/>
  </r>
  <r>
    <n v="52"/>
    <s v="Male"/>
    <n v="35.1"/>
    <n v="2"/>
    <s v="No"/>
    <s v="Southeast"/>
    <n v="17929.303370000001"/>
    <s v="Older"/>
    <s v="46-60"/>
    <x v="3"/>
    <s v="Medium"/>
  </r>
  <r>
    <n v="52"/>
    <s v="Female"/>
    <n v="35.15"/>
    <n v="2"/>
    <s v="No"/>
    <s v="Southeast"/>
    <n v="17942.106"/>
    <s v="Older"/>
    <s v="46-60"/>
    <x v="3"/>
    <s v="Medium"/>
  </r>
  <r>
    <n v="52"/>
    <s v="Female"/>
    <n v="35.200000000000003"/>
    <n v="2"/>
    <s v="No"/>
    <s v="Southwest"/>
    <n v="18033.9679"/>
    <s v="Older"/>
    <s v="46-60"/>
    <x v="3"/>
    <s v="Medium"/>
  </r>
  <r>
    <n v="52"/>
    <s v="Male"/>
    <n v="35.200000000000003"/>
    <n v="2"/>
    <s v="Yes"/>
    <s v="Northwest"/>
    <n v="18157.876"/>
    <s v="Older"/>
    <s v="46-60"/>
    <x v="3"/>
    <s v="Medium"/>
  </r>
  <r>
    <n v="52"/>
    <s v="Male"/>
    <n v="35.200000000000003"/>
    <n v="2"/>
    <s v="No"/>
    <s v="Northwest"/>
    <n v="18218.161390000001"/>
    <s v="Older"/>
    <s v="46-60"/>
    <x v="3"/>
    <s v="Medium"/>
  </r>
  <r>
    <n v="52"/>
    <s v="Male"/>
    <n v="35.200000000000003"/>
    <n v="2"/>
    <s v="No"/>
    <s v="Southwest"/>
    <n v="18223.4512"/>
    <s v="Older"/>
    <s v="46-60"/>
    <x v="3"/>
    <s v="Medium"/>
  </r>
  <r>
    <n v="52"/>
    <s v="Female"/>
    <n v="35.200000000000003"/>
    <n v="2"/>
    <s v="No"/>
    <s v="Northeast"/>
    <n v="18246.495500000001"/>
    <s v="Older"/>
    <s v="46-60"/>
    <x v="3"/>
    <s v="Medium"/>
  </r>
  <r>
    <n v="52"/>
    <s v="Female"/>
    <n v="35.200000000000003"/>
    <n v="2"/>
    <s v="Yes"/>
    <s v="Northwest"/>
    <n v="18259.216"/>
    <s v="Older"/>
    <s v="46-60"/>
    <x v="3"/>
    <s v="Medium"/>
  </r>
  <r>
    <n v="52"/>
    <s v="Female"/>
    <n v="35.200000000000003"/>
    <n v="2"/>
    <s v="Yes"/>
    <s v="Southeast"/>
    <n v="18310.741999999998"/>
    <s v="Older"/>
    <s v="46-60"/>
    <x v="3"/>
    <s v="Medium"/>
  </r>
  <r>
    <n v="52"/>
    <s v="Female"/>
    <n v="35.244999999999997"/>
    <n v="2"/>
    <s v="No"/>
    <s v="Northeast"/>
    <n v="18328.238099999999"/>
    <s v="Older"/>
    <s v="46-60"/>
    <x v="3"/>
    <s v="Medium"/>
  </r>
  <r>
    <n v="52"/>
    <s v="Male"/>
    <n v="35.244999999999997"/>
    <n v="2"/>
    <s v="Yes"/>
    <s v="Northeast"/>
    <n v="18608.261999999999"/>
    <s v="Older"/>
    <s v="46-60"/>
    <x v="3"/>
    <s v="Medium"/>
  </r>
  <r>
    <n v="52"/>
    <s v="Male"/>
    <n v="35.299999999999997"/>
    <n v="2"/>
    <s v="No"/>
    <s v="Northwest"/>
    <n v="18648.421699999999"/>
    <s v="Older"/>
    <s v="46-60"/>
    <x v="3"/>
    <s v="Medium"/>
  </r>
  <r>
    <n v="52"/>
    <s v="Female"/>
    <n v="35.299999999999997"/>
    <n v="2"/>
    <s v="No"/>
    <s v="Southwest"/>
    <n v="18765.87545"/>
    <s v="Older"/>
    <s v="46-60"/>
    <x v="3"/>
    <s v="Medium"/>
  </r>
  <r>
    <n v="52"/>
    <s v="Male"/>
    <n v="35.299999999999997"/>
    <n v="2"/>
    <s v="Yes"/>
    <s v="Southeast"/>
    <n v="18767.737700000001"/>
    <s v="Older"/>
    <s v="46-60"/>
    <x v="3"/>
    <s v="Medium"/>
  </r>
  <r>
    <n v="52"/>
    <s v="Female"/>
    <n v="35.299999999999997"/>
    <n v="2"/>
    <s v="Yes"/>
    <s v="Northwest"/>
    <n v="18804.752400000001"/>
    <s v="Older"/>
    <s v="46-60"/>
    <x v="3"/>
    <s v="Medium"/>
  </r>
  <r>
    <n v="52"/>
    <s v="Male"/>
    <n v="35.31"/>
    <n v="2"/>
    <s v="No"/>
    <s v="Northeast"/>
    <n v="18806.145469999999"/>
    <s v="Older"/>
    <s v="46-60"/>
    <x v="3"/>
    <s v="Medium"/>
  </r>
  <r>
    <n v="52"/>
    <s v="Male"/>
    <n v="35.31"/>
    <n v="2"/>
    <s v="No"/>
    <s v="Northwest"/>
    <n v="18838.703659999999"/>
    <s v="Older"/>
    <s v="46-60"/>
    <x v="3"/>
    <s v="Medium"/>
  </r>
  <r>
    <n v="53"/>
    <s v="Female"/>
    <n v="35.4"/>
    <n v="2"/>
    <s v="Yes"/>
    <s v="Northwest"/>
    <n v="18903.491409999999"/>
    <s v="Older"/>
    <s v="46-60"/>
    <x v="3"/>
    <s v="Medium"/>
  </r>
  <r>
    <n v="53"/>
    <s v="Male"/>
    <n v="35.42"/>
    <n v="2"/>
    <s v="No"/>
    <s v="Northeast"/>
    <n v="18955.220170000001"/>
    <s v="Older"/>
    <s v="46-60"/>
    <x v="3"/>
    <s v="Medium"/>
  </r>
  <r>
    <n v="53"/>
    <s v="Male"/>
    <n v="35.435000000000002"/>
    <n v="2"/>
    <s v="Yes"/>
    <s v="Northeast"/>
    <n v="18963.171920000001"/>
    <s v="Older"/>
    <s v="46-60"/>
    <x v="3"/>
    <s v="Medium"/>
  </r>
  <r>
    <n v="53"/>
    <s v="Female"/>
    <n v="35.5"/>
    <n v="2"/>
    <s v="No"/>
    <s v="Southwest"/>
    <n v="18972.494999999999"/>
    <s v="Older"/>
    <s v="46-60"/>
    <x v="3"/>
    <s v="Medium"/>
  </r>
  <r>
    <n v="53"/>
    <s v="Male"/>
    <n v="35.53"/>
    <n v="2"/>
    <s v="No"/>
    <s v="Northeast"/>
    <n v="19023.259999999998"/>
    <s v="Older"/>
    <s v="46-60"/>
    <x v="3"/>
    <s v="Medium"/>
  </r>
  <r>
    <n v="53"/>
    <s v="Female"/>
    <n v="35.53"/>
    <n v="2"/>
    <s v="Yes"/>
    <s v="Northwest"/>
    <n v="19040.876"/>
    <s v="Older"/>
    <s v="46-60"/>
    <x v="3"/>
    <s v="Medium"/>
  </r>
  <r>
    <n v="53"/>
    <s v="Female"/>
    <n v="35.53"/>
    <n v="2"/>
    <s v="No"/>
    <s v="Northeast"/>
    <n v="19107.779600000002"/>
    <s v="Older"/>
    <s v="46-60"/>
    <x v="3"/>
    <s v="Medium"/>
  </r>
  <r>
    <n v="53"/>
    <s v="Male"/>
    <n v="35.53"/>
    <n v="2"/>
    <s v="Yes"/>
    <s v="Southeast"/>
    <n v="19144.576519999999"/>
    <s v="Older"/>
    <s v="46-60"/>
    <x v="3"/>
    <s v="Medium"/>
  </r>
  <r>
    <n v="53"/>
    <s v="Female"/>
    <n v="35.53"/>
    <n v="2"/>
    <s v="No"/>
    <s v="Northwest"/>
    <n v="19199.944"/>
    <s v="Older"/>
    <s v="46-60"/>
    <x v="3"/>
    <s v="Medium"/>
  </r>
  <r>
    <n v="53"/>
    <s v="Male"/>
    <n v="35.53"/>
    <n v="2"/>
    <s v="Yes"/>
    <s v="Southwest"/>
    <n v="19214.705529999999"/>
    <s v="Older"/>
    <s v="46-60"/>
    <x v="3"/>
    <s v="Medium"/>
  </r>
  <r>
    <n v="53"/>
    <s v="Female"/>
    <n v="35.6"/>
    <n v="2"/>
    <s v="No"/>
    <s v="Northwest"/>
    <n v="19350.368900000001"/>
    <s v="Older"/>
    <s v="46-60"/>
    <x v="3"/>
    <s v="Medium"/>
  </r>
  <r>
    <n v="53"/>
    <s v="Male"/>
    <n v="35.625"/>
    <n v="2"/>
    <s v="No"/>
    <s v="Northeast"/>
    <n v="19361.998800000001"/>
    <s v="Older"/>
    <s v="46-60"/>
    <x v="3"/>
    <s v="Medium"/>
  </r>
  <r>
    <n v="53"/>
    <s v="Male"/>
    <n v="35.625"/>
    <n v="2"/>
    <s v="No"/>
    <s v="Northeast"/>
    <n v="19442.353500000001"/>
    <s v="Older"/>
    <s v="46-60"/>
    <x v="3"/>
    <s v="Medium"/>
  </r>
  <r>
    <n v="53"/>
    <s v="Male"/>
    <n v="35.625"/>
    <n v="2"/>
    <s v="Yes"/>
    <s v="Southwest"/>
    <n v="19444.265800000001"/>
    <s v="Older"/>
    <s v="46-60"/>
    <x v="3"/>
    <s v="Medium"/>
  </r>
  <r>
    <n v="53"/>
    <s v="Female"/>
    <n v="35.625"/>
    <n v="2"/>
    <s v="No"/>
    <s v="Northwest"/>
    <n v="19496.71917"/>
    <s v="Older"/>
    <s v="46-60"/>
    <x v="3"/>
    <s v="Medium"/>
  </r>
  <r>
    <n v="53"/>
    <s v="Male"/>
    <n v="35.64"/>
    <n v="2"/>
    <s v="No"/>
    <s v="Northwest"/>
    <n v="19515.5416"/>
    <s v="Older"/>
    <s v="46-60"/>
    <x v="3"/>
    <s v="Medium"/>
  </r>
  <r>
    <n v="53"/>
    <s v="Female"/>
    <n v="35.700000000000003"/>
    <n v="2"/>
    <s v="No"/>
    <s v="Southwest"/>
    <n v="19521.968199999999"/>
    <s v="Older"/>
    <s v="46-60"/>
    <x v="3"/>
    <s v="Medium"/>
  </r>
  <r>
    <n v="53"/>
    <s v="Female"/>
    <n v="35.72"/>
    <n v="2"/>
    <s v="No"/>
    <s v="Southeast"/>
    <n v="19539.242999999999"/>
    <s v="Older"/>
    <s v="46-60"/>
    <x v="3"/>
    <s v="Medium"/>
  </r>
  <r>
    <n v="53"/>
    <s v="Female"/>
    <n v="35.72"/>
    <n v="2"/>
    <s v="No"/>
    <s v="Southeast"/>
    <n v="19594.809649999999"/>
    <s v="Older"/>
    <s v="46-60"/>
    <x v="3"/>
    <s v="Medium"/>
  </r>
  <r>
    <n v="53"/>
    <s v="Male"/>
    <n v="35.75"/>
    <n v="2"/>
    <s v="No"/>
    <s v="Northwest"/>
    <n v="19673.335729999999"/>
    <s v="Older"/>
    <s v="46-60"/>
    <x v="3"/>
    <s v="Medium"/>
  </r>
  <r>
    <n v="53"/>
    <s v="Male"/>
    <n v="35.75"/>
    <n v="2"/>
    <s v="No"/>
    <s v="Southeast"/>
    <n v="19719.6947"/>
    <s v="Older"/>
    <s v="46-60"/>
    <x v="3"/>
    <s v="Medium"/>
  </r>
  <r>
    <n v="53"/>
    <s v="Male"/>
    <n v="35.75"/>
    <n v="2"/>
    <s v="No"/>
    <s v="Southeast"/>
    <n v="19749.383379999999"/>
    <s v="Older"/>
    <s v="46-60"/>
    <x v="3"/>
    <s v="Medium"/>
  </r>
  <r>
    <n v="53"/>
    <s v="Male"/>
    <n v="35.799999999999997"/>
    <n v="2"/>
    <s v="Yes"/>
    <s v="Southeast"/>
    <n v="19798.054550000001"/>
    <s v="Older"/>
    <s v="46-60"/>
    <x v="3"/>
    <s v="Medium"/>
  </r>
  <r>
    <n v="53"/>
    <s v="Male"/>
    <n v="35.799999999999997"/>
    <n v="2"/>
    <s v="No"/>
    <s v="Northwest"/>
    <n v="19933.457999999999"/>
    <s v="Older"/>
    <s v="46-60"/>
    <x v="3"/>
    <s v="Medium"/>
  </r>
  <r>
    <n v="53"/>
    <s v="Female"/>
    <n v="35.814999999999998"/>
    <n v="2"/>
    <s v="No"/>
    <s v="Southwest"/>
    <n v="19964.746299999999"/>
    <s v="Older"/>
    <s v="46-60"/>
    <x v="3"/>
    <s v="Medium"/>
  </r>
  <r>
    <n v="53"/>
    <s v="Female"/>
    <n v="35.814999999999998"/>
    <n v="2"/>
    <s v="No"/>
    <s v="Southwest"/>
    <n v="20009.63365"/>
    <s v="Older"/>
    <s v="46-60"/>
    <x v="3"/>
    <s v="Medium"/>
  </r>
  <r>
    <n v="53"/>
    <s v="Male"/>
    <n v="35.814999999999998"/>
    <n v="2"/>
    <s v="No"/>
    <s v="Southeast"/>
    <n v="20149.322899999999"/>
    <s v="Older"/>
    <s v="46-60"/>
    <x v="3"/>
    <s v="Medium"/>
  </r>
  <r>
    <n v="53"/>
    <s v="Male"/>
    <n v="35.814999999999998"/>
    <n v="2"/>
    <s v="No"/>
    <s v="Northeast"/>
    <n v="20167.336029999999"/>
    <s v="Older"/>
    <s v="46-60"/>
    <x v="3"/>
    <s v="Medium"/>
  </r>
  <r>
    <n v="54"/>
    <s v="Male"/>
    <n v="35.86"/>
    <n v="2"/>
    <s v="No"/>
    <s v="Northwest"/>
    <n v="20177.671129999999"/>
    <s v="Older"/>
    <s v="46-60"/>
    <x v="3"/>
    <s v="Medium"/>
  </r>
  <r>
    <n v="54"/>
    <s v="Female"/>
    <n v="35.86"/>
    <n v="2"/>
    <s v="No"/>
    <s v="Southeast"/>
    <n v="20234.854749999999"/>
    <s v="Older"/>
    <s v="46-60"/>
    <x v="3"/>
    <s v="Medium"/>
  </r>
  <r>
    <n v="54"/>
    <s v="Male"/>
    <n v="35.86"/>
    <n v="2"/>
    <s v="Yes"/>
    <s v="Southeast"/>
    <n v="20277.807509999999"/>
    <s v="Older"/>
    <s v="46-60"/>
    <x v="3"/>
    <s v="Medium"/>
  </r>
  <r>
    <n v="54"/>
    <s v="Male"/>
    <n v="35.86"/>
    <n v="2"/>
    <s v="No"/>
    <s v="Northeast"/>
    <n v="20296.863450000001"/>
    <s v="Older"/>
    <s v="46-60"/>
    <x v="3"/>
    <s v="Medium"/>
  </r>
  <r>
    <n v="54"/>
    <s v="Male"/>
    <n v="35.9"/>
    <n v="2"/>
    <s v="No"/>
    <s v="Northwest"/>
    <n v="20420.604650000001"/>
    <s v="Older"/>
    <s v="46-60"/>
    <x v="3"/>
    <s v="Medium"/>
  </r>
  <r>
    <n v="54"/>
    <s v="Female"/>
    <n v="35.909999999999997"/>
    <n v="2"/>
    <s v="No"/>
    <s v="Northeast"/>
    <n v="20462.997660000001"/>
    <s v="Older"/>
    <s v="46-60"/>
    <x v="3"/>
    <s v="Medium"/>
  </r>
  <r>
    <n v="54"/>
    <s v="Female"/>
    <n v="35.909999999999997"/>
    <n v="2"/>
    <s v="No"/>
    <s v="Northeast"/>
    <n v="20630.283510000001"/>
    <s v="Older"/>
    <s v="46-60"/>
    <x v="3"/>
    <s v="Medium"/>
  </r>
  <r>
    <n v="54"/>
    <s v="Female"/>
    <n v="35.97"/>
    <n v="2"/>
    <s v="No"/>
    <s v="Southeast"/>
    <n v="20709.020339999999"/>
    <s v="Older"/>
    <s v="46-60"/>
    <x v="3"/>
    <s v="Medium"/>
  </r>
  <r>
    <n v="54"/>
    <s v="Female"/>
    <n v="35.97"/>
    <n v="2"/>
    <s v="No"/>
    <s v="Southwest"/>
    <n v="20745.989099999999"/>
    <s v="Older"/>
    <s v="46-60"/>
    <x v="3"/>
    <s v="Medium"/>
  </r>
  <r>
    <n v="54"/>
    <s v="Male"/>
    <n v="35.97"/>
    <n v="2"/>
    <s v="No"/>
    <s v="Northeast"/>
    <n v="20773.62775"/>
    <s v="Older"/>
    <s v="46-60"/>
    <x v="3"/>
    <s v="Medium"/>
  </r>
  <r>
    <n v="54"/>
    <s v="Male"/>
    <n v="35.97"/>
    <n v="2"/>
    <s v="Yes"/>
    <s v="Southeast"/>
    <n v="20781.48892"/>
    <s v="Older"/>
    <s v="46-60"/>
    <x v="3"/>
    <s v="Medium"/>
  </r>
  <r>
    <n v="54"/>
    <s v="Male"/>
    <n v="36"/>
    <n v="2"/>
    <s v="No"/>
    <s v="Southeast"/>
    <n v="20878.78443"/>
    <s v="Older"/>
    <s v="46-60"/>
    <x v="3"/>
    <s v="Medium"/>
  </r>
  <r>
    <n v="54"/>
    <s v="Male"/>
    <n v="36"/>
    <n v="2"/>
    <s v="No"/>
    <s v="Southeast"/>
    <n v="20984.0936"/>
    <s v="Older"/>
    <s v="46-60"/>
    <x v="3"/>
    <s v="Medium"/>
  </r>
  <r>
    <n v="54"/>
    <s v="Male"/>
    <n v="36.005000000000003"/>
    <n v="2"/>
    <s v="No"/>
    <s v="Northwest"/>
    <n v="21082.16"/>
    <s v="Older"/>
    <s v="46-60"/>
    <x v="3"/>
    <s v="Medium"/>
  </r>
  <r>
    <n v="54"/>
    <s v="Male"/>
    <n v="36.08"/>
    <n v="2"/>
    <s v="No"/>
    <s v="Northwest"/>
    <n v="21098.554049999999"/>
    <s v="Older"/>
    <s v="46-60"/>
    <x v="3"/>
    <s v="Medium"/>
  </r>
  <r>
    <n v="54"/>
    <s v="Male"/>
    <n v="36.08"/>
    <n v="2"/>
    <s v="No"/>
    <s v="Southwest"/>
    <n v="21195.817999999999"/>
    <s v="Older"/>
    <s v="46-60"/>
    <x v="3"/>
    <s v="Medium"/>
  </r>
  <r>
    <n v="54"/>
    <s v="Female"/>
    <n v="36.08"/>
    <n v="2"/>
    <s v="No"/>
    <s v="Northwest"/>
    <n v="21223.675800000001"/>
    <s v="Older"/>
    <s v="46-60"/>
    <x v="3"/>
    <s v="Medium"/>
  </r>
  <r>
    <n v="54"/>
    <s v="Female"/>
    <n v="36.08"/>
    <n v="2"/>
    <s v="Yes"/>
    <s v="Southwest"/>
    <n v="21232.182260000001"/>
    <s v="Older"/>
    <s v="46-60"/>
    <x v="3"/>
    <s v="Medium"/>
  </r>
  <r>
    <n v="54"/>
    <s v="Male"/>
    <n v="36.1"/>
    <n v="2"/>
    <s v="No"/>
    <s v="Northeast"/>
    <n v="21259.377949999998"/>
    <s v="Older"/>
    <s v="46-60"/>
    <x v="3"/>
    <s v="Medium"/>
  </r>
  <r>
    <n v="54"/>
    <s v="Male"/>
    <n v="36.1"/>
    <n v="2"/>
    <s v="No"/>
    <s v="Northwest"/>
    <n v="21344.846699999998"/>
    <s v="Older"/>
    <s v="46-60"/>
    <x v="3"/>
    <s v="Medium"/>
  </r>
  <r>
    <n v="54"/>
    <s v="Male"/>
    <n v="36.1"/>
    <n v="2"/>
    <s v="No"/>
    <s v="Southeast"/>
    <n v="21348.705999999998"/>
    <s v="Older"/>
    <s v="46-60"/>
    <x v="3"/>
    <s v="Medium"/>
  </r>
  <r>
    <n v="54"/>
    <s v="Male"/>
    <n v="36.19"/>
    <n v="2"/>
    <s v="No"/>
    <s v="Southwest"/>
    <n v="21472.478800000001"/>
    <s v="Older"/>
    <s v="46-60"/>
    <x v="3"/>
    <s v="Medium"/>
  </r>
  <r>
    <n v="54"/>
    <s v="Male"/>
    <n v="36.19"/>
    <n v="2"/>
    <s v="Yes"/>
    <s v="Southeast"/>
    <n v="21595.382290000001"/>
    <s v="Older"/>
    <s v="46-60"/>
    <x v="3"/>
    <s v="Medium"/>
  </r>
  <r>
    <n v="54"/>
    <s v="Female"/>
    <n v="36.19"/>
    <n v="2"/>
    <s v="No"/>
    <s v="Northeast"/>
    <n v="21659.930100000001"/>
    <s v="Older"/>
    <s v="46-60"/>
    <x v="3"/>
    <s v="Medium"/>
  </r>
  <r>
    <n v="54"/>
    <s v="Male"/>
    <n v="36.195"/>
    <n v="2"/>
    <s v="No"/>
    <s v="Southwest"/>
    <n v="21677.283449999999"/>
    <s v="Older"/>
    <s v="46-60"/>
    <x v="3"/>
    <s v="Medium"/>
  </r>
  <r>
    <n v="54"/>
    <s v="Female"/>
    <n v="36.200000000000003"/>
    <n v="2"/>
    <s v="Yes"/>
    <s v="Northwest"/>
    <n v="21771.3423"/>
    <s v="Older"/>
    <s v="46-60"/>
    <x v="3"/>
    <s v="Medium"/>
  </r>
  <r>
    <n v="54"/>
    <s v="Female"/>
    <n v="36.200000000000003"/>
    <n v="2"/>
    <s v="No"/>
    <s v="Southwest"/>
    <n v="21774.32215"/>
    <s v="Older"/>
    <s v="46-60"/>
    <x v="3"/>
    <s v="Medium"/>
  </r>
  <r>
    <n v="54"/>
    <s v="Female"/>
    <n v="36.29"/>
    <n v="2"/>
    <s v="No"/>
    <s v="Northeast"/>
    <n v="21797.000400000001"/>
    <s v="Older"/>
    <s v="46-60"/>
    <x v="3"/>
    <s v="Medium"/>
  </r>
  <r>
    <n v="55"/>
    <s v="Female"/>
    <n v="36.299999999999997"/>
    <n v="2"/>
    <s v="Yes"/>
    <s v="Northeast"/>
    <n v="21880.82"/>
    <s v="Older"/>
    <s v="46-60"/>
    <x v="3"/>
    <s v="Medium"/>
  </r>
  <r>
    <n v="55"/>
    <s v="Male"/>
    <n v="36.299999999999997"/>
    <n v="2"/>
    <s v="No"/>
    <s v="Southeast"/>
    <n v="21978.676899999999"/>
    <s v="Older"/>
    <s v="46-60"/>
    <x v="3"/>
    <s v="Medium"/>
  </r>
  <r>
    <n v="55"/>
    <s v="Female"/>
    <n v="36.299999999999997"/>
    <n v="2"/>
    <s v="No"/>
    <s v="Northeast"/>
    <n v="21984.47061"/>
    <s v="Older"/>
    <s v="46-60"/>
    <x v="3"/>
    <s v="Medium"/>
  </r>
  <r>
    <n v="55"/>
    <s v="Female"/>
    <n v="36.299999999999997"/>
    <n v="2"/>
    <s v="No"/>
    <s v="Southeast"/>
    <n v="22144.031999999999"/>
    <s v="Older"/>
    <s v="46-60"/>
    <x v="3"/>
    <s v="Medium"/>
  </r>
  <r>
    <n v="55"/>
    <s v="Female"/>
    <n v="36.384999999999998"/>
    <n v="2"/>
    <s v="Yes"/>
    <s v="Northeast"/>
    <n v="22192.437109999999"/>
    <s v="Older"/>
    <s v="46-60"/>
    <x v="3"/>
    <s v="Medium"/>
  </r>
  <r>
    <n v="55"/>
    <s v="Male"/>
    <n v="36.384999999999998"/>
    <n v="2"/>
    <s v="No"/>
    <s v="Southwest"/>
    <n v="22218.1149"/>
    <s v="Older"/>
    <s v="46-60"/>
    <x v="3"/>
    <s v="Medium"/>
  </r>
  <r>
    <n v="55"/>
    <s v="Male"/>
    <n v="36.4"/>
    <n v="2"/>
    <s v="No"/>
    <s v="Southeast"/>
    <n v="22331.566800000001"/>
    <s v="Older"/>
    <s v="46-60"/>
    <x v="3"/>
    <s v="Medium"/>
  </r>
  <r>
    <n v="55"/>
    <s v="Male"/>
    <n v="36.479999999999997"/>
    <n v="2"/>
    <s v="No"/>
    <s v="Southeast"/>
    <n v="22395.74424"/>
    <s v="Older"/>
    <s v="46-60"/>
    <x v="3"/>
    <s v="Medium"/>
  </r>
  <r>
    <n v="55"/>
    <s v="Male"/>
    <n v="36.479999999999997"/>
    <n v="2"/>
    <s v="No"/>
    <s v="Southwest"/>
    <n v="22412.648499999999"/>
    <s v="Older"/>
    <s v="46-60"/>
    <x v="3"/>
    <s v="Medium"/>
  </r>
  <r>
    <n v="55"/>
    <s v="Female"/>
    <n v="36.479999999999997"/>
    <n v="2"/>
    <s v="No"/>
    <s v="Southeast"/>
    <n v="22462.043750000001"/>
    <s v="Older"/>
    <s v="46-60"/>
    <x v="3"/>
    <s v="Medium"/>
  </r>
  <r>
    <n v="55"/>
    <s v="Female"/>
    <n v="36.520000000000003"/>
    <n v="2"/>
    <s v="No"/>
    <s v="Northwest"/>
    <n v="22478.6"/>
    <s v="Older"/>
    <s v="46-60"/>
    <x v="3"/>
    <s v="Medium"/>
  </r>
  <r>
    <n v="55"/>
    <s v="Female"/>
    <n v="36.575000000000003"/>
    <n v="2"/>
    <s v="No"/>
    <s v="Northwest"/>
    <n v="22493.659640000002"/>
    <s v="Older"/>
    <s v="46-60"/>
    <x v="3"/>
    <s v="Medium"/>
  </r>
  <r>
    <n v="55"/>
    <s v="Male"/>
    <n v="36.575000000000003"/>
    <n v="2"/>
    <s v="No"/>
    <s v="Southwest"/>
    <n v="23045.566159999998"/>
    <s v="Older"/>
    <s v="46-60"/>
    <x v="3"/>
    <s v="Medium"/>
  </r>
  <r>
    <n v="55"/>
    <s v="Male"/>
    <n v="36.6"/>
    <n v="2"/>
    <s v="No"/>
    <s v="Southeast"/>
    <n v="23065.420699999999"/>
    <s v="Older"/>
    <s v="46-60"/>
    <x v="3"/>
    <s v="Medium"/>
  </r>
  <r>
    <n v="55"/>
    <s v="Female"/>
    <n v="36.630000000000003"/>
    <n v="2"/>
    <s v="No"/>
    <s v="Northeast"/>
    <n v="23082.955330000001"/>
    <s v="Older"/>
    <s v="46-60"/>
    <x v="3"/>
    <s v="Medium"/>
  </r>
  <r>
    <n v="55"/>
    <s v="Male"/>
    <n v="36.630000000000003"/>
    <n v="2"/>
    <s v="Yes"/>
    <s v="Southeast"/>
    <n v="23241.47453"/>
    <s v="Older"/>
    <s v="46-60"/>
    <x v="3"/>
    <s v="Medium"/>
  </r>
  <r>
    <n v="55"/>
    <s v="Female"/>
    <n v="36.630000000000003"/>
    <n v="2"/>
    <s v="Yes"/>
    <s v="Southeast"/>
    <n v="23244.790199999999"/>
    <s v="Older"/>
    <s v="46-60"/>
    <x v="3"/>
    <s v="Medium"/>
  </r>
  <r>
    <n v="55"/>
    <s v="Female"/>
    <n v="36.67"/>
    <n v="2"/>
    <s v="No"/>
    <s v="Northwest"/>
    <n v="23288.928400000001"/>
    <s v="Older"/>
    <s v="46-60"/>
    <x v="3"/>
    <s v="Medium"/>
  </r>
  <r>
    <n v="55"/>
    <s v="Male"/>
    <n v="36.67"/>
    <n v="2"/>
    <s v="No"/>
    <s v="Northeast"/>
    <n v="23306.546999999999"/>
    <s v="Older"/>
    <s v="46-60"/>
    <x v="3"/>
    <s v="Medium"/>
  </r>
  <r>
    <n v="55"/>
    <s v="Male"/>
    <n v="36.67"/>
    <n v="2"/>
    <s v="No"/>
    <s v="Southeast"/>
    <n v="23401.30575"/>
    <s v="Older"/>
    <s v="46-60"/>
    <x v="3"/>
    <s v="Medium"/>
  </r>
  <r>
    <n v="55"/>
    <s v="Male"/>
    <n v="36.67"/>
    <n v="2"/>
    <s v="No"/>
    <s v="Northeast"/>
    <n v="23563.016179999999"/>
    <s v="Older"/>
    <s v="46-60"/>
    <x v="3"/>
    <s v="Medium"/>
  </r>
  <r>
    <n v="55"/>
    <s v="Male"/>
    <n v="36.700000000000003"/>
    <n v="2"/>
    <s v="Yes"/>
    <s v="Southeast"/>
    <n v="23568.272000000001"/>
    <s v="Older"/>
    <s v="46-60"/>
    <x v="3"/>
    <s v="Medium"/>
  </r>
  <r>
    <n v="55"/>
    <s v="Male"/>
    <n v="36.765000000000001"/>
    <n v="2"/>
    <s v="Yes"/>
    <s v="Southeast"/>
    <n v="23807.240600000001"/>
    <s v="Older"/>
    <s v="46-60"/>
    <x v="3"/>
    <s v="Medium"/>
  </r>
  <r>
    <n v="55"/>
    <s v="Female"/>
    <n v="36.765000000000001"/>
    <n v="2"/>
    <s v="No"/>
    <s v="Northwest"/>
    <n v="23887.662700000001"/>
    <s v="Older"/>
    <s v="46-60"/>
    <x v="3"/>
    <s v="Medium"/>
  </r>
  <r>
    <n v="55"/>
    <s v="Female"/>
    <n v="36.765000000000001"/>
    <n v="2"/>
    <s v="Yes"/>
    <s v="Southwest"/>
    <n v="23967.38305"/>
    <s v="Older"/>
    <s v="46-60"/>
    <x v="3"/>
    <s v="Medium"/>
  </r>
  <r>
    <n v="55"/>
    <s v="Male"/>
    <n v="36.85"/>
    <n v="2"/>
    <s v="No"/>
    <s v="Southeast"/>
    <n v="24059.680189999999"/>
    <s v="Older"/>
    <s v="46-60"/>
    <x v="3"/>
    <s v="Medium"/>
  </r>
  <r>
    <n v="56"/>
    <s v="Female"/>
    <n v="36.85"/>
    <n v="2"/>
    <s v="Yes"/>
    <s v="Northwest"/>
    <n v="24106.912550000001"/>
    <s v="Older"/>
    <s v="46-60"/>
    <x v="3"/>
    <s v="Medium"/>
  </r>
  <r>
    <n v="56"/>
    <s v="Female"/>
    <n v="36.85"/>
    <n v="2"/>
    <s v="No"/>
    <s v="Northeast"/>
    <n v="24180.933499999999"/>
    <s v="Older"/>
    <s v="46-60"/>
    <x v="3"/>
    <s v="Medium"/>
  </r>
  <r>
    <n v="56"/>
    <s v="Female"/>
    <n v="36.85"/>
    <n v="2"/>
    <s v="Yes"/>
    <s v="Northeast"/>
    <n v="24227.337240000001"/>
    <s v="Older"/>
    <s v="46-60"/>
    <x v="3"/>
    <s v="Medium"/>
  </r>
  <r>
    <n v="56"/>
    <s v="Female"/>
    <n v="36.85"/>
    <n v="2"/>
    <s v="No"/>
    <s v="Northwest"/>
    <n v="24393.6224"/>
    <s v="Older"/>
    <s v="46-60"/>
    <x v="3"/>
    <s v="Medium"/>
  </r>
  <r>
    <n v="56"/>
    <s v="Male"/>
    <n v="36.86"/>
    <n v="2"/>
    <s v="No"/>
    <s v="Southwest"/>
    <n v="24476.478510000001"/>
    <s v="Older"/>
    <s v="46-60"/>
    <x v="3"/>
    <s v="Medium"/>
  </r>
  <r>
    <n v="56"/>
    <s v="Female"/>
    <n v="36.86"/>
    <n v="2"/>
    <s v="No"/>
    <s v="Southeast"/>
    <n v="24513.091260000001"/>
    <s v="Older"/>
    <s v="46-60"/>
    <x v="3"/>
    <s v="Medium"/>
  </r>
  <r>
    <n v="56"/>
    <s v="Male"/>
    <n v="36.86"/>
    <n v="2"/>
    <s v="No"/>
    <s v="Southwest"/>
    <n v="24520.263999999999"/>
    <s v="Older"/>
    <s v="46-60"/>
    <x v="3"/>
    <s v="Medium"/>
  </r>
  <r>
    <n v="56"/>
    <s v="Female"/>
    <n v="36.954999999999998"/>
    <n v="2"/>
    <s v="No"/>
    <s v="Southwest"/>
    <n v="24535.698550000001"/>
    <s v="Older"/>
    <s v="46-60"/>
    <x v="3"/>
    <s v="Medium"/>
  </r>
  <r>
    <n v="56"/>
    <s v="Female"/>
    <n v="36.954999999999998"/>
    <n v="2"/>
    <s v="No"/>
    <s v="Southeast"/>
    <n v="24603.04837"/>
    <s v="Older"/>
    <s v="46-60"/>
    <x v="3"/>
    <s v="Medium"/>
  </r>
  <r>
    <n v="56"/>
    <s v="Male"/>
    <n v="36.954999999999998"/>
    <n v="2"/>
    <s v="No"/>
    <s v="Southwest"/>
    <n v="24667.419000000002"/>
    <s v="Older"/>
    <s v="46-60"/>
    <x v="3"/>
    <s v="Medium"/>
  </r>
  <r>
    <n v="56"/>
    <s v="Male"/>
    <n v="36.954999999999998"/>
    <n v="2"/>
    <s v="No"/>
    <s v="Northeast"/>
    <n v="24671.663339999999"/>
    <s v="Older"/>
    <s v="46-60"/>
    <x v="3"/>
    <s v="Medium"/>
  </r>
  <r>
    <n v="56"/>
    <s v="Female"/>
    <n v="36.96"/>
    <n v="2"/>
    <s v="No"/>
    <s v="Northwest"/>
    <n v="24869.836800000001"/>
    <s v="Older"/>
    <s v="46-60"/>
    <x v="3"/>
    <s v="Medium"/>
  </r>
  <r>
    <n v="56"/>
    <s v="Male"/>
    <n v="37"/>
    <n v="2"/>
    <s v="No"/>
    <s v="Northwest"/>
    <n v="24873.384900000001"/>
    <s v="Older"/>
    <s v="46-60"/>
    <x v="3"/>
    <s v="Medium"/>
  </r>
  <r>
    <n v="56"/>
    <s v="Female"/>
    <n v="37"/>
    <n v="2"/>
    <s v="No"/>
    <s v="Northwest"/>
    <n v="24915.046259999999"/>
    <s v="Older"/>
    <s v="46-60"/>
    <x v="3"/>
    <s v="Medium"/>
  </r>
  <r>
    <n v="56"/>
    <s v="Female"/>
    <n v="37.049999999999997"/>
    <n v="2"/>
    <s v="No"/>
    <s v="Southwest"/>
    <n v="24915.220850000002"/>
    <s v="Older"/>
    <s v="46-60"/>
    <x v="3"/>
    <s v="Medium"/>
  </r>
  <r>
    <n v="56"/>
    <s v="Female"/>
    <n v="37.049999999999997"/>
    <n v="2"/>
    <s v="No"/>
    <s v="Northwest"/>
    <n v="25081.76784"/>
    <s v="Older"/>
    <s v="46-60"/>
    <x v="3"/>
    <s v="High"/>
  </r>
  <r>
    <n v="56"/>
    <s v="Male"/>
    <n v="37.049999999999997"/>
    <n v="3"/>
    <s v="No"/>
    <s v="Southeast"/>
    <n v="25309.489000000001"/>
    <s v="Older"/>
    <s v="46-60"/>
    <x v="3"/>
    <s v="High"/>
  </r>
  <r>
    <n v="56"/>
    <s v="Female"/>
    <n v="37.07"/>
    <n v="3"/>
    <s v="Yes"/>
    <s v="Northwest"/>
    <n v="25333.332839999999"/>
    <s v="Older"/>
    <s v="46-60"/>
    <x v="3"/>
    <s v="High"/>
  </r>
  <r>
    <n v="56"/>
    <s v="Male"/>
    <n v="37.07"/>
    <n v="3"/>
    <s v="No"/>
    <s v="Southeast"/>
    <n v="25382.296999999999"/>
    <s v="Older"/>
    <s v="46-60"/>
    <x v="3"/>
    <s v="High"/>
  </r>
  <r>
    <n v="56"/>
    <s v="Female"/>
    <n v="37.07"/>
    <n v="3"/>
    <s v="No"/>
    <s v="Southwest"/>
    <n v="25517.11363"/>
    <s v="Older"/>
    <s v="46-60"/>
    <x v="3"/>
    <s v="High"/>
  </r>
  <r>
    <n v="56"/>
    <s v="Female"/>
    <n v="37.1"/>
    <n v="3"/>
    <s v="No"/>
    <s v="Southeast"/>
    <n v="25656.575260000001"/>
    <s v="Older"/>
    <s v="46-60"/>
    <x v="3"/>
    <s v="High"/>
  </r>
  <r>
    <n v="56"/>
    <s v="Male"/>
    <n v="37.1"/>
    <n v="3"/>
    <s v="No"/>
    <s v="Southeast"/>
    <n v="25678.778450000002"/>
    <s v="Older"/>
    <s v="46-60"/>
    <x v="3"/>
    <s v="High"/>
  </r>
  <r>
    <n v="56"/>
    <s v="Male"/>
    <n v="37.1"/>
    <n v="3"/>
    <s v="No"/>
    <s v="Southwest"/>
    <n v="25992.821039999999"/>
    <s v="Older"/>
    <s v="46-60"/>
    <x v="3"/>
    <s v="High"/>
  </r>
  <r>
    <n v="56"/>
    <s v="Male"/>
    <n v="37.1"/>
    <n v="3"/>
    <s v="No"/>
    <s v="Northwest"/>
    <n v="26018.950519999999"/>
    <s v="Older"/>
    <s v="46-60"/>
    <x v="3"/>
    <s v="High"/>
  </r>
  <r>
    <n v="56"/>
    <s v="Male"/>
    <n v="37.1"/>
    <n v="3"/>
    <s v="Yes"/>
    <s v="Southwest"/>
    <n v="26109.32905"/>
    <s v="Older"/>
    <s v="46-60"/>
    <x v="3"/>
    <s v="High"/>
  </r>
  <r>
    <n v="56"/>
    <s v="Female"/>
    <n v="37.1"/>
    <n v="3"/>
    <s v="No"/>
    <s v="Northwest"/>
    <n v="26125.674770000001"/>
    <s v="Older"/>
    <s v="46-60"/>
    <x v="3"/>
    <s v="High"/>
  </r>
  <r>
    <n v="57"/>
    <s v="Male"/>
    <n v="37.145000000000003"/>
    <n v="3"/>
    <s v="No"/>
    <s v="Southwest"/>
    <n v="26140.3603"/>
    <s v="Older"/>
    <s v="46-60"/>
    <x v="3"/>
    <s v="High"/>
  </r>
  <r>
    <n v="57"/>
    <s v="Male"/>
    <n v="37.18"/>
    <n v="3"/>
    <s v="No"/>
    <s v="Southwest"/>
    <n v="26236.579969999999"/>
    <s v="Older"/>
    <s v="46-60"/>
    <x v="3"/>
    <s v="High"/>
  </r>
  <r>
    <n v="57"/>
    <s v="Female"/>
    <n v="37.18"/>
    <n v="3"/>
    <s v="No"/>
    <s v="Northeast"/>
    <n v="26392.260289999998"/>
    <s v="Older"/>
    <s v="46-60"/>
    <x v="3"/>
    <s v="High"/>
  </r>
  <r>
    <n v="57"/>
    <s v="Female"/>
    <n v="37.29"/>
    <n v="3"/>
    <s v="No"/>
    <s v="Northwest"/>
    <n v="26467.09737"/>
    <s v="Older"/>
    <s v="46-60"/>
    <x v="3"/>
    <s v="High"/>
  </r>
  <r>
    <n v="57"/>
    <s v="Female"/>
    <n v="37.29"/>
    <n v="3"/>
    <s v="Yes"/>
    <s v="Southeast"/>
    <n v="26926.5144"/>
    <s v="Older"/>
    <s v="46-60"/>
    <x v="3"/>
    <s v="High"/>
  </r>
  <r>
    <n v="57"/>
    <s v="Female"/>
    <n v="37.29"/>
    <n v="3"/>
    <s v="No"/>
    <s v="Northwest"/>
    <n v="27000.98473"/>
    <s v="Older"/>
    <s v="46-60"/>
    <x v="3"/>
    <s v="High"/>
  </r>
  <r>
    <n v="57"/>
    <s v="Female"/>
    <n v="37.29"/>
    <n v="3"/>
    <s v="No"/>
    <s v="Northwest"/>
    <n v="27037.914100000002"/>
    <s v="Older"/>
    <s v="46-60"/>
    <x v="3"/>
    <s v="High"/>
  </r>
  <r>
    <n v="57"/>
    <s v="Female"/>
    <n v="37.299999999999997"/>
    <n v="3"/>
    <s v="No"/>
    <s v="Northeast"/>
    <n v="27117.993780000001"/>
    <s v="Older"/>
    <s v="46-60"/>
    <x v="3"/>
    <s v="High"/>
  </r>
  <r>
    <n v="57"/>
    <s v="Male"/>
    <n v="37.335000000000001"/>
    <n v="3"/>
    <s v="Yes"/>
    <s v="Southeast"/>
    <n v="27218.437249999999"/>
    <s v="Older"/>
    <s v="46-60"/>
    <x v="3"/>
    <s v="High"/>
  </r>
  <r>
    <n v="57"/>
    <s v="Female"/>
    <n v="37.335000000000001"/>
    <n v="3"/>
    <s v="No"/>
    <s v="Northwest"/>
    <n v="27322.73386"/>
    <s v="Older"/>
    <s v="46-60"/>
    <x v="3"/>
    <s v="High"/>
  </r>
  <r>
    <n v="57"/>
    <s v="Female"/>
    <n v="37.4"/>
    <n v="3"/>
    <s v="No"/>
    <s v="Northeast"/>
    <n v="27346.04207"/>
    <s v="Older"/>
    <s v="46-60"/>
    <x v="3"/>
    <s v="High"/>
  </r>
  <r>
    <n v="57"/>
    <s v="Female"/>
    <n v="37.4"/>
    <n v="3"/>
    <s v="No"/>
    <s v="Southwest"/>
    <n v="27375.904780000001"/>
    <s v="Older"/>
    <s v="46-60"/>
    <x v="3"/>
    <s v="High"/>
  </r>
  <r>
    <n v="57"/>
    <s v="Female"/>
    <n v="37.4"/>
    <n v="3"/>
    <s v="No"/>
    <s v="Northwest"/>
    <n v="27533.912899999999"/>
    <s v="Older"/>
    <s v="46-60"/>
    <x v="3"/>
    <s v="High"/>
  </r>
  <r>
    <n v="57"/>
    <s v="Male"/>
    <n v="37.43"/>
    <n v="3"/>
    <s v="No"/>
    <s v="Southeast"/>
    <n v="27724.28875"/>
    <s v="Older"/>
    <s v="46-60"/>
    <x v="3"/>
    <s v="High"/>
  </r>
  <r>
    <n v="57"/>
    <s v="Male"/>
    <n v="37.43"/>
    <n v="3"/>
    <s v="No"/>
    <s v="Southeast"/>
    <n v="27808.7251"/>
    <s v="Older"/>
    <s v="46-60"/>
    <x v="3"/>
    <s v="High"/>
  </r>
  <r>
    <n v="57"/>
    <s v="Female"/>
    <n v="37.43"/>
    <n v="3"/>
    <s v="No"/>
    <s v="Northeast"/>
    <n v="27941.28758"/>
    <s v="Older"/>
    <s v="46-60"/>
    <x v="3"/>
    <s v="High"/>
  </r>
  <r>
    <n v="57"/>
    <s v="Female"/>
    <n v="37.51"/>
    <n v="3"/>
    <s v="No"/>
    <s v="Northwest"/>
    <n v="28101.333050000001"/>
    <s v="Older"/>
    <s v="46-60"/>
    <x v="3"/>
    <s v="High"/>
  </r>
  <r>
    <n v="57"/>
    <s v="Female"/>
    <n v="37.51"/>
    <n v="3"/>
    <s v="No"/>
    <s v="Northeast"/>
    <n v="28287.897659999999"/>
    <s v="Older"/>
    <s v="46-60"/>
    <x v="3"/>
    <s v="High"/>
  </r>
  <r>
    <n v="57"/>
    <s v="Male"/>
    <n v="37.524999999999999"/>
    <n v="3"/>
    <s v="No"/>
    <s v="Southeast"/>
    <n v="28340.188849999999"/>
    <s v="Older"/>
    <s v="46-60"/>
    <x v="3"/>
    <s v="High"/>
  </r>
  <r>
    <n v="57"/>
    <s v="Female"/>
    <n v="37.619999999999997"/>
    <n v="3"/>
    <s v="No"/>
    <s v="Southwest"/>
    <n v="28468.919010000001"/>
    <s v="Older"/>
    <s v="46-60"/>
    <x v="3"/>
    <s v="High"/>
  </r>
  <r>
    <n v="57"/>
    <s v="Male"/>
    <n v="37.619999999999997"/>
    <n v="3"/>
    <s v="No"/>
    <s v="Southwest"/>
    <n v="28476.734990000001"/>
    <s v="Older"/>
    <s v="46-60"/>
    <x v="3"/>
    <s v="High"/>
  </r>
  <r>
    <n v="57"/>
    <s v="Female"/>
    <n v="37.700000000000003"/>
    <n v="3"/>
    <s v="No"/>
    <s v="Northwest"/>
    <n v="28868.6639"/>
    <s v="Older"/>
    <s v="46-60"/>
    <x v="3"/>
    <s v="High"/>
  </r>
  <r>
    <n v="57"/>
    <s v="Male"/>
    <n v="37.715000000000003"/>
    <n v="3"/>
    <s v="Yes"/>
    <s v="Northeast"/>
    <n v="28923.136920000001"/>
    <s v="Older"/>
    <s v="46-60"/>
    <x v="3"/>
    <s v="High"/>
  </r>
  <r>
    <n v="57"/>
    <s v="Female"/>
    <n v="37.729999999999997"/>
    <n v="3"/>
    <s v="Yes"/>
    <s v="Southwest"/>
    <n v="28950.4692"/>
    <s v="Older"/>
    <s v="46-60"/>
    <x v="3"/>
    <s v="High"/>
  </r>
  <r>
    <n v="57"/>
    <s v="Female"/>
    <n v="37.729999999999997"/>
    <n v="3"/>
    <s v="No"/>
    <s v="Southeast"/>
    <n v="29141.3603"/>
    <s v="Older"/>
    <s v="46-60"/>
    <x v="3"/>
    <s v="High"/>
  </r>
  <r>
    <n v="57"/>
    <s v="Male"/>
    <n v="37.799999999999997"/>
    <n v="3"/>
    <s v="No"/>
    <s v="Northwest"/>
    <n v="29186.482360000002"/>
    <s v="Older"/>
    <s v="46-60"/>
    <x v="3"/>
    <s v="High"/>
  </r>
  <r>
    <n v="58"/>
    <s v="Male"/>
    <n v="37.9"/>
    <n v="3"/>
    <s v="No"/>
    <s v="Northwest"/>
    <n v="29330.98315"/>
    <s v="Older"/>
    <s v="46-60"/>
    <x v="3"/>
    <s v="High"/>
  </r>
  <r>
    <n v="58"/>
    <s v="Female"/>
    <n v="37.905000000000001"/>
    <n v="3"/>
    <s v="No"/>
    <s v="Southwest"/>
    <n v="29523.1656"/>
    <s v="Older"/>
    <s v="46-60"/>
    <x v="3"/>
    <s v="High"/>
  </r>
  <r>
    <n v="58"/>
    <s v="Female"/>
    <n v="38"/>
    <n v="3"/>
    <s v="Yes"/>
    <s v="Northwest"/>
    <n v="30063.580549999999"/>
    <s v="Older"/>
    <s v="46-60"/>
    <x v="3"/>
    <s v="High"/>
  </r>
  <r>
    <n v="58"/>
    <s v="Female"/>
    <n v="38"/>
    <n v="3"/>
    <s v="No"/>
    <s v="Southwest"/>
    <n v="30166.618170000002"/>
    <s v="Older"/>
    <s v="46-60"/>
    <x v="3"/>
    <s v="High"/>
  </r>
  <r>
    <n v="58"/>
    <s v="Female"/>
    <n v="38"/>
    <n v="3"/>
    <s v="No"/>
    <s v="Northeast"/>
    <n v="30184.936699999998"/>
    <s v="Older"/>
    <s v="46-60"/>
    <x v="3"/>
    <s v="High"/>
  </r>
  <r>
    <n v="58"/>
    <s v="Male"/>
    <n v="38.06"/>
    <n v="3"/>
    <s v="Yes"/>
    <s v="Southeast"/>
    <n v="30259.995559999999"/>
    <s v="Older"/>
    <s v="46-60"/>
    <x v="3"/>
    <s v="High"/>
  </r>
  <r>
    <n v="58"/>
    <s v="Female"/>
    <n v="38.06"/>
    <n v="3"/>
    <s v="No"/>
    <s v="Northeast"/>
    <n v="30284.642940000002"/>
    <s v="Older"/>
    <s v="46-60"/>
    <x v="3"/>
    <s v="High"/>
  </r>
  <r>
    <n v="58"/>
    <s v="Female"/>
    <n v="38.06"/>
    <n v="3"/>
    <s v="No"/>
    <s v="Northwest"/>
    <n v="30942.191800000001"/>
    <s v="Older"/>
    <s v="46-60"/>
    <x v="3"/>
    <s v="High"/>
  </r>
  <r>
    <n v="58"/>
    <s v="Female"/>
    <n v="38.06"/>
    <n v="3"/>
    <s v="No"/>
    <s v="Southwest"/>
    <n v="31620.001059999999"/>
    <s v="Older"/>
    <s v="46-60"/>
    <x v="3"/>
    <s v="High"/>
  </r>
  <r>
    <n v="58"/>
    <s v="Female"/>
    <n v="38.06"/>
    <n v="3"/>
    <s v="No"/>
    <s v="Northeast"/>
    <n v="32108.662820000001"/>
    <s v="Older"/>
    <s v="46-60"/>
    <x v="3"/>
    <s v="High"/>
  </r>
  <r>
    <n v="58"/>
    <s v="Female"/>
    <n v="38.06"/>
    <n v="3"/>
    <s v="Yes"/>
    <s v="Southeast"/>
    <n v="32548.340499999998"/>
    <s v="Older"/>
    <s v="46-60"/>
    <x v="3"/>
    <s v="High"/>
  </r>
  <r>
    <n v="58"/>
    <s v="Male"/>
    <n v="38.06"/>
    <n v="3"/>
    <s v="No"/>
    <s v="Northeast"/>
    <n v="32734.186300000001"/>
    <s v="Older"/>
    <s v="46-60"/>
    <x v="3"/>
    <s v="High"/>
  </r>
  <r>
    <n v="58"/>
    <s v="Male"/>
    <n v="38.094999999999999"/>
    <n v="3"/>
    <s v="Yes"/>
    <s v="Northwest"/>
    <n v="32787.458590000002"/>
    <s v="Older"/>
    <s v="46-60"/>
    <x v="3"/>
    <s v="High"/>
  </r>
  <r>
    <n v="58"/>
    <s v="Female"/>
    <n v="38.094999999999999"/>
    <n v="3"/>
    <s v="No"/>
    <s v="Northwest"/>
    <n v="33307.550799999997"/>
    <s v="Older"/>
    <s v="46-60"/>
    <x v="3"/>
    <s v="High"/>
  </r>
  <r>
    <n v="58"/>
    <s v="Female"/>
    <n v="38.094999999999999"/>
    <n v="3"/>
    <s v="Yes"/>
    <s v="Northeast"/>
    <n v="33471.971890000001"/>
    <s v="Older"/>
    <s v="46-60"/>
    <x v="3"/>
    <s v="High"/>
  </r>
  <r>
    <n v="58"/>
    <s v="Female"/>
    <n v="38.17"/>
    <n v="3"/>
    <s v="No"/>
    <s v="Southwest"/>
    <n v="33475.817150000003"/>
    <s v="Older"/>
    <s v="46-60"/>
    <x v="3"/>
    <s v="High"/>
  </r>
  <r>
    <n v="58"/>
    <s v="Female"/>
    <n v="38.17"/>
    <n v="3"/>
    <s v="No"/>
    <s v="Northwest"/>
    <n v="33732.686699999998"/>
    <s v="Older"/>
    <s v="46-60"/>
    <x v="3"/>
    <s v="High"/>
  </r>
  <r>
    <n v="58"/>
    <s v="Female"/>
    <n v="38.17"/>
    <n v="3"/>
    <s v="No"/>
    <s v="Northeast"/>
    <n v="33750.291799999999"/>
    <s v="Older"/>
    <s v="46-60"/>
    <x v="3"/>
    <s v="High"/>
  </r>
  <r>
    <n v="58"/>
    <s v="Female"/>
    <n v="38.19"/>
    <n v="3"/>
    <s v="No"/>
    <s v="Northeast"/>
    <n v="33900.652999999998"/>
    <s v="Older"/>
    <s v="46-60"/>
    <x v="3"/>
    <s v="High"/>
  </r>
  <r>
    <n v="58"/>
    <s v="Female"/>
    <n v="38.28"/>
    <n v="3"/>
    <s v="No"/>
    <s v="Northwest"/>
    <n v="33907.548000000003"/>
    <s v="Older"/>
    <s v="46-60"/>
    <x v="3"/>
    <s v="High"/>
  </r>
  <r>
    <n v="58"/>
    <s v="Female"/>
    <n v="38.28"/>
    <n v="3"/>
    <s v="No"/>
    <s v="Northwest"/>
    <n v="34166.273000000001"/>
    <s v="Older"/>
    <s v="46-60"/>
    <x v="3"/>
    <s v="High"/>
  </r>
  <r>
    <n v="58"/>
    <s v="Female"/>
    <n v="38.28"/>
    <n v="3"/>
    <s v="No"/>
    <s v="Northwest"/>
    <n v="34254.053350000002"/>
    <s v="Older"/>
    <s v="46-60"/>
    <x v="3"/>
    <s v="High"/>
  </r>
  <r>
    <n v="58"/>
    <s v="Female"/>
    <n v="38.284999999999997"/>
    <n v="3"/>
    <s v="Yes"/>
    <s v="Northwest"/>
    <n v="34303.167200000004"/>
    <s v="Older"/>
    <s v="46-60"/>
    <x v="3"/>
    <s v="High"/>
  </r>
  <r>
    <n v="58"/>
    <s v="Male"/>
    <n v="38.380000000000003"/>
    <n v="3"/>
    <s v="No"/>
    <s v="Southeast"/>
    <n v="34439.855900000002"/>
    <s v="Older"/>
    <s v="46-60"/>
    <x v="3"/>
    <s v="High"/>
  </r>
  <r>
    <n v="58"/>
    <s v="Male"/>
    <n v="38.380000000000003"/>
    <n v="3"/>
    <s v="No"/>
    <s v="Northwest"/>
    <n v="34472.841"/>
    <s v="Older"/>
    <s v="46-60"/>
    <x v="3"/>
    <s v="High"/>
  </r>
  <r>
    <n v="59"/>
    <s v="Female"/>
    <n v="38.39"/>
    <n v="3"/>
    <s v="No"/>
    <s v="Southwest"/>
    <n v="34617.840649999998"/>
    <s v="Older"/>
    <s v="46-60"/>
    <x v="3"/>
    <s v="High"/>
  </r>
  <r>
    <n v="59"/>
    <s v="Male"/>
    <n v="38.39"/>
    <n v="3"/>
    <s v="No"/>
    <s v="Northwest"/>
    <n v="34672.147199999999"/>
    <s v="Older"/>
    <s v="46-60"/>
    <x v="3"/>
    <s v="High"/>
  </r>
  <r>
    <n v="59"/>
    <s v="Male"/>
    <n v="38.39"/>
    <n v="3"/>
    <s v="No"/>
    <s v="Northwest"/>
    <n v="34779.614999999998"/>
    <s v="Older"/>
    <s v="46-60"/>
    <x v="3"/>
    <s v="High"/>
  </r>
  <r>
    <n v="59"/>
    <s v="Male"/>
    <n v="38.6"/>
    <n v="3"/>
    <s v="No"/>
    <s v="Northwest"/>
    <n v="34806.467700000001"/>
    <s v="Older"/>
    <s v="46-60"/>
    <x v="3"/>
    <s v="High"/>
  </r>
  <r>
    <n v="59"/>
    <s v="Male"/>
    <n v="38.6"/>
    <n v="3"/>
    <s v="No"/>
    <s v="Northeast"/>
    <n v="34828.654000000002"/>
    <s v="Older"/>
    <s v="46-60"/>
    <x v="3"/>
    <s v="High"/>
  </r>
  <r>
    <n v="59"/>
    <s v="Female"/>
    <n v="38.664999999999999"/>
    <n v="3"/>
    <s v="Yes"/>
    <s v="Southeast"/>
    <n v="34838.873"/>
    <s v="Older"/>
    <s v="46-60"/>
    <x v="3"/>
    <s v="High"/>
  </r>
  <r>
    <n v="59"/>
    <s v="Male"/>
    <n v="38.83"/>
    <n v="3"/>
    <s v="No"/>
    <s v="Northwest"/>
    <n v="35069.374519999998"/>
    <s v="Older"/>
    <s v="46-60"/>
    <x v="3"/>
    <s v="High"/>
  </r>
  <r>
    <n v="59"/>
    <s v="Female"/>
    <n v="38.83"/>
    <n v="3"/>
    <s v="No"/>
    <s v="Southwest"/>
    <n v="35147.528480000001"/>
    <s v="Older"/>
    <s v="46-60"/>
    <x v="3"/>
    <s v="High"/>
  </r>
  <r>
    <n v="59"/>
    <s v="Male"/>
    <n v="38.83"/>
    <n v="3"/>
    <s v="Yes"/>
    <s v="Southwest"/>
    <n v="35160.134570000002"/>
    <s v="Older"/>
    <s v="46-60"/>
    <x v="3"/>
    <s v="High"/>
  </r>
  <r>
    <n v="59"/>
    <s v="Female"/>
    <n v="38.9"/>
    <n v="3"/>
    <s v="Yes"/>
    <s v="Northeast"/>
    <n v="35491.64"/>
    <s v="Older"/>
    <s v="46-60"/>
    <x v="3"/>
    <s v="High"/>
  </r>
  <r>
    <n v="59"/>
    <s v="Male"/>
    <n v="38.94"/>
    <n v="3"/>
    <s v="No"/>
    <s v="Southwest"/>
    <n v="35585.576000000001"/>
    <s v="Older"/>
    <s v="46-60"/>
    <x v="3"/>
    <s v="High"/>
  </r>
  <r>
    <n v="59"/>
    <s v="Male"/>
    <n v="38.94"/>
    <n v="3"/>
    <s v="No"/>
    <s v="Northwest"/>
    <n v="35595.589800000002"/>
    <s v="Older"/>
    <s v="46-60"/>
    <x v="3"/>
    <s v="High"/>
  </r>
  <r>
    <n v="59"/>
    <s v="Male"/>
    <n v="38.950000000000003"/>
    <n v="3"/>
    <s v="No"/>
    <s v="Southeast"/>
    <n v="36021.011200000001"/>
    <s v="Older"/>
    <s v="46-60"/>
    <x v="3"/>
    <s v="High"/>
  </r>
  <r>
    <n v="59"/>
    <s v="Male"/>
    <n v="39.049999999999997"/>
    <n v="3"/>
    <s v="No"/>
    <s v="Northeast"/>
    <n v="36085.218999999997"/>
    <s v="Older"/>
    <s v="46-60"/>
    <x v="3"/>
    <s v="High"/>
  </r>
  <r>
    <n v="59"/>
    <s v="Female"/>
    <n v="39.049999999999997"/>
    <n v="3"/>
    <s v="No"/>
    <s v="Southwest"/>
    <n v="36124.573700000001"/>
    <s v="Older"/>
    <s v="46-60"/>
    <x v="3"/>
    <s v="High"/>
  </r>
  <r>
    <n v="59"/>
    <s v="Female"/>
    <n v="39.049999999999997"/>
    <n v="3"/>
    <s v="No"/>
    <s v="Northwest"/>
    <n v="36149.483500000002"/>
    <s v="Older"/>
    <s v="46-60"/>
    <x v="3"/>
    <s v="High"/>
  </r>
  <r>
    <n v="59"/>
    <s v="Male"/>
    <n v="39.1"/>
    <n v="3"/>
    <s v="No"/>
    <s v="Northeast"/>
    <n v="36189.101699999999"/>
    <s v="Older"/>
    <s v="46-60"/>
    <x v="3"/>
    <s v="High"/>
  </r>
  <r>
    <n v="59"/>
    <s v="Male"/>
    <n v="39.14"/>
    <n v="3"/>
    <s v="No"/>
    <s v="Southeast"/>
    <n v="36197.699000000001"/>
    <s v="Older"/>
    <s v="46-60"/>
    <x v="3"/>
    <s v="High"/>
  </r>
  <r>
    <n v="59"/>
    <s v="Male"/>
    <n v="39.159999999999997"/>
    <n v="3"/>
    <s v="No"/>
    <s v="Southeast"/>
    <n v="36219.405449999998"/>
    <s v="Older"/>
    <s v="46-60"/>
    <x v="3"/>
    <s v="High"/>
  </r>
  <r>
    <n v="59"/>
    <s v="Female"/>
    <n v="39.159999999999997"/>
    <n v="3"/>
    <s v="Yes"/>
    <s v="Southwest"/>
    <n v="36307.798300000002"/>
    <s v="Older"/>
    <s v="46-60"/>
    <x v="3"/>
    <s v="High"/>
  </r>
  <r>
    <n v="59"/>
    <s v="Female"/>
    <n v="39.159999999999997"/>
    <n v="3"/>
    <s v="No"/>
    <s v="Northwest"/>
    <n v="36397.576000000001"/>
    <s v="Older"/>
    <s v="46-60"/>
    <x v="3"/>
    <s v="High"/>
  </r>
  <r>
    <n v="59"/>
    <s v="Female"/>
    <n v="39.200000000000003"/>
    <n v="3"/>
    <s v="No"/>
    <s v="Northeast"/>
    <n v="36580.282160000002"/>
    <s v="Older"/>
    <s v="46-60"/>
    <x v="3"/>
    <s v="High"/>
  </r>
  <r>
    <n v="59"/>
    <s v="Male"/>
    <n v="39.270000000000003"/>
    <n v="3"/>
    <s v="No"/>
    <s v="Southeast"/>
    <n v="36837.466999999997"/>
    <s v="Older"/>
    <s v="46-60"/>
    <x v="3"/>
    <s v="High"/>
  </r>
  <r>
    <n v="59"/>
    <s v="Male"/>
    <n v="39.33"/>
    <n v="3"/>
    <s v="No"/>
    <s v="Southeast"/>
    <n v="36898.733079999998"/>
    <s v="Older"/>
    <s v="46-60"/>
    <x v="3"/>
    <s v="High"/>
  </r>
  <r>
    <n v="59"/>
    <s v="Female"/>
    <n v="39.4"/>
    <n v="3"/>
    <s v="Yes"/>
    <s v="Southeast"/>
    <n v="36910.608030000003"/>
    <s v="Older"/>
    <s v="46-60"/>
    <x v="3"/>
    <s v="High"/>
  </r>
  <r>
    <n v="60"/>
    <s v="Male"/>
    <n v="39.424999999999997"/>
    <n v="3"/>
    <s v="No"/>
    <s v="Northeast"/>
    <n v="36950.256699999998"/>
    <s v="Older"/>
    <s v="46-60"/>
    <x v="3"/>
    <s v="High"/>
  </r>
  <r>
    <n v="60"/>
    <s v="Female"/>
    <n v="39.49"/>
    <n v="3"/>
    <s v="No"/>
    <s v="Southeast"/>
    <n v="37079.372000000003"/>
    <s v="Older"/>
    <s v="46-60"/>
    <x v="3"/>
    <s v="High"/>
  </r>
  <r>
    <n v="60"/>
    <s v="Male"/>
    <n v="39.49"/>
    <n v="3"/>
    <s v="No"/>
    <s v="Northeast"/>
    <n v="37133.898200000003"/>
    <s v="Older"/>
    <s v="46-60"/>
    <x v="3"/>
    <s v="High"/>
  </r>
  <r>
    <n v="60"/>
    <s v="Male"/>
    <n v="39.49"/>
    <n v="3"/>
    <s v="No"/>
    <s v="Southeast"/>
    <n v="37165.163800000002"/>
    <s v="Older"/>
    <s v="46-60"/>
    <x v="3"/>
    <s v="High"/>
  </r>
  <r>
    <n v="60"/>
    <s v="Male"/>
    <n v="39.5"/>
    <n v="3"/>
    <s v="No"/>
    <s v="Southeast"/>
    <n v="37270.1512"/>
    <s v="Older"/>
    <s v="46-60"/>
    <x v="3"/>
    <s v="High"/>
  </r>
  <r>
    <n v="60"/>
    <s v="Male"/>
    <n v="39.5"/>
    <n v="3"/>
    <s v="No"/>
    <s v="Northeast"/>
    <n v="37465.34375"/>
    <s v="Older"/>
    <s v="46-60"/>
    <x v="3"/>
    <s v="High"/>
  </r>
  <r>
    <n v="60"/>
    <s v="Male"/>
    <n v="39.520000000000003"/>
    <n v="3"/>
    <s v="Yes"/>
    <s v="Northwest"/>
    <n v="37484.4493"/>
    <s v="Older"/>
    <s v="46-60"/>
    <x v="3"/>
    <s v="High"/>
  </r>
  <r>
    <n v="60"/>
    <s v="Female"/>
    <n v="39.6"/>
    <n v="3"/>
    <s v="Yes"/>
    <s v="Southwest"/>
    <n v="37607.527699999999"/>
    <s v="Older"/>
    <s v="46-60"/>
    <x v="3"/>
    <s v="High"/>
  </r>
  <r>
    <n v="60"/>
    <s v="Female"/>
    <n v="39.6"/>
    <n v="3"/>
    <s v="No"/>
    <s v="Northwest"/>
    <n v="37701.876799999998"/>
    <s v="Older"/>
    <s v="46-60"/>
    <x v="3"/>
    <s v="High"/>
  </r>
  <r>
    <n v="60"/>
    <s v="Male"/>
    <n v="39.6"/>
    <n v="3"/>
    <s v="No"/>
    <s v="Southwest"/>
    <n v="37742.575700000001"/>
    <s v="Older"/>
    <s v="46-60"/>
    <x v="3"/>
    <s v="High"/>
  </r>
  <r>
    <n v="60"/>
    <s v="Female"/>
    <n v="39.615000000000002"/>
    <n v="3"/>
    <s v="No"/>
    <s v="Southeast"/>
    <n v="37829.724199999997"/>
    <s v="Older"/>
    <s v="46-60"/>
    <x v="3"/>
    <s v="High"/>
  </r>
  <r>
    <n v="60"/>
    <s v="Male"/>
    <n v="39.700000000000003"/>
    <n v="3"/>
    <s v="No"/>
    <s v="Northwest"/>
    <n v="38126.246500000001"/>
    <s v="Older"/>
    <s v="46-60"/>
    <x v="3"/>
    <s v="High"/>
  </r>
  <r>
    <n v="60"/>
    <s v="Female"/>
    <n v="39.700000000000003"/>
    <n v="3"/>
    <s v="No"/>
    <s v="Northeast"/>
    <n v="38245.593269999998"/>
    <s v="Older"/>
    <s v="46-60"/>
    <x v="3"/>
    <s v="High"/>
  </r>
  <r>
    <n v="60"/>
    <s v="Female"/>
    <n v="39.71"/>
    <n v="3"/>
    <s v="No"/>
    <s v="Northwest"/>
    <n v="38282.749499999998"/>
    <s v="Older"/>
    <s v="46-60"/>
    <x v="3"/>
    <s v="High"/>
  </r>
  <r>
    <n v="60"/>
    <s v="Male"/>
    <n v="39.799999999999997"/>
    <n v="3"/>
    <s v="No"/>
    <s v="Northeast"/>
    <n v="38344.565999999999"/>
    <s v="Older"/>
    <s v="46-60"/>
    <x v="3"/>
    <s v="High"/>
  </r>
  <r>
    <n v="60"/>
    <s v="Female"/>
    <n v="39.805"/>
    <n v="3"/>
    <s v="No"/>
    <s v="Southeast"/>
    <n v="38415.474000000002"/>
    <s v="Older"/>
    <s v="46-60"/>
    <x v="3"/>
    <s v="High"/>
  </r>
  <r>
    <n v="60"/>
    <s v="Male"/>
    <n v="39.805"/>
    <n v="3"/>
    <s v="Yes"/>
    <s v="Southeast"/>
    <n v="38511.628299999997"/>
    <s v="Older"/>
    <s v="46-60"/>
    <x v="3"/>
    <s v="High"/>
  </r>
  <r>
    <n v="60"/>
    <s v="Male"/>
    <n v="39.82"/>
    <n v="3"/>
    <s v="Yes"/>
    <s v="Southeast"/>
    <n v="38709.175999999999"/>
    <s v="Older"/>
    <s v="46-60"/>
    <x v="3"/>
    <s v="High"/>
  </r>
  <r>
    <n v="60"/>
    <s v="Female"/>
    <n v="39.82"/>
    <n v="3"/>
    <s v="No"/>
    <s v="Northwest"/>
    <n v="38711"/>
    <s v="Older"/>
    <s v="46-60"/>
    <x v="3"/>
    <s v="High"/>
  </r>
  <r>
    <n v="60"/>
    <s v="Female"/>
    <n v="39.82"/>
    <n v="3"/>
    <s v="No"/>
    <s v="Southeast"/>
    <n v="38746.355100000001"/>
    <s v="Older"/>
    <s v="46-60"/>
    <x v="3"/>
    <s v="High"/>
  </r>
  <r>
    <n v="60"/>
    <s v="Male"/>
    <n v="39.9"/>
    <n v="3"/>
    <s v="No"/>
    <s v="Southeast"/>
    <n v="38792.685599999997"/>
    <s v="Older"/>
    <s v="46-60"/>
    <x v="3"/>
    <s v="High"/>
  </r>
  <r>
    <n v="60"/>
    <s v="Male"/>
    <n v="39.93"/>
    <n v="3"/>
    <s v="No"/>
    <s v="Southwest"/>
    <n v="38998.546000000002"/>
    <s v="Older"/>
    <s v="46-60"/>
    <x v="3"/>
    <s v="High"/>
  </r>
  <r>
    <n v="60"/>
    <s v="Female"/>
    <n v="39.994999999999997"/>
    <n v="3"/>
    <s v="No"/>
    <s v="Southwest"/>
    <n v="39047.285000000003"/>
    <s v="Older"/>
    <s v="46-60"/>
    <x v="3"/>
    <s v="High"/>
  </r>
  <r>
    <n v="61"/>
    <s v="Male"/>
    <n v="40.15"/>
    <n v="3"/>
    <s v="No"/>
    <s v="Southwest"/>
    <n v="39125.332249999999"/>
    <s v="Older"/>
    <s v="60+"/>
    <x v="3"/>
    <s v="High"/>
  </r>
  <r>
    <n v="61"/>
    <s v="Female"/>
    <n v="40.15"/>
    <n v="3"/>
    <s v="No"/>
    <s v="Southeast"/>
    <n v="39241.442000000003"/>
    <s v="Older"/>
    <s v="60+"/>
    <x v="3"/>
    <s v="High"/>
  </r>
  <r>
    <n v="61"/>
    <s v="Male"/>
    <n v="40.15"/>
    <n v="3"/>
    <s v="Yes"/>
    <s v="Northeast"/>
    <n v="39556.494500000001"/>
    <s v="Older"/>
    <s v="60+"/>
    <x v="3"/>
    <s v="High"/>
  </r>
  <r>
    <n v="61"/>
    <s v="Male"/>
    <n v="40.185000000000002"/>
    <n v="3"/>
    <s v="Yes"/>
    <s v="Northeast"/>
    <n v="39597.407200000001"/>
    <s v="Older"/>
    <s v="60+"/>
    <x v="3"/>
    <s v="High"/>
  </r>
  <r>
    <n v="61"/>
    <s v="Male"/>
    <n v="40.185000000000002"/>
    <n v="3"/>
    <s v="No"/>
    <s v="Southwest"/>
    <n v="39611.757700000002"/>
    <s v="Older"/>
    <s v="60+"/>
    <x v="3"/>
    <s v="High"/>
  </r>
  <r>
    <n v="61"/>
    <s v="Male"/>
    <n v="40.26"/>
    <n v="3"/>
    <s v="Yes"/>
    <s v="Southwest"/>
    <n v="39722.746200000001"/>
    <s v="Older"/>
    <s v="60+"/>
    <x v="3"/>
    <s v="High"/>
  </r>
  <r>
    <n v="61"/>
    <s v="Female"/>
    <n v="40.26"/>
    <n v="3"/>
    <s v="No"/>
    <s v="Southwest"/>
    <n v="39725.518049999999"/>
    <s v="Older"/>
    <s v="60+"/>
    <x v="3"/>
    <s v="High"/>
  </r>
  <r>
    <n v="61"/>
    <s v="Female"/>
    <n v="40.28"/>
    <n v="3"/>
    <s v="No"/>
    <s v="Southeast"/>
    <n v="39727.614000000001"/>
    <s v="Older"/>
    <s v="60+"/>
    <x v="3"/>
    <s v="High"/>
  </r>
  <r>
    <n v="61"/>
    <s v="Female"/>
    <n v="40.28"/>
    <n v="3"/>
    <s v="No"/>
    <s v="Southwest"/>
    <n v="39774.276299999998"/>
    <s v="Older"/>
    <s v="60+"/>
    <x v="3"/>
    <s v="High"/>
  </r>
  <r>
    <n v="61"/>
    <s v="Female"/>
    <n v="40.299999999999997"/>
    <n v="3"/>
    <s v="No"/>
    <s v="Northwest"/>
    <n v="39836.519"/>
    <s v="Older"/>
    <s v="60+"/>
    <x v="3"/>
    <s v="High"/>
  </r>
  <r>
    <n v="61"/>
    <s v="Female"/>
    <n v="40.369999999999997"/>
    <n v="3"/>
    <s v="No"/>
    <s v="Northwest"/>
    <n v="39871.704299999998"/>
    <s v="Older"/>
    <s v="60+"/>
    <x v="3"/>
    <s v="High"/>
  </r>
  <r>
    <n v="61"/>
    <s v="Male"/>
    <n v="40.369999999999997"/>
    <n v="3"/>
    <s v="No"/>
    <s v="Northwest"/>
    <n v="39983.425949999997"/>
    <s v="Older"/>
    <s v="60+"/>
    <x v="3"/>
    <s v="High"/>
  </r>
  <r>
    <n v="61"/>
    <s v="Female"/>
    <n v="40.375"/>
    <n v="3"/>
    <s v="No"/>
    <s v="Northeast"/>
    <n v="40003.332249999999"/>
    <s v="Older"/>
    <s v="60+"/>
    <x v="3"/>
    <s v="High"/>
  </r>
  <r>
    <n v="61"/>
    <s v="Female"/>
    <n v="40.47"/>
    <n v="3"/>
    <s v="No"/>
    <s v="Northeast"/>
    <n v="40103.89"/>
    <s v="Older"/>
    <s v="60+"/>
    <x v="3"/>
    <s v="High"/>
  </r>
  <r>
    <n v="61"/>
    <s v="Male"/>
    <n v="40.479999999999997"/>
    <n v="3"/>
    <s v="No"/>
    <s v="Southwest"/>
    <n v="40182.245999999999"/>
    <s v="Older"/>
    <s v="60+"/>
    <x v="3"/>
    <s v="High"/>
  </r>
  <r>
    <n v="61"/>
    <s v="Female"/>
    <n v="40.5"/>
    <n v="3"/>
    <s v="No"/>
    <s v="Southeast"/>
    <n v="40273.645499999999"/>
    <s v="Older"/>
    <s v="60+"/>
    <x v="3"/>
    <s v="High"/>
  </r>
  <r>
    <n v="61"/>
    <s v="Female"/>
    <n v="40.564999999999998"/>
    <n v="3"/>
    <s v="No"/>
    <s v="Southwest"/>
    <n v="40419.019099999998"/>
    <s v="Older"/>
    <s v="60+"/>
    <x v="3"/>
    <s v="High"/>
  </r>
  <r>
    <n v="61"/>
    <s v="Female"/>
    <n v="40.564999999999998"/>
    <n v="3"/>
    <s v="No"/>
    <s v="Northeast"/>
    <n v="40720.551050000002"/>
    <s v="Older"/>
    <s v="60+"/>
    <x v="3"/>
    <s v="High"/>
  </r>
  <r>
    <n v="61"/>
    <s v="Male"/>
    <n v="40.564999999999998"/>
    <n v="3"/>
    <s v="Yes"/>
    <s v="Southeast"/>
    <n v="40904.199500000002"/>
    <s v="Older"/>
    <s v="60+"/>
    <x v="3"/>
    <s v="High"/>
  </r>
  <r>
    <n v="61"/>
    <s v="Female"/>
    <n v="40.659999999999997"/>
    <n v="3"/>
    <s v="No"/>
    <s v="Southwest"/>
    <n v="40932.429499999998"/>
    <s v="Older"/>
    <s v="60+"/>
    <x v="3"/>
    <s v="High"/>
  </r>
  <r>
    <n v="61"/>
    <s v="Male"/>
    <n v="40.81"/>
    <n v="3"/>
    <s v="Yes"/>
    <s v="Northeast"/>
    <n v="40941.285400000001"/>
    <s v="Older"/>
    <s v="60+"/>
    <x v="3"/>
    <s v="High"/>
  </r>
  <r>
    <n v="61"/>
    <s v="Female"/>
    <n v="40.92"/>
    <n v="3"/>
    <s v="No"/>
    <s v="Southwest"/>
    <n v="40974.164900000003"/>
    <s v="Older"/>
    <s v="60+"/>
    <x v="3"/>
    <s v="High"/>
  </r>
  <r>
    <n v="61"/>
    <s v="Male"/>
    <n v="40.945"/>
    <n v="3"/>
    <s v="No"/>
    <s v="Southwest"/>
    <n v="41034.221400000002"/>
    <s v="Older"/>
    <s v="60+"/>
    <x v="3"/>
    <s v="High"/>
  </r>
  <r>
    <n v="62"/>
    <s v="Male"/>
    <n v="41.1"/>
    <n v="3"/>
    <s v="No"/>
    <s v="Northwest"/>
    <n v="41097.161749999999"/>
    <s v="Older"/>
    <s v="60+"/>
    <x v="3"/>
    <s v="High"/>
  </r>
  <r>
    <n v="62"/>
    <s v="Female"/>
    <n v="41.14"/>
    <n v="3"/>
    <s v="No"/>
    <s v="Northwest"/>
    <n v="41661.601999999999"/>
    <s v="Older"/>
    <s v="60+"/>
    <x v="3"/>
    <s v="High"/>
  </r>
  <r>
    <n v="62"/>
    <s v="Male"/>
    <n v="41.14"/>
    <n v="3"/>
    <s v="No"/>
    <s v="Southeast"/>
    <n v="41676.081100000003"/>
    <s v="Older"/>
    <s v="60+"/>
    <x v="3"/>
    <s v="High"/>
  </r>
  <r>
    <n v="62"/>
    <s v="Male"/>
    <n v="41.23"/>
    <n v="3"/>
    <s v="No"/>
    <s v="Southeast"/>
    <n v="41919.097000000002"/>
    <s v="Older"/>
    <s v="60+"/>
    <x v="3"/>
    <s v="High"/>
  </r>
  <r>
    <n v="62"/>
    <s v="Male"/>
    <n v="41.23"/>
    <n v="3"/>
    <s v="Yes"/>
    <s v="Southeast"/>
    <n v="41949.244100000004"/>
    <s v="Older"/>
    <s v="60+"/>
    <x v="3"/>
    <s v="High"/>
  </r>
  <r>
    <n v="62"/>
    <s v="Male"/>
    <n v="41.325000000000003"/>
    <n v="3"/>
    <s v="No"/>
    <s v="Southwest"/>
    <n v="41999.519999999997"/>
    <s v="Older"/>
    <s v="60+"/>
    <x v="3"/>
    <s v="High"/>
  </r>
  <r>
    <n v="62"/>
    <s v="Female"/>
    <n v="41.325000000000003"/>
    <n v="3"/>
    <s v="No"/>
    <s v="Northeast"/>
    <n v="42111.664700000001"/>
    <s v="Older"/>
    <s v="60+"/>
    <x v="3"/>
    <s v="High"/>
  </r>
  <r>
    <n v="62"/>
    <s v="Female"/>
    <n v="41.325000000000003"/>
    <n v="3"/>
    <s v="No"/>
    <s v="Northwest"/>
    <n v="42112.2356"/>
    <s v="Older"/>
    <s v="60+"/>
    <x v="3"/>
    <s v="High"/>
  </r>
  <r>
    <n v="62"/>
    <s v="Male"/>
    <n v="41.42"/>
    <n v="3"/>
    <s v="Yes"/>
    <s v="Northeast"/>
    <n v="42124.515299999999"/>
    <s v="Older"/>
    <s v="60+"/>
    <x v="3"/>
    <s v="High"/>
  </r>
  <r>
    <n v="62"/>
    <s v="Female"/>
    <n v="41.47"/>
    <n v="3"/>
    <s v="No"/>
    <s v="Northwest"/>
    <n v="42211.138200000001"/>
    <s v="Older"/>
    <s v="60+"/>
    <x v="3"/>
    <s v="High"/>
  </r>
  <r>
    <n v="62"/>
    <s v="Female"/>
    <n v="41.47"/>
    <n v="3"/>
    <s v="No"/>
    <s v="Southeast"/>
    <n v="42303.692150000003"/>
    <s v="Older"/>
    <s v="60+"/>
    <x v="3"/>
    <s v="High"/>
  </r>
  <r>
    <n v="62"/>
    <s v="Female"/>
    <n v="41.47"/>
    <n v="3"/>
    <s v="Yes"/>
    <s v="Northwest"/>
    <n v="42560.430399999997"/>
    <s v="Older"/>
    <s v="60+"/>
    <x v="3"/>
    <s v="High"/>
  </r>
  <r>
    <n v="62"/>
    <s v="Female"/>
    <n v="41.69"/>
    <n v="3"/>
    <s v="Yes"/>
    <s v="Northeast"/>
    <n v="42760.502200000003"/>
    <s v="Older"/>
    <s v="60+"/>
    <x v="3"/>
    <s v="High"/>
  </r>
  <r>
    <n v="62"/>
    <s v="Male"/>
    <n v="41.8"/>
    <n v="3"/>
    <s v="No"/>
    <s v="Southeast"/>
    <n v="42856.838000000003"/>
    <s v="Older"/>
    <s v="60+"/>
    <x v="3"/>
    <s v="High"/>
  </r>
  <r>
    <n v="62"/>
    <s v="Male"/>
    <n v="41.8"/>
    <n v="3"/>
    <s v="Yes"/>
    <s v="Southwest"/>
    <n v="42969.852700000003"/>
    <s v="Older"/>
    <s v="60+"/>
    <x v="3"/>
    <s v="High"/>
  </r>
  <r>
    <n v="62"/>
    <s v="Female"/>
    <n v="41.895000000000003"/>
    <n v="3"/>
    <s v="No"/>
    <s v="Northeast"/>
    <n v="42983.458500000001"/>
    <s v="Older"/>
    <s v="60+"/>
    <x v="3"/>
    <s v="High"/>
  </r>
  <r>
    <n v="62"/>
    <s v="Female"/>
    <n v="41.91"/>
    <n v="3"/>
    <s v="No"/>
    <s v="Northeast"/>
    <n v="43254.417950000003"/>
    <s v="Older"/>
    <s v="60+"/>
    <x v="3"/>
    <s v="High"/>
  </r>
  <r>
    <n v="62"/>
    <s v="Female"/>
    <n v="41.91"/>
    <n v="3"/>
    <s v="No"/>
    <s v="Southwest"/>
    <n v="43578.939400000003"/>
    <s v="Older"/>
    <s v="60+"/>
    <x v="3"/>
    <s v="High"/>
  </r>
  <r>
    <n v="62"/>
    <s v="Male"/>
    <n v="41.91"/>
    <n v="3"/>
    <s v="Yes"/>
    <s v="Southwest"/>
    <n v="43753.337050000002"/>
    <s v="Older"/>
    <s v="60+"/>
    <x v="3"/>
    <s v="High"/>
  </r>
  <r>
    <n v="62"/>
    <s v="Male"/>
    <n v="42.13"/>
    <n v="3"/>
    <s v="No"/>
    <s v="Southeast"/>
    <n v="43813.866099999999"/>
    <s v="Older"/>
    <s v="60+"/>
    <x v="3"/>
    <s v="High"/>
  </r>
  <r>
    <n v="62"/>
    <s v="Female"/>
    <n v="42.13"/>
    <n v="3"/>
    <s v="No"/>
    <s v="Northeast"/>
    <n v="43896.376300000004"/>
    <s v="Older"/>
    <s v="60+"/>
    <x v="3"/>
    <s v="High"/>
  </r>
  <r>
    <n v="62"/>
    <s v="Male"/>
    <n v="42.13"/>
    <n v="3"/>
    <s v="Yes"/>
    <s v="Southwest"/>
    <n v="43921.183700000001"/>
    <s v="Older"/>
    <s v="60+"/>
    <x v="3"/>
    <s v="High"/>
  </r>
  <r>
    <n v="62"/>
    <s v="Male"/>
    <n v="42.13"/>
    <n v="3"/>
    <s v="No"/>
    <s v="Southeast"/>
    <n v="43943.876100000001"/>
    <s v="Older"/>
    <s v="60+"/>
    <x v="3"/>
    <s v="High"/>
  </r>
  <r>
    <n v="63"/>
    <s v="Male"/>
    <n v="42.24"/>
    <n v="3"/>
    <s v="No"/>
    <s v="Northwest"/>
    <n v="44202.653599999998"/>
    <s v="Older"/>
    <s v="60+"/>
    <x v="3"/>
    <s v="High"/>
  </r>
  <r>
    <n v="63"/>
    <s v="Male"/>
    <n v="42.35"/>
    <n v="3"/>
    <s v="No"/>
    <s v="Northeast"/>
    <n v="44260.749900000003"/>
    <s v="Older"/>
    <s v="60+"/>
    <x v="3"/>
    <s v="High"/>
  </r>
  <r>
    <n v="63"/>
    <s v="Male"/>
    <n v="42.4"/>
    <n v="4"/>
    <s v="No"/>
    <s v="Southwest"/>
    <n v="44400.4064"/>
    <s v="Older"/>
    <s v="60+"/>
    <x v="3"/>
    <s v="High"/>
  </r>
  <r>
    <n v="63"/>
    <s v="Male"/>
    <n v="42.4"/>
    <n v="4"/>
    <s v="No"/>
    <s v="Northeast"/>
    <n v="44423.803"/>
    <s v="Older"/>
    <s v="60+"/>
    <x v="3"/>
    <s v="High"/>
  </r>
  <r>
    <n v="63"/>
    <s v="Female"/>
    <n v="42.46"/>
    <n v="4"/>
    <s v="No"/>
    <s v="Southeast"/>
    <n v="44501.398200000003"/>
    <s v="Older"/>
    <s v="60+"/>
    <x v="3"/>
    <s v="High"/>
  </r>
  <r>
    <n v="63"/>
    <s v="Male"/>
    <n v="42.655000000000001"/>
    <n v="4"/>
    <s v="No"/>
    <s v="Northwest"/>
    <n v="44585.455869999998"/>
    <s v="Older"/>
    <s v="60+"/>
    <x v="3"/>
    <s v="High"/>
  </r>
  <r>
    <n v="63"/>
    <s v="Female"/>
    <n v="42.68"/>
    <n v="4"/>
    <s v="No"/>
    <s v="Northwest"/>
    <n v="44641.197399999997"/>
    <s v="Older"/>
    <s v="60+"/>
    <x v="3"/>
    <s v="High"/>
  </r>
  <r>
    <n v="63"/>
    <s v="Male"/>
    <n v="42.75"/>
    <n v="4"/>
    <s v="Yes"/>
    <s v="Southeast"/>
    <n v="45008.955499999996"/>
    <s v="Older"/>
    <s v="60+"/>
    <x v="3"/>
    <s v="High"/>
  </r>
  <r>
    <n v="63"/>
    <s v="Male"/>
    <n v="42.9"/>
    <n v="4"/>
    <s v="Yes"/>
    <s v="Northwest"/>
    <n v="45702.022349999999"/>
    <s v="Older"/>
    <s v="60+"/>
    <x v="3"/>
    <s v="High"/>
  </r>
  <r>
    <n v="63"/>
    <s v="Female"/>
    <n v="42.9"/>
    <n v="4"/>
    <s v="No"/>
    <s v="Southwest"/>
    <n v="45710.207849999999"/>
    <s v="Older"/>
    <s v="60+"/>
    <x v="3"/>
    <s v="High"/>
  </r>
  <r>
    <n v="63"/>
    <s v="Male"/>
    <n v="42.94"/>
    <n v="4"/>
    <s v="Yes"/>
    <s v="Southwest"/>
    <n v="45863.205000000002"/>
    <s v="Older"/>
    <s v="60+"/>
    <x v="3"/>
    <s v="High"/>
  </r>
  <r>
    <n v="63"/>
    <s v="Male"/>
    <n v="43.01"/>
    <n v="4"/>
    <s v="Yes"/>
    <s v="Northeast"/>
    <n v="46113.510999999999"/>
    <s v="Older"/>
    <s v="60+"/>
    <x v="3"/>
    <s v="High"/>
  </r>
  <r>
    <n v="63"/>
    <s v="Female"/>
    <n v="43.12"/>
    <n v="4"/>
    <s v="No"/>
    <s v="Southeast"/>
    <n v="46130.5265"/>
    <s v="Older"/>
    <s v="60+"/>
    <x v="3"/>
    <s v="High"/>
  </r>
  <r>
    <n v="63"/>
    <s v="Female"/>
    <n v="43.34"/>
    <n v="4"/>
    <s v="Yes"/>
    <s v="Northeast"/>
    <n v="46151.124499999998"/>
    <s v="Older"/>
    <s v="60+"/>
    <x v="3"/>
    <s v="High"/>
  </r>
  <r>
    <n v="63"/>
    <s v="Male"/>
    <n v="43.4"/>
    <n v="4"/>
    <s v="Yes"/>
    <s v="Northwest"/>
    <n v="46200.985099999998"/>
    <s v="Older"/>
    <s v="60+"/>
    <x v="3"/>
    <s v="High"/>
  </r>
  <r>
    <n v="63"/>
    <s v="Female"/>
    <n v="43.7"/>
    <n v="4"/>
    <s v="Yes"/>
    <s v="Southwest"/>
    <n v="46255.112500000003"/>
    <s v="Older"/>
    <s v="60+"/>
    <x v="3"/>
    <s v="High"/>
  </r>
  <r>
    <n v="63"/>
    <s v="Male"/>
    <n v="43.89"/>
    <n v="4"/>
    <s v="No"/>
    <s v="Southwest"/>
    <n v="46599.108399999997"/>
    <s v="Older"/>
    <s v="60+"/>
    <x v="3"/>
    <s v="High"/>
  </r>
  <r>
    <n v="63"/>
    <s v="Male"/>
    <n v="43.89"/>
    <n v="4"/>
    <s v="No"/>
    <s v="Northwest"/>
    <n v="46661.4424"/>
    <s v="Older"/>
    <s v="60+"/>
    <x v="3"/>
    <s v="High"/>
  </r>
  <r>
    <n v="63"/>
    <s v="Female"/>
    <n v="44"/>
    <n v="4"/>
    <s v="No"/>
    <s v="Northwest"/>
    <n v="46718.163249999998"/>
    <s v="Older"/>
    <s v="60+"/>
    <x v="3"/>
    <s v="High"/>
  </r>
  <r>
    <n v="63"/>
    <s v="Male"/>
    <n v="44.22"/>
    <n v="4"/>
    <s v="No"/>
    <s v="Southwest"/>
    <n v="46889.261200000001"/>
    <s v="Older"/>
    <s v="60+"/>
    <x v="3"/>
    <s v="High"/>
  </r>
  <r>
    <n v="63"/>
    <s v="Female"/>
    <n v="44.22"/>
    <n v="4"/>
    <s v="Yes"/>
    <s v="Southwest"/>
    <n v="47055.532099999997"/>
    <s v="Older"/>
    <s v="60+"/>
    <x v="3"/>
    <s v="High"/>
  </r>
  <r>
    <n v="63"/>
    <s v="Female"/>
    <n v="44.7"/>
    <n v="4"/>
    <s v="Yes"/>
    <s v="Northwest"/>
    <n v="47269.853999999999"/>
    <s v="Older"/>
    <s v="60+"/>
    <x v="3"/>
    <s v="High"/>
  </r>
  <r>
    <n v="63"/>
    <s v="Male"/>
    <n v="44.744999999999997"/>
    <n v="4"/>
    <s v="No"/>
    <s v="Northeast"/>
    <n v="47291.055"/>
    <s v="Older"/>
    <s v="60+"/>
    <x v="3"/>
    <s v="High"/>
  </r>
  <r>
    <n v="64"/>
    <s v="Female"/>
    <n v="44.77"/>
    <n v="4"/>
    <s v="No"/>
    <s v="Southwest"/>
    <n v="47305.305"/>
    <s v="Older"/>
    <s v="60+"/>
    <x v="3"/>
    <s v="High"/>
  </r>
  <r>
    <n v="64"/>
    <s v="Male"/>
    <n v="44.88"/>
    <n v="4"/>
    <s v="No"/>
    <s v="Southeast"/>
    <n v="47403.88"/>
    <s v="Older"/>
    <s v="60+"/>
    <x v="3"/>
    <s v="High"/>
  </r>
  <r>
    <n v="64"/>
    <s v="Male"/>
    <n v="45.32"/>
    <n v="4"/>
    <s v="No"/>
    <s v="Northeast"/>
    <n v="47462.894"/>
    <s v="Older"/>
    <s v="60+"/>
    <x v="3"/>
    <s v="High"/>
  </r>
  <r>
    <n v="64"/>
    <s v="Female"/>
    <n v="45.43"/>
    <n v="4"/>
    <s v="No"/>
    <s v="Northwest"/>
    <n v="47496.494449999998"/>
    <s v="Older"/>
    <s v="60+"/>
    <x v="3"/>
    <s v="High"/>
  </r>
  <r>
    <n v="64"/>
    <s v="Male"/>
    <n v="45.54"/>
    <n v="5"/>
    <s v="No"/>
    <s v="Northwest"/>
    <n v="47896.79135"/>
    <s v="Older"/>
    <s v="60+"/>
    <x v="3"/>
    <s v="High"/>
  </r>
  <r>
    <n v="64"/>
    <s v="Male"/>
    <n v="45.9"/>
    <n v="5"/>
    <s v="Yes"/>
    <s v="Northeast"/>
    <n v="47928.03"/>
    <s v="Older"/>
    <s v="60+"/>
    <x v="3"/>
    <s v="High"/>
  </r>
  <r>
    <n v="64"/>
    <s v="Male"/>
    <n v="46.09"/>
    <n v="5"/>
    <s v="No"/>
    <s v="Southeast"/>
    <n v="48173.360999999997"/>
    <s v="Older"/>
    <s v="60+"/>
    <x v="3"/>
    <s v="High"/>
  </r>
  <r>
    <n v="64"/>
    <s v="Female"/>
    <n v="46.2"/>
    <n v="5"/>
    <s v="Yes"/>
    <s v="Southeast"/>
    <n v="48517.563150000002"/>
    <s v="Older"/>
    <s v="60+"/>
    <x v="3"/>
    <s v="High"/>
  </r>
  <r>
    <n v="64"/>
    <s v="Male"/>
    <n v="46.53"/>
    <n v="5"/>
    <s v="No"/>
    <s v="Northwest"/>
    <n v="48549.178350000002"/>
    <s v="Older"/>
    <s v="60+"/>
    <x v="3"/>
    <s v="High"/>
  </r>
  <r>
    <n v="64"/>
    <s v="Male"/>
    <n v="46.53"/>
    <n v="5"/>
    <s v="No"/>
    <s v="Northeast"/>
    <n v="48673.558799999999"/>
    <s v="Older"/>
    <s v="60+"/>
    <x v="3"/>
    <s v="High"/>
  </r>
  <r>
    <n v="64"/>
    <s v="Female"/>
    <n v="46.53"/>
    <n v="5"/>
    <s v="No"/>
    <s v="Northeast"/>
    <n v="48675.517699999997"/>
    <s v="Older"/>
    <s v="60+"/>
    <x v="3"/>
    <s v="High"/>
  </r>
  <r>
    <n v="64"/>
    <s v="Male"/>
    <n v="46.7"/>
    <n v="5"/>
    <s v="No"/>
    <s v="Southeast"/>
    <n v="48824.45"/>
    <s v="Older"/>
    <s v="60+"/>
    <x v="3"/>
    <s v="High"/>
  </r>
  <r>
    <n v="64"/>
    <s v="Female"/>
    <n v="46.75"/>
    <n v="5"/>
    <s v="No"/>
    <s v="Northeast"/>
    <n v="48885.135609999998"/>
    <s v="Older"/>
    <s v="60+"/>
    <x v="3"/>
    <s v="High"/>
  </r>
  <r>
    <n v="64"/>
    <s v="Male"/>
    <n v="47.41"/>
    <n v="5"/>
    <s v="No"/>
    <s v="Southwest"/>
    <n v="48970.247600000002"/>
    <s v="Older"/>
    <s v="60+"/>
    <x v="3"/>
    <s v="High"/>
  </r>
  <r>
    <n v="64"/>
    <s v="Female"/>
    <n v="47.52"/>
    <n v="5"/>
    <s v="No"/>
    <s v="Southeast"/>
    <n v="49577.662400000001"/>
    <s v="Older"/>
    <s v="60+"/>
    <x v="3"/>
    <s v="High"/>
  </r>
  <r>
    <n v="64"/>
    <s v="Female"/>
    <n v="47.6"/>
    <n v="5"/>
    <s v="No"/>
    <s v="Southwest"/>
    <n v="51194.559139999998"/>
    <s v="Older"/>
    <s v="60+"/>
    <x v="3"/>
    <s v="High"/>
  </r>
  <r>
    <n v="64"/>
    <s v="Female"/>
    <n v="47.74"/>
    <n v="5"/>
    <s v="No"/>
    <s v="Southwest"/>
    <n v="52590.829389999999"/>
    <s v="Older"/>
    <s v="60+"/>
    <x v="3"/>
    <s v="High"/>
  </r>
  <r>
    <n v="64"/>
    <s v="Male"/>
    <n v="48.07"/>
    <n v="5"/>
    <s v="No"/>
    <s v="Northwest"/>
    <n v="55135.402090000003"/>
    <s v="Older"/>
    <s v="60+"/>
    <x v="3"/>
    <s v="High"/>
  </r>
  <r>
    <n v="64"/>
    <s v="Female"/>
    <n v="49.06"/>
    <n v="5"/>
    <s v="No"/>
    <s v="Northeast"/>
    <n v="58571.074480000003"/>
    <s v="Older"/>
    <s v="60+"/>
    <x v="3"/>
    <s v="High"/>
  </r>
  <r>
    <n v="64"/>
    <s v="Female"/>
    <n v="50.38"/>
    <n v="5"/>
    <s v="No"/>
    <s v="Southeast"/>
    <n v="60021.398970000002"/>
    <s v="Older"/>
    <s v="60+"/>
    <x v="3"/>
    <s v="High"/>
  </r>
  <r>
    <n v="64"/>
    <s v="Female"/>
    <n v="52.58"/>
    <n v="5"/>
    <s v="No"/>
    <s v="Southwest"/>
    <n v="62592.873090000001"/>
    <s v="Older"/>
    <s v="60+"/>
    <x v="3"/>
    <s v="High"/>
  </r>
  <r>
    <n v="64"/>
    <s v="Female"/>
    <n v="53.13"/>
    <n v="5"/>
    <s v="Yes"/>
    <s v="Northwest"/>
    <n v="63770.428010000003"/>
    <s v="Older"/>
    <s v="60+"/>
    <x v="3"/>
    <s v="Hig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0FA715-7306-4DA2-86E7-1B96F18F2591}"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BMI category">
  <location ref="A3:B8" firstHeaderRow="1" firstDataRow="1" firstDataCol="1"/>
  <pivotFields count="11">
    <pivotField showAll="0"/>
    <pivotField showAll="0"/>
    <pivotField showAll="0"/>
    <pivotField showAll="0"/>
    <pivotField showAll="0"/>
    <pivotField showAll="0"/>
    <pivotField dataField="1" numFmtId="164" showAll="0"/>
    <pivotField showAll="0"/>
    <pivotField showAll="0"/>
    <pivotField axis="axisRow" showAll="0" sortType="descending">
      <items count="5">
        <item x="1"/>
        <item x="3"/>
        <item x="2"/>
        <item x="0"/>
        <item t="default"/>
      </items>
      <autoSortScope>
        <pivotArea dataOnly="0" outline="0" fieldPosition="0">
          <references count="1">
            <reference field="4294967294" count="1" selected="0">
              <x v="0"/>
            </reference>
          </references>
        </pivotArea>
      </autoSortScope>
    </pivotField>
    <pivotField showAll="0"/>
  </pivotFields>
  <rowFields count="1">
    <field x="9"/>
  </rowFields>
  <rowItems count="5">
    <i>
      <x v="1"/>
    </i>
    <i>
      <x v="2"/>
    </i>
    <i>
      <x/>
    </i>
    <i>
      <x v="3"/>
    </i>
    <i t="grand">
      <x/>
    </i>
  </rowItems>
  <colItems count="1">
    <i/>
  </colItems>
  <dataFields count="1">
    <dataField name="Average of charges" fld="6" subtotal="average" baseField="9" baseItem="0" numFmtId="164"/>
  </dataFields>
  <formats count="2">
    <format dxfId="15">
      <pivotArea outline="0" collapsedLevelsAreSubtotals="1" fieldPosition="0"/>
    </format>
    <format dxfId="14">
      <pivotArea dataOnly="0" labelOnly="1" outline="0" axis="axisValues" fieldPosition="0"/>
    </format>
  </formats>
  <chartFormats count="22">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9" count="1" selected="0">
            <x v="1"/>
          </reference>
        </references>
      </pivotArea>
    </chartFormat>
    <chartFormat chart="7" format="2">
      <pivotArea type="data" outline="0" fieldPosition="0">
        <references count="2">
          <reference field="4294967294" count="1" selected="0">
            <x v="0"/>
          </reference>
          <reference field="9" count="1" selected="0">
            <x v="2"/>
          </reference>
        </references>
      </pivotArea>
    </chartFormat>
    <chartFormat chart="7" format="3">
      <pivotArea type="data" outline="0" fieldPosition="0">
        <references count="2">
          <reference field="4294967294" count="1" selected="0">
            <x v="0"/>
          </reference>
          <reference field="9" count="1" selected="0">
            <x v="0"/>
          </reference>
        </references>
      </pivotArea>
    </chartFormat>
    <chartFormat chart="7" format="4">
      <pivotArea type="data" outline="0" fieldPosition="0">
        <references count="2">
          <reference field="4294967294" count="1" selected="0">
            <x v="0"/>
          </reference>
          <reference field="9" count="1" selected="0">
            <x v="3"/>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9" count="1" selected="0">
            <x v="1"/>
          </reference>
        </references>
      </pivotArea>
    </chartFormat>
    <chartFormat chart="11" format="12">
      <pivotArea type="data" outline="0" fieldPosition="0">
        <references count="2">
          <reference field="4294967294" count="1" selected="0">
            <x v="0"/>
          </reference>
          <reference field="9" count="1" selected="0">
            <x v="2"/>
          </reference>
        </references>
      </pivotArea>
    </chartFormat>
    <chartFormat chart="11" format="13">
      <pivotArea type="data" outline="0" fieldPosition="0">
        <references count="2">
          <reference field="4294967294" count="1" selected="0">
            <x v="0"/>
          </reference>
          <reference field="9" count="1" selected="0">
            <x v="0"/>
          </reference>
        </references>
      </pivotArea>
    </chartFormat>
    <chartFormat chart="11" format="14">
      <pivotArea type="data" outline="0" fieldPosition="0">
        <references count="2">
          <reference field="4294967294" count="1" selected="0">
            <x v="0"/>
          </reference>
          <reference field="9" count="1" selected="0">
            <x v="3"/>
          </reference>
        </references>
      </pivotArea>
    </chartFormat>
    <chartFormat chart="12" format="15" series="1">
      <pivotArea type="data" outline="0" fieldPosition="0">
        <references count="1">
          <reference field="4294967294" count="1" selected="0">
            <x v="0"/>
          </reference>
        </references>
      </pivotArea>
    </chartFormat>
    <chartFormat chart="12" format="16">
      <pivotArea type="data" outline="0" fieldPosition="0">
        <references count="2">
          <reference field="4294967294" count="1" selected="0">
            <x v="0"/>
          </reference>
          <reference field="9" count="1" selected="0">
            <x v="1"/>
          </reference>
        </references>
      </pivotArea>
    </chartFormat>
    <chartFormat chart="12" format="17">
      <pivotArea type="data" outline="0" fieldPosition="0">
        <references count="2">
          <reference field="4294967294" count="1" selected="0">
            <x v="0"/>
          </reference>
          <reference field="9" count="1" selected="0">
            <x v="2"/>
          </reference>
        </references>
      </pivotArea>
    </chartFormat>
    <chartFormat chart="12" format="18">
      <pivotArea type="data" outline="0" fieldPosition="0">
        <references count="2">
          <reference field="4294967294" count="1" selected="0">
            <x v="0"/>
          </reference>
          <reference field="9" count="1" selected="0">
            <x v="0"/>
          </reference>
        </references>
      </pivotArea>
    </chartFormat>
    <chartFormat chart="12" format="19">
      <pivotArea type="data" outline="0" fieldPosition="0">
        <references count="2">
          <reference field="4294967294" count="1" selected="0">
            <x v="0"/>
          </reference>
          <reference field="9" count="1" selected="0">
            <x v="3"/>
          </reference>
        </references>
      </pivotArea>
    </chartFormat>
    <chartFormat chart="13" format="20" series="1">
      <pivotArea type="data" outline="0" fieldPosition="0">
        <references count="1">
          <reference field="4294967294" count="1" selected="0">
            <x v="0"/>
          </reference>
        </references>
      </pivotArea>
    </chartFormat>
    <chartFormat chart="13" format="21">
      <pivotArea type="data" outline="0" fieldPosition="0">
        <references count="2">
          <reference field="4294967294" count="1" selected="0">
            <x v="0"/>
          </reference>
          <reference field="9" count="1" selected="0">
            <x v="1"/>
          </reference>
        </references>
      </pivotArea>
    </chartFormat>
    <chartFormat chart="13" format="22">
      <pivotArea type="data" outline="0" fieldPosition="0">
        <references count="2">
          <reference field="4294967294" count="1" selected="0">
            <x v="0"/>
          </reference>
          <reference field="9" count="1" selected="0">
            <x v="2"/>
          </reference>
        </references>
      </pivotArea>
    </chartFormat>
    <chartFormat chart="13" format="23">
      <pivotArea type="data" outline="0" fieldPosition="0">
        <references count="2">
          <reference field="4294967294" count="1" selected="0">
            <x v="0"/>
          </reference>
          <reference field="9" count="1" selected="0">
            <x v="0"/>
          </reference>
        </references>
      </pivotArea>
    </chartFormat>
    <chartFormat chart="13" format="24">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BFCE53-0079-46BC-8C9F-B53E7DFA12F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BMI category">
  <location ref="D23:E28" firstHeaderRow="1" firstDataRow="1" firstDataCol="1"/>
  <pivotFields count="11">
    <pivotField showAll="0"/>
    <pivotField showAll="0"/>
    <pivotField showAll="0"/>
    <pivotField showAll="0"/>
    <pivotField showAll="0"/>
    <pivotField showAll="0"/>
    <pivotField dataField="1" numFmtId="164" showAll="0"/>
    <pivotField showAll="0"/>
    <pivotField showAll="0"/>
    <pivotField axis="axisRow" showAll="0" sortType="descending">
      <items count="5">
        <item x="1"/>
        <item x="3"/>
        <item x="2"/>
        <item x="0"/>
        <item t="default"/>
      </items>
      <autoSortScope>
        <pivotArea dataOnly="0" outline="0" fieldPosition="0">
          <references count="1">
            <reference field="4294967294" count="1" selected="0">
              <x v="0"/>
            </reference>
          </references>
        </pivotArea>
      </autoSortScope>
    </pivotField>
    <pivotField showAll="0"/>
  </pivotFields>
  <rowFields count="1">
    <field x="9"/>
  </rowFields>
  <rowItems count="5">
    <i>
      <x v="1"/>
    </i>
    <i>
      <x v="2"/>
    </i>
    <i>
      <x/>
    </i>
    <i>
      <x v="3"/>
    </i>
    <i t="grand">
      <x/>
    </i>
  </rowItems>
  <colItems count="1">
    <i/>
  </colItems>
  <dataFields count="1">
    <dataField name="Average of charges" fld="6" subtotal="average" baseField="9" baseItem="0" numFmtId="164"/>
  </dataFields>
  <formats count="2">
    <format dxfId="1">
      <pivotArea outline="0" collapsedLevelsAreSubtotals="1" fieldPosition="0"/>
    </format>
    <format dxfId="0">
      <pivotArea dataOnly="0" labelOnly="1" outline="0" axis="axisValues" fieldPosition="0"/>
    </format>
  </formats>
  <chartFormats count="22">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9" count="1" selected="0">
            <x v="1"/>
          </reference>
        </references>
      </pivotArea>
    </chartFormat>
    <chartFormat chart="7" format="2">
      <pivotArea type="data" outline="0" fieldPosition="0">
        <references count="2">
          <reference field="4294967294" count="1" selected="0">
            <x v="0"/>
          </reference>
          <reference field="9" count="1" selected="0">
            <x v="2"/>
          </reference>
        </references>
      </pivotArea>
    </chartFormat>
    <chartFormat chart="7" format="3">
      <pivotArea type="data" outline="0" fieldPosition="0">
        <references count="2">
          <reference field="4294967294" count="1" selected="0">
            <x v="0"/>
          </reference>
          <reference field="9" count="1" selected="0">
            <x v="0"/>
          </reference>
        </references>
      </pivotArea>
    </chartFormat>
    <chartFormat chart="7" format="4">
      <pivotArea type="data" outline="0" fieldPosition="0">
        <references count="2">
          <reference field="4294967294" count="1" selected="0">
            <x v="0"/>
          </reference>
          <reference field="9" count="1" selected="0">
            <x v="3"/>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9" count="1" selected="0">
            <x v="1"/>
          </reference>
        </references>
      </pivotArea>
    </chartFormat>
    <chartFormat chart="11" format="12">
      <pivotArea type="data" outline="0" fieldPosition="0">
        <references count="2">
          <reference field="4294967294" count="1" selected="0">
            <x v="0"/>
          </reference>
          <reference field="9" count="1" selected="0">
            <x v="2"/>
          </reference>
        </references>
      </pivotArea>
    </chartFormat>
    <chartFormat chart="11" format="13">
      <pivotArea type="data" outline="0" fieldPosition="0">
        <references count="2">
          <reference field="4294967294" count="1" selected="0">
            <x v="0"/>
          </reference>
          <reference field="9" count="1" selected="0">
            <x v="0"/>
          </reference>
        </references>
      </pivotArea>
    </chartFormat>
    <chartFormat chart="11" format="14">
      <pivotArea type="data" outline="0" fieldPosition="0">
        <references count="2">
          <reference field="4294967294" count="1" selected="0">
            <x v="0"/>
          </reference>
          <reference field="9" count="1" selected="0">
            <x v="3"/>
          </reference>
        </references>
      </pivotArea>
    </chartFormat>
    <chartFormat chart="12" format="15" series="1">
      <pivotArea type="data" outline="0" fieldPosition="0">
        <references count="1">
          <reference field="4294967294" count="1" selected="0">
            <x v="0"/>
          </reference>
        </references>
      </pivotArea>
    </chartFormat>
    <chartFormat chart="12" format="16">
      <pivotArea type="data" outline="0" fieldPosition="0">
        <references count="2">
          <reference field="4294967294" count="1" selected="0">
            <x v="0"/>
          </reference>
          <reference field="9" count="1" selected="0">
            <x v="1"/>
          </reference>
        </references>
      </pivotArea>
    </chartFormat>
    <chartFormat chart="12" format="17">
      <pivotArea type="data" outline="0" fieldPosition="0">
        <references count="2">
          <reference field="4294967294" count="1" selected="0">
            <x v="0"/>
          </reference>
          <reference field="9" count="1" selected="0">
            <x v="2"/>
          </reference>
        </references>
      </pivotArea>
    </chartFormat>
    <chartFormat chart="12" format="18">
      <pivotArea type="data" outline="0" fieldPosition="0">
        <references count="2">
          <reference field="4294967294" count="1" selected="0">
            <x v="0"/>
          </reference>
          <reference field="9" count="1" selected="0">
            <x v="0"/>
          </reference>
        </references>
      </pivotArea>
    </chartFormat>
    <chartFormat chart="12" format="19">
      <pivotArea type="data" outline="0" fieldPosition="0">
        <references count="2">
          <reference field="4294967294" count="1" selected="0">
            <x v="0"/>
          </reference>
          <reference field="9" count="1" selected="0">
            <x v="3"/>
          </reference>
        </references>
      </pivotArea>
    </chartFormat>
    <chartFormat chart="13" format="20" series="1">
      <pivotArea type="data" outline="0" fieldPosition="0">
        <references count="1">
          <reference field="4294967294" count="1" selected="0">
            <x v="0"/>
          </reference>
        </references>
      </pivotArea>
    </chartFormat>
    <chartFormat chart="13" format="21">
      <pivotArea type="data" outline="0" fieldPosition="0">
        <references count="2">
          <reference field="4294967294" count="1" selected="0">
            <x v="0"/>
          </reference>
          <reference field="9" count="1" selected="0">
            <x v="1"/>
          </reference>
        </references>
      </pivotArea>
    </chartFormat>
    <chartFormat chart="13" format="22">
      <pivotArea type="data" outline="0" fieldPosition="0">
        <references count="2">
          <reference field="4294967294" count="1" selected="0">
            <x v="0"/>
          </reference>
          <reference field="9" count="1" selected="0">
            <x v="2"/>
          </reference>
        </references>
      </pivotArea>
    </chartFormat>
    <chartFormat chart="13" format="23">
      <pivotArea type="data" outline="0" fieldPosition="0">
        <references count="2">
          <reference field="4294967294" count="1" selected="0">
            <x v="0"/>
          </reference>
          <reference field="9" count="1" selected="0">
            <x v="0"/>
          </reference>
        </references>
      </pivotArea>
    </chartFormat>
    <chartFormat chart="13" format="24">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B20D1B-3862-46DF-A2B6-2E98A9212CDA}"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hildren">
  <location ref="D14:E21" firstHeaderRow="1" firstDataRow="1" firstDataCol="1"/>
  <pivotFields count="11">
    <pivotField showAll="0"/>
    <pivotField showAll="0">
      <items count="4">
        <item x="0"/>
        <item x="1"/>
        <item x="2"/>
        <item t="default"/>
      </items>
    </pivotField>
    <pivotField showAll="0"/>
    <pivotField axis="axisRow" showAll="0">
      <items count="8">
        <item x="0"/>
        <item x="1"/>
        <item x="2"/>
        <item x="3"/>
        <item x="4"/>
        <item x="5"/>
        <item h="1" x="6"/>
        <item t="default"/>
      </items>
    </pivotField>
    <pivotField showAll="0">
      <items count="4">
        <item x="1"/>
        <item x="0"/>
        <item x="2"/>
        <item t="default"/>
      </items>
    </pivotField>
    <pivotField showAll="0">
      <items count="6">
        <item x="3"/>
        <item x="2"/>
        <item x="1"/>
        <item x="0"/>
        <item x="4"/>
        <item t="default"/>
      </items>
    </pivotField>
    <pivotField dataField="1" showAll="0"/>
    <pivotField showAll="0">
      <items count="5">
        <item x="1"/>
        <item x="2"/>
        <item x="0"/>
        <item x="3"/>
        <item t="default"/>
      </items>
    </pivotField>
    <pivotField showAll="0"/>
    <pivotField showAll="0">
      <items count="3">
        <item x="0"/>
        <item x="1"/>
        <item t="default"/>
      </items>
    </pivotField>
    <pivotField showAll="0"/>
  </pivotFields>
  <rowFields count="1">
    <field x="3"/>
  </rowFields>
  <rowItems count="7">
    <i>
      <x/>
    </i>
    <i>
      <x v="1"/>
    </i>
    <i>
      <x v="2"/>
    </i>
    <i>
      <x v="3"/>
    </i>
    <i>
      <x v="4"/>
    </i>
    <i>
      <x v="5"/>
    </i>
    <i t="grand">
      <x/>
    </i>
  </rowItems>
  <colItems count="1">
    <i/>
  </colItems>
  <dataFields count="1">
    <dataField name="Average of charges" fld="6" subtotal="average" baseField="3" baseItem="0" numFmtId="164"/>
  </dataFields>
  <formats count="2">
    <format dxfId="3">
      <pivotArea outline="0" collapsedLevelsAreSubtotals="1" fieldPosition="0"/>
    </format>
    <format dxfId="2">
      <pivotArea dataOnly="0" labelOnly="1" outline="0" axis="axisValues" fieldPosition="0"/>
    </format>
  </format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64064F-CA75-4E82-A76E-F68043AF421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Sex">
  <location ref="D8:E12" firstHeaderRow="1" firstDataRow="1" firstDataCol="1"/>
  <pivotFields count="11">
    <pivotField showAll="0"/>
    <pivotField axis="axisRow" showAll="0">
      <items count="4">
        <item x="0"/>
        <item x="1"/>
        <item x="2"/>
        <item t="default"/>
      </items>
    </pivotField>
    <pivotField showAll="0"/>
    <pivotField showAll="0"/>
    <pivotField showAll="0">
      <items count="4">
        <item x="1"/>
        <item x="0"/>
        <item x="2"/>
        <item t="default"/>
      </items>
    </pivotField>
    <pivotField showAll="0">
      <items count="6">
        <item x="3"/>
        <item x="2"/>
        <item x="1"/>
        <item x="0"/>
        <item x="4"/>
        <item t="default"/>
      </items>
    </pivotField>
    <pivotField dataField="1" showAll="0"/>
    <pivotField showAll="0">
      <items count="5">
        <item x="1"/>
        <item x="2"/>
        <item x="0"/>
        <item x="3"/>
        <item t="default"/>
      </items>
    </pivotField>
    <pivotField showAll="0"/>
    <pivotField showAll="0">
      <items count="3">
        <item x="0"/>
        <item x="1"/>
        <item t="default"/>
      </items>
    </pivotField>
    <pivotField showAll="0"/>
  </pivotFields>
  <rowFields count="1">
    <field x="1"/>
  </rowFields>
  <rowItems count="4">
    <i>
      <x/>
    </i>
    <i>
      <x v="1"/>
    </i>
    <i>
      <x v="2"/>
    </i>
    <i t="grand">
      <x/>
    </i>
  </rowItems>
  <colItems count="1">
    <i/>
  </colItems>
  <dataFields count="1">
    <dataField name="Average of charges" fld="6" subtotal="average" baseField="1" baseItem="0" numFmtId="164"/>
  </dataFields>
  <formats count="2">
    <format dxfId="5">
      <pivotArea outline="0" collapsedLevelsAreSubtotals="1" fieldPosition="0"/>
    </format>
    <format dxfId="4">
      <pivotArea dataOnly="0" labelOnly="1" outline="0" axis="axisValues" fieldPosition="0"/>
    </format>
  </formats>
  <chartFormats count="2">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D74590-D7CD-432B-9F44-2960783D0BC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Age group">
  <location ref="D1:E6" firstHeaderRow="1" firstDataRow="1" firstDataCol="1"/>
  <pivotFields count="11">
    <pivotField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showAll="0">
      <items count="4">
        <item x="0"/>
        <item x="1"/>
        <item x="2"/>
        <item t="default"/>
      </items>
    </pivotField>
    <pivotField showAll="0"/>
    <pivotField showAll="0"/>
    <pivotField showAll="0">
      <items count="4">
        <item x="1"/>
        <item x="0"/>
        <item x="2"/>
        <item t="default"/>
      </items>
    </pivotField>
    <pivotField showAll="0">
      <items count="6">
        <item x="3"/>
        <item x="2"/>
        <item x="1"/>
        <item x="0"/>
        <item x="4"/>
        <item t="default"/>
      </items>
    </pivotField>
    <pivotField dataField="1" showAll="0">
      <items count="13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h="1" x="1337"/>
        <item t="default"/>
      </items>
    </pivotField>
    <pivotField axis="axisRow" showAll="0">
      <items count="5">
        <item x="1"/>
        <item x="2"/>
        <item x="0"/>
        <item x="3"/>
        <item t="default"/>
      </items>
    </pivotField>
    <pivotField showAll="0"/>
    <pivotField showAll="0">
      <items count="3">
        <item x="0"/>
        <item x="1"/>
        <item t="default"/>
      </items>
    </pivotField>
    <pivotField showAll="0"/>
  </pivotFields>
  <rowFields count="1">
    <field x="7"/>
  </rowFields>
  <rowItems count="5">
    <i>
      <x/>
    </i>
    <i>
      <x v="1"/>
    </i>
    <i>
      <x v="2"/>
    </i>
    <i>
      <x v="3"/>
    </i>
    <i t="grand">
      <x/>
    </i>
  </rowItems>
  <colItems count="1">
    <i/>
  </colItems>
  <dataFields count="1">
    <dataField name="Average of charges" fld="6" subtotal="average" baseField="7" baseItem="0" numFmtId="164"/>
  </dataFields>
  <formats count="2">
    <format dxfId="7">
      <pivotArea outline="0" collapsedLevelsAreSubtotals="1" fieldPosition="0"/>
    </format>
    <format dxfId="6">
      <pivotArea dataOnly="0" labelOnly="1" outline="0" axis="axisValues" fieldPosition="0"/>
    </format>
  </formats>
  <chartFormats count="4">
    <chartFormat chart="3"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7" count="1" selected="0">
            <x v="1"/>
          </reference>
        </references>
      </pivotArea>
    </chartFormat>
    <chartFormat chart="10" format="6">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587D6C-BBD1-436A-8CC0-9FB67A15C7A7}"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rowHeaderCaption="smokers">
  <location ref="A21:B25" firstHeaderRow="1" firstDataRow="1" firstDataCol="1"/>
  <pivotFields count="11">
    <pivotField showAll="0"/>
    <pivotField showAll="0">
      <items count="4">
        <item x="0"/>
        <item x="1"/>
        <item x="2"/>
        <item t="default"/>
      </items>
    </pivotField>
    <pivotField showAll="0"/>
    <pivotField showAll="0"/>
    <pivotField axis="axisRow" showAll="0">
      <items count="4">
        <item x="1"/>
        <item x="0"/>
        <item x="2"/>
        <item t="default"/>
      </items>
    </pivotField>
    <pivotField showAll="0">
      <items count="6">
        <item x="3"/>
        <item x="2"/>
        <item x="1"/>
        <item x="0"/>
        <item x="4"/>
        <item t="default"/>
      </items>
    </pivotField>
    <pivotField dataField="1" showAll="0">
      <items count="13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t="default"/>
      </items>
    </pivotField>
    <pivotField showAll="0">
      <items count="5">
        <item x="1"/>
        <item x="2"/>
        <item x="0"/>
        <item x="3"/>
        <item t="default"/>
      </items>
    </pivotField>
    <pivotField showAll="0"/>
    <pivotField showAll="0">
      <items count="3">
        <item x="0"/>
        <item x="1"/>
        <item t="default"/>
      </items>
    </pivotField>
    <pivotField showAll="0"/>
  </pivotFields>
  <rowFields count="1">
    <field x="4"/>
  </rowFields>
  <rowItems count="4">
    <i>
      <x/>
    </i>
    <i>
      <x v="1"/>
    </i>
    <i>
      <x v="2"/>
    </i>
    <i t="grand">
      <x/>
    </i>
  </rowItems>
  <colItems count="1">
    <i/>
  </colItems>
  <dataFields count="1">
    <dataField name="Average of charges" fld="6" subtotal="average" baseField="4" baseItem="0" numFmtId="164"/>
  </dataFields>
  <formats count="2">
    <format dxfId="9">
      <pivotArea outline="0" collapsedLevelsAreSubtotals="1" fieldPosition="0"/>
    </format>
    <format dxfId="8">
      <pivotArea dataOnly="0" labelOnly="1" outline="0" axis="axisValues" fieldPosition="0"/>
    </format>
  </formats>
  <chartFormats count="10">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4" count="1" selected="0">
            <x v="1"/>
          </reference>
        </references>
      </pivotArea>
    </chartFormat>
    <chartFormat chart="5" format="4">
      <pivotArea type="data" outline="0" fieldPosition="0">
        <references count="2">
          <reference field="4294967294" count="1" selected="0">
            <x v="0"/>
          </reference>
          <reference field="4" count="1" selected="0">
            <x v="0"/>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4" count="1" selected="0">
            <x v="0"/>
          </reference>
        </references>
      </pivotArea>
    </chartFormat>
    <chartFormat chart="11" format="10">
      <pivotArea type="data" outline="0" fieldPosition="0">
        <references count="2">
          <reference field="4294967294" count="1" selected="0">
            <x v="0"/>
          </reference>
          <reference field="4" count="1" selected="0">
            <x v="1"/>
          </reference>
        </references>
      </pivotArea>
    </chartFormat>
    <chartFormat chart="11" format="11" series="1">
      <pivotArea type="data" outline="0" fieldPosition="0">
        <references count="2">
          <reference field="4294967294" count="1" selected="0">
            <x v="0"/>
          </reference>
          <reference field="4" count="1" selected="0">
            <x v="1"/>
          </reference>
        </references>
      </pivotArea>
    </chartFormat>
    <chartFormat chart="11" format="12" series="1">
      <pivotArea type="data" outline="0" fieldPosition="0">
        <references count="2">
          <reference field="4294967294" count="1" selected="0">
            <x v="0"/>
          </reference>
          <reference field="4" count="1" selected="0">
            <x v="2"/>
          </reference>
        </references>
      </pivotArea>
    </chartFormat>
    <chartFormat chart="5" format="5" series="1">
      <pivotArea type="data" outline="0" fieldPosition="0">
        <references count="2">
          <reference field="4294967294" count="1" selected="0">
            <x v="0"/>
          </reference>
          <reference field="4" count="1" selected="0">
            <x v="1"/>
          </reference>
        </references>
      </pivotArea>
    </chartFormat>
    <chartFormat chart="5" format="6"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44AF337-4572-46F0-B023-62AA7E3F3CC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Region">
  <location ref="A14:B20" firstHeaderRow="1" firstDataRow="1" firstDataCol="1"/>
  <pivotFields count="11">
    <pivotField showAll="0"/>
    <pivotField showAll="0">
      <items count="4">
        <item x="0"/>
        <item x="1"/>
        <item x="2"/>
        <item t="default"/>
      </items>
    </pivotField>
    <pivotField showAll="0"/>
    <pivotField showAll="0"/>
    <pivotField showAll="0">
      <items count="4">
        <item x="1"/>
        <item x="0"/>
        <item x="2"/>
        <item t="default"/>
      </items>
    </pivotField>
    <pivotField axis="axisRow" showAll="0" sortType="descending">
      <items count="6">
        <item x="3"/>
        <item x="2"/>
        <item x="1"/>
        <item x="0"/>
        <item x="4"/>
        <item t="default"/>
      </items>
      <autoSortScope>
        <pivotArea dataOnly="0" outline="0" fieldPosition="0">
          <references count="1">
            <reference field="4294967294" count="1" selected="0">
              <x v="0"/>
            </reference>
          </references>
        </pivotArea>
      </autoSortScope>
    </pivotField>
    <pivotField dataField="1" showAll="0"/>
    <pivotField showAll="0">
      <items count="5">
        <item x="1"/>
        <item x="2"/>
        <item x="0"/>
        <item x="3"/>
        <item t="default"/>
      </items>
    </pivotField>
    <pivotField showAll="0"/>
    <pivotField showAll="0">
      <items count="3">
        <item x="0"/>
        <item x="1"/>
        <item t="default"/>
      </items>
    </pivotField>
    <pivotField showAll="0"/>
  </pivotFields>
  <rowFields count="1">
    <field x="5"/>
  </rowFields>
  <rowItems count="6">
    <i>
      <x v="1"/>
    </i>
    <i>
      <x v="3"/>
    </i>
    <i>
      <x/>
    </i>
    <i>
      <x v="2"/>
    </i>
    <i>
      <x v="4"/>
    </i>
    <i t="grand">
      <x/>
    </i>
  </rowItems>
  <colItems count="1">
    <i/>
  </colItems>
  <dataFields count="1">
    <dataField name="Average of charges" fld="6" subtotal="average" baseField="5" baseItem="0" numFmtId="165"/>
  </dataFields>
  <chartFormats count="2">
    <chartFormat chart="17" format="2"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098BEA2C-E40A-40E3-AC5C-B070AEB4B488}" sourceName="sex">
  <pivotTables>
    <pivotTable tabId="3" name="PivotTable2"/>
    <pivotTable tabId="3" name="PivotTable10"/>
    <pivotTable tabId="3" name="PivotTable11"/>
    <pivotTable tabId="3" name="PivotTable14"/>
    <pivotTable tabId="3" name="PivotTable8"/>
  </pivotTables>
  <data>
    <tabular pivotCacheId="1408312749">
      <items count="3">
        <i x="0" s="1"/>
        <i x="1" s="1"/>
        <i x="2"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er" xr10:uid="{87F3A009-774D-4F16-A42C-1B70251CCFEC}" sourceName="smoker">
  <pivotTables>
    <pivotTable tabId="3" name="PivotTable2"/>
    <pivotTable tabId="3" name="PivotTable10"/>
    <pivotTable tabId="3" name="PivotTable11"/>
    <pivotTable tabId="3" name="PivotTable14"/>
    <pivotTable tabId="3" name="PivotTable8"/>
  </pivotTables>
  <data>
    <tabular pivotCacheId="1408312749">
      <items count="3">
        <i x="1" s="1"/>
        <i x="0" s="1"/>
        <i x="2"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05DC0CC-2279-455F-B6BE-7EEA33A4EF7C}" sourceName="region">
  <pivotTables>
    <pivotTable tabId="3" name="PivotTable2"/>
    <pivotTable tabId="3" name="PivotTable10"/>
    <pivotTable tabId="3" name="PivotTable11"/>
    <pivotTable tabId="3" name="PivotTable14"/>
    <pivotTable tabId="3" name="PivotTable8"/>
  </pivotTables>
  <data>
    <tabular pivotCacheId="1408312749">
      <items count="5">
        <i x="3" s="1"/>
        <i x="2" s="1"/>
        <i x="1" s="1"/>
        <i x="0" s="1"/>
        <i x="4"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_Broad" xr10:uid="{60516258-2B0A-4728-9301-53C792ABCBA4}" sourceName="Age group(Broad)">
  <pivotTables>
    <pivotTable tabId="3" name="PivotTable2"/>
    <pivotTable tabId="3" name="PivotTable10"/>
    <pivotTable tabId="3" name="PivotTable11"/>
    <pivotTable tabId="3" name="PivotTable14"/>
    <pivotTable tabId="3" name="PivotTable8"/>
  </pivotTables>
  <data>
    <tabular pivotCacheId="1408312749">
      <items count="4">
        <i x="1" s="1"/>
        <i x="2" s="1"/>
        <i x="0" s="1"/>
        <i x="3"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MI_category1" xr10:uid="{6C79367C-4452-42ED-B76E-84D0B7F378B5}" sourceName="BMI category ">
  <pivotTables>
    <pivotTable tabId="3" name="PivotTable1"/>
    <pivotTable tabId="19" name="PivotTable19"/>
  </pivotTables>
  <data>
    <tabular pivotCacheId="2067779146">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1" xr10:uid="{1110C90F-A3F3-4ADD-865D-3F80F376D25A}" cache="Slicer_sex" caption="sex" rowHeight="180000"/>
  <slicer name="smoker 1" xr10:uid="{D77D08AE-98C2-48A0-839F-AD88440F26DA}" cache="Slicer_smoker" caption="smoker" rowHeight="180000"/>
  <slicer name="region 1" xr10:uid="{6EDBC75D-7B65-4373-B2E1-451478368A6B}" cache="Slicer_region" caption="region" rowHeight="180000"/>
  <slicer name="Age group(Broad) 1" xr10:uid="{558CECB6-4044-4B95-8E5F-D3031F3D02E1}" cache="Slicer_Age_group_Broad" caption="Age group(Broad)" rowHeight="180000"/>
  <slicer name="BMI category  1" xr10:uid="{25B17761-9BB0-4B73-93C4-4558CE67FACE}" cache="Slicer_BMI_category1" caption="BMI category "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849595D-631C-4DB9-B01E-1080D164307A}" name="Table3" displayName="Table3" ref="A3:K228" totalsRowShown="0">
  <autoFilter ref="A3:K228" xr:uid="{8849595D-631C-4DB9-B01E-1080D164307A}"/>
  <tableColumns count="11">
    <tableColumn id="1" xr3:uid="{A976FEDB-DCE5-4321-A768-BEA98C070AFF}" name="age"/>
    <tableColumn id="2" xr3:uid="{F33173E8-A5E7-4546-BB1E-F6797D2EBF96}" name="sex"/>
    <tableColumn id="3" xr3:uid="{4472F10D-1A02-4BAE-9ED6-11AC8C29A65A}" name="bmi"/>
    <tableColumn id="4" xr3:uid="{E7856C03-6B63-498B-9D20-8C12D151F539}" name="children"/>
    <tableColumn id="5" xr3:uid="{D8CD6BC8-607D-44C3-88EB-09CC78F07FAC}" name="smoker"/>
    <tableColumn id="6" xr3:uid="{D16D59DC-ED05-4BE1-A2B1-C1A77B2AF06F}" name="region"/>
    <tableColumn id="7" xr3:uid="{FDD38D8E-ADFC-4B0C-B92C-55EE08673334}" name="charges"/>
    <tableColumn id="8" xr3:uid="{230BF3BB-F164-4541-A919-8FE050E41619}" name="Age group(Broad)"/>
    <tableColumn id="9" xr3:uid="{C3AE3B3E-24E7-4C3F-AAB8-3D3131749482}" name="Age Group (Detailed)"/>
    <tableColumn id="10" xr3:uid="{B0A6BE18-5261-423F-B795-408D8D95C6FF}" name="BMI category "/>
    <tableColumn id="11" xr3:uid="{387981DE-1F0F-45C6-846F-87FA5D35F3BA}" name="Charge Ban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EE498AE-DF80-43A5-8ECF-A22504720A68}" name="Table13" displayName="Table13" ref="A1:K1338" totalsRowShown="0">
  <autoFilter ref="A1:K1338" xr:uid="{0EE498AE-DF80-43A5-8ECF-A22504720A68}"/>
  <sortState xmlns:xlrd2="http://schemas.microsoft.com/office/spreadsheetml/2017/richdata2" ref="A2:K1338">
    <sortCondition ref="G1:G1338"/>
  </sortState>
  <tableColumns count="11">
    <tableColumn id="1" xr3:uid="{E6B6847A-8B46-42F3-86A4-A31FB2A2025D}" name="age"/>
    <tableColumn id="2" xr3:uid="{3CCE7EA8-4725-48DD-900D-030A5CECC46A}" name="sex" dataDxfId="13"/>
    <tableColumn id="3" xr3:uid="{2282E415-B301-449A-806B-51707F6A05B6}" name="bmi"/>
    <tableColumn id="4" xr3:uid="{5B178421-DEEB-4F20-B090-69805054D117}" name="children"/>
    <tableColumn id="5" xr3:uid="{6CB41FF6-861E-40B6-8A2E-7401CA32197E}" name="smoker"/>
    <tableColumn id="6" xr3:uid="{132B56DB-A809-4E16-9EAC-DFA82F983B12}" name="region"/>
    <tableColumn id="7" xr3:uid="{B089A04D-310F-4511-BBB2-209DEBE015D8}" name="charges" dataDxfId="12"/>
    <tableColumn id="8" xr3:uid="{BBA963F7-1070-4E98-A36E-337ABE0190BE}" name="Age group(Broad)">
      <calculatedColumnFormula array="1">_xlfn.IFS(A2&lt;=30, "Youth", A2&lt;=50, "Adult", A2&gt;50, "Older")</calculatedColumnFormula>
    </tableColumn>
    <tableColumn id="9" xr3:uid="{6397931A-8C3F-4C59-9AFA-CFCB323AA055}" name="Age Group (Detailed)">
      <calculatedColumnFormula array="1">_xlfn.IFS(A2&lt;=25,"18-25",A2&lt;=35,"26-35",A2&lt;=45,"36-45",A2&lt;=60,"46-60",A2&gt;60,"60+")</calculatedColumnFormula>
    </tableColumn>
    <tableColumn id="10" xr3:uid="{8DE0AB3A-3828-48E5-92B0-4DB1839EE428}" name="BMI category ">
      <calculatedColumnFormula array="1">_xlfn.IFS(C2&lt;18.5,"Underweight",C2&lt;25,"Normal",C2&lt;30,"Overweight",C2&gt;=30,"Obese")</calculatedColumnFormula>
    </tableColumn>
    <tableColumn id="11" xr3:uid="{BD693F8D-CCDC-4B58-9259-1BAB928B171A}" name="Charge Band">
      <calculatedColumnFormula array="1">_xlfn.IFS(G2&lt;10000, "Low", G2&lt;=25000, "Medium", G2&gt;25000, "High")</calculatedColumnFormula>
    </tableColumn>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99703F-C461-42E5-86E9-7990A79A8C1A}" name="Table1" displayName="Table1" ref="A1:K1338" totalsRowShown="0">
  <autoFilter ref="A1:K1338" xr:uid="{BD99703F-C461-42E5-86E9-7990A79A8C1A}"/>
  <tableColumns count="11">
    <tableColumn id="1" xr3:uid="{F1981AD0-6A04-4433-A986-57A5B964146A}" name="age"/>
    <tableColumn id="2" xr3:uid="{8ECA47C8-7574-4D39-82A5-1A55899303D4}" name="sex" dataDxfId="11"/>
    <tableColumn id="3" xr3:uid="{AEE36229-81D0-4D65-9EA7-9486C2EB902B}" name="bmi"/>
    <tableColumn id="4" xr3:uid="{AD48ACE9-EB10-4D43-A494-6B543AC2F4A6}" name="children"/>
    <tableColumn id="5" xr3:uid="{A4C25698-1646-4826-9A94-87ADA5E6C666}" name="smoker"/>
    <tableColumn id="6" xr3:uid="{E52B9B0A-67CB-420D-8CF5-1BE565F21BDF}" name="region"/>
    <tableColumn id="7" xr3:uid="{A656B8EF-B686-4E78-A606-439AF115BBCC}" name="charges" dataDxfId="10"/>
    <tableColumn id="8" xr3:uid="{EC82A6A2-B942-4FB5-B743-C21523C80CEB}" name="Age group(Broad)"/>
    <tableColumn id="9" xr3:uid="{6D340FF8-0E60-4E58-911E-D62A7046B5E6}" name="Age Group (Detailed)"/>
    <tableColumn id="10" xr3:uid="{389F210F-E4D3-4003-ADA7-FB3CE28E0F04}" name="BMI category ">
      <calculatedColumnFormula array="1">_xlfn.IFS(C2&lt;18.5,"Underweight",C2&lt;25,"Normal",C2&lt;30,"Overweight",C2&gt;=30,"Obese")</calculatedColumnFormula>
    </tableColumn>
    <tableColumn id="11" xr3:uid="{6DF0774F-6D13-464C-A5B6-A87543250725}" name="Charge Band"/>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9C508-737F-4AAC-93C0-8B2163C67C8A}">
  <dimension ref="A1"/>
  <sheetViews>
    <sheetView topLeftCell="A19" workbookViewId="0">
      <selection activeCell="J40" sqref="J40"/>
    </sheetView>
  </sheetViews>
  <sheetFormatPr defaultRowHeight="14.4" x14ac:dyDescent="0.3"/>
  <cols>
    <col min="1" max="1" width="12.44140625" bestFit="1" customWidth="1"/>
    <col min="2" max="2" width="16.33203125" bestFit="1" customWidth="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E7352-FA14-4D47-92A0-8A2185C2F6A1}">
  <dimension ref="A1:K228"/>
  <sheetViews>
    <sheetView workbookViewId="0">
      <selection activeCell="A3" sqref="A3:K228"/>
    </sheetView>
  </sheetViews>
  <sheetFormatPr defaultRowHeight="14.4" x14ac:dyDescent="0.3"/>
  <cols>
    <col min="1" max="3" width="9" bestFit="1" customWidth="1"/>
    <col min="4" max="4" width="10.109375" bestFit="1" customWidth="1"/>
    <col min="5" max="5" width="9.44140625" bestFit="1" customWidth="1"/>
    <col min="6" max="6" width="9.33203125" bestFit="1" customWidth="1"/>
    <col min="7" max="7" width="9.6640625" bestFit="1" customWidth="1"/>
    <col min="8" max="8" width="17.5546875" bestFit="1" customWidth="1"/>
    <col min="9" max="9" width="20.6640625" bestFit="1" customWidth="1"/>
    <col min="10" max="10" width="14.109375" bestFit="1" customWidth="1"/>
    <col min="11" max="11" width="13.5546875" bestFit="1" customWidth="1"/>
  </cols>
  <sheetData>
    <row r="1" spans="1:11" x14ac:dyDescent="0.3">
      <c r="A1" s="3" t="s">
        <v>66</v>
      </c>
    </row>
    <row r="3" spans="1:11" x14ac:dyDescent="0.3">
      <c r="A3" t="s">
        <v>0</v>
      </c>
      <c r="B3" t="s">
        <v>1</v>
      </c>
      <c r="C3" t="s">
        <v>2</v>
      </c>
      <c r="D3" t="s">
        <v>3</v>
      </c>
      <c r="E3" t="s">
        <v>4</v>
      </c>
      <c r="F3" t="s">
        <v>5</v>
      </c>
      <c r="G3" t="s">
        <v>6</v>
      </c>
      <c r="H3" t="s">
        <v>15</v>
      </c>
      <c r="I3" t="s">
        <v>16</v>
      </c>
      <c r="J3" t="s">
        <v>17</v>
      </c>
      <c r="K3" t="s">
        <v>18</v>
      </c>
    </row>
    <row r="4" spans="1:11" x14ac:dyDescent="0.3">
      <c r="A4">
        <v>23</v>
      </c>
      <c r="B4" t="s">
        <v>7</v>
      </c>
      <c r="C4">
        <v>24.984999999999999</v>
      </c>
      <c r="D4">
        <v>0</v>
      </c>
      <c r="E4" t="s">
        <v>9</v>
      </c>
      <c r="F4" t="s">
        <v>14</v>
      </c>
      <c r="G4">
        <v>3704.3544999999999</v>
      </c>
      <c r="H4" t="s">
        <v>53</v>
      </c>
      <c r="I4" t="s">
        <v>64</v>
      </c>
      <c r="J4" t="s">
        <v>60</v>
      </c>
      <c r="K4" t="s">
        <v>65</v>
      </c>
    </row>
    <row r="5" spans="1:11" x14ac:dyDescent="0.3">
      <c r="A5">
        <v>23</v>
      </c>
      <c r="B5" t="s">
        <v>8</v>
      </c>
      <c r="C5">
        <v>24.984999999999999</v>
      </c>
      <c r="D5">
        <v>0</v>
      </c>
      <c r="E5" t="s">
        <v>10</v>
      </c>
      <c r="F5" t="s">
        <v>11</v>
      </c>
      <c r="G5">
        <v>3693.4279999999999</v>
      </c>
      <c r="H5" t="s">
        <v>53</v>
      </c>
      <c r="I5" t="s">
        <v>64</v>
      </c>
      <c r="J5" t="s">
        <v>60</v>
      </c>
      <c r="K5" t="s">
        <v>65</v>
      </c>
    </row>
    <row r="6" spans="1:11" x14ac:dyDescent="0.3">
      <c r="A6">
        <v>23</v>
      </c>
      <c r="B6" t="s">
        <v>7</v>
      </c>
      <c r="C6">
        <v>24.97</v>
      </c>
      <c r="D6">
        <v>0</v>
      </c>
      <c r="E6" t="s">
        <v>10</v>
      </c>
      <c r="F6" t="s">
        <v>11</v>
      </c>
      <c r="G6">
        <v>3659.346</v>
      </c>
      <c r="H6" t="s">
        <v>53</v>
      </c>
      <c r="I6" t="s">
        <v>64</v>
      </c>
      <c r="J6" t="s">
        <v>60</v>
      </c>
      <c r="K6" t="s">
        <v>65</v>
      </c>
    </row>
    <row r="7" spans="1:11" x14ac:dyDescent="0.3">
      <c r="A7">
        <v>23</v>
      </c>
      <c r="B7" t="s">
        <v>7</v>
      </c>
      <c r="C7">
        <v>24.89</v>
      </c>
      <c r="D7">
        <v>0</v>
      </c>
      <c r="E7" t="s">
        <v>10</v>
      </c>
      <c r="F7" t="s">
        <v>14</v>
      </c>
      <c r="G7">
        <v>3645.0893999999998</v>
      </c>
      <c r="H7" t="s">
        <v>53</v>
      </c>
      <c r="I7" t="s">
        <v>64</v>
      </c>
      <c r="J7" t="s">
        <v>60</v>
      </c>
      <c r="K7" t="s">
        <v>65</v>
      </c>
    </row>
    <row r="8" spans="1:11" x14ac:dyDescent="0.3">
      <c r="A8">
        <v>23</v>
      </c>
      <c r="B8" t="s">
        <v>7</v>
      </c>
      <c r="C8">
        <v>24.86</v>
      </c>
      <c r="D8">
        <v>0</v>
      </c>
      <c r="E8" t="s">
        <v>9</v>
      </c>
      <c r="F8" t="s">
        <v>14</v>
      </c>
      <c r="G8">
        <v>3597.596</v>
      </c>
      <c r="H8" t="s">
        <v>53</v>
      </c>
      <c r="I8" t="s">
        <v>64</v>
      </c>
      <c r="J8" t="s">
        <v>60</v>
      </c>
      <c r="K8" t="s">
        <v>65</v>
      </c>
    </row>
    <row r="9" spans="1:11" x14ac:dyDescent="0.3">
      <c r="A9">
        <v>23</v>
      </c>
      <c r="B9" t="s">
        <v>8</v>
      </c>
      <c r="C9">
        <v>24.86</v>
      </c>
      <c r="D9">
        <v>0</v>
      </c>
      <c r="E9" t="s">
        <v>10</v>
      </c>
      <c r="F9" t="s">
        <v>12</v>
      </c>
      <c r="G9">
        <v>3594.17085</v>
      </c>
      <c r="H9" t="s">
        <v>53</v>
      </c>
      <c r="I9" t="s">
        <v>64</v>
      </c>
      <c r="J9" t="s">
        <v>60</v>
      </c>
      <c r="K9" t="s">
        <v>65</v>
      </c>
    </row>
    <row r="10" spans="1:11" x14ac:dyDescent="0.3">
      <c r="A10">
        <v>23</v>
      </c>
      <c r="B10" t="s">
        <v>8</v>
      </c>
      <c r="C10">
        <v>24.795000000000002</v>
      </c>
      <c r="D10">
        <v>0</v>
      </c>
      <c r="E10" t="s">
        <v>9</v>
      </c>
      <c r="F10" t="s">
        <v>13</v>
      </c>
      <c r="G10">
        <v>3591.48</v>
      </c>
      <c r="H10" t="s">
        <v>53</v>
      </c>
      <c r="I10" t="s">
        <v>64</v>
      </c>
      <c r="J10" t="s">
        <v>60</v>
      </c>
      <c r="K10" t="s">
        <v>65</v>
      </c>
    </row>
    <row r="11" spans="1:11" x14ac:dyDescent="0.3">
      <c r="A11">
        <v>23</v>
      </c>
      <c r="B11" t="s">
        <v>8</v>
      </c>
      <c r="C11">
        <v>24.795000000000002</v>
      </c>
      <c r="D11">
        <v>0</v>
      </c>
      <c r="E11" t="s">
        <v>10</v>
      </c>
      <c r="F11" t="s">
        <v>12</v>
      </c>
      <c r="G11">
        <v>3579.8287</v>
      </c>
      <c r="H11" t="s">
        <v>53</v>
      </c>
      <c r="I11" t="s">
        <v>64</v>
      </c>
      <c r="J11" t="s">
        <v>60</v>
      </c>
      <c r="K11" t="s">
        <v>65</v>
      </c>
    </row>
    <row r="12" spans="1:11" x14ac:dyDescent="0.3">
      <c r="A12">
        <v>23</v>
      </c>
      <c r="B12" t="s">
        <v>7</v>
      </c>
      <c r="C12">
        <v>24.795000000000002</v>
      </c>
      <c r="D12">
        <v>0</v>
      </c>
      <c r="E12" t="s">
        <v>10</v>
      </c>
      <c r="F12" t="s">
        <v>12</v>
      </c>
      <c r="G12">
        <v>3577.9989999999998</v>
      </c>
      <c r="H12" t="s">
        <v>53</v>
      </c>
      <c r="I12" t="s">
        <v>64</v>
      </c>
      <c r="J12" t="s">
        <v>60</v>
      </c>
      <c r="K12" t="s">
        <v>65</v>
      </c>
    </row>
    <row r="13" spans="1:11" x14ac:dyDescent="0.3">
      <c r="A13">
        <v>23</v>
      </c>
      <c r="B13" t="s">
        <v>7</v>
      </c>
      <c r="C13">
        <v>24.795000000000002</v>
      </c>
      <c r="D13">
        <v>0</v>
      </c>
      <c r="E13" t="s">
        <v>9</v>
      </c>
      <c r="F13" t="s">
        <v>12</v>
      </c>
      <c r="G13">
        <v>3561.8888999999999</v>
      </c>
      <c r="H13" t="s">
        <v>53</v>
      </c>
      <c r="I13" t="s">
        <v>64</v>
      </c>
      <c r="J13" t="s">
        <v>60</v>
      </c>
      <c r="K13" t="s">
        <v>65</v>
      </c>
    </row>
    <row r="14" spans="1:11" x14ac:dyDescent="0.3">
      <c r="A14">
        <v>23</v>
      </c>
      <c r="B14" t="s">
        <v>8</v>
      </c>
      <c r="C14">
        <v>24.75</v>
      </c>
      <c r="D14">
        <v>0</v>
      </c>
      <c r="E14" t="s">
        <v>10</v>
      </c>
      <c r="F14" t="s">
        <v>13</v>
      </c>
      <c r="G14">
        <v>3558.6202499999999</v>
      </c>
      <c r="H14" t="s">
        <v>53</v>
      </c>
      <c r="I14" t="s">
        <v>64</v>
      </c>
      <c r="J14" t="s">
        <v>60</v>
      </c>
      <c r="K14" t="s">
        <v>65</v>
      </c>
    </row>
    <row r="15" spans="1:11" x14ac:dyDescent="0.3">
      <c r="A15">
        <v>23</v>
      </c>
      <c r="B15" t="s">
        <v>8</v>
      </c>
      <c r="C15">
        <v>24.7</v>
      </c>
      <c r="D15">
        <v>0</v>
      </c>
      <c r="E15" t="s">
        <v>10</v>
      </c>
      <c r="F15" t="s">
        <v>11</v>
      </c>
      <c r="G15">
        <v>3556.9223000000002</v>
      </c>
      <c r="H15" t="s">
        <v>53</v>
      </c>
      <c r="I15" t="s">
        <v>64</v>
      </c>
      <c r="J15" t="s">
        <v>60</v>
      </c>
      <c r="K15" t="s">
        <v>65</v>
      </c>
    </row>
    <row r="16" spans="1:11" x14ac:dyDescent="0.3">
      <c r="A16">
        <v>23</v>
      </c>
      <c r="B16" t="s">
        <v>7</v>
      </c>
      <c r="C16">
        <v>24.7</v>
      </c>
      <c r="D16">
        <v>0</v>
      </c>
      <c r="E16" t="s">
        <v>10</v>
      </c>
      <c r="F16" t="s">
        <v>11</v>
      </c>
      <c r="G16">
        <v>3554.203</v>
      </c>
      <c r="H16" t="s">
        <v>53</v>
      </c>
      <c r="I16" t="s">
        <v>64</v>
      </c>
      <c r="J16" t="s">
        <v>60</v>
      </c>
      <c r="K16" t="s">
        <v>65</v>
      </c>
    </row>
    <row r="17" spans="1:11" x14ac:dyDescent="0.3">
      <c r="A17">
        <v>23</v>
      </c>
      <c r="B17" t="s">
        <v>7</v>
      </c>
      <c r="C17">
        <v>24.7</v>
      </c>
      <c r="D17">
        <v>0</v>
      </c>
      <c r="E17" t="s">
        <v>10</v>
      </c>
      <c r="F17" t="s">
        <v>12</v>
      </c>
      <c r="G17">
        <v>3537.703</v>
      </c>
      <c r="H17" t="s">
        <v>53</v>
      </c>
      <c r="I17" t="s">
        <v>64</v>
      </c>
      <c r="J17" t="s">
        <v>60</v>
      </c>
      <c r="K17" t="s">
        <v>65</v>
      </c>
    </row>
    <row r="18" spans="1:11" x14ac:dyDescent="0.3">
      <c r="A18">
        <v>23</v>
      </c>
      <c r="B18" t="s">
        <v>7</v>
      </c>
      <c r="C18">
        <v>24.7</v>
      </c>
      <c r="D18">
        <v>0</v>
      </c>
      <c r="E18" t="s">
        <v>10</v>
      </c>
      <c r="F18" t="s">
        <v>13</v>
      </c>
      <c r="G18">
        <v>3500.6122999999998</v>
      </c>
      <c r="H18" t="s">
        <v>53</v>
      </c>
      <c r="I18" t="s">
        <v>64</v>
      </c>
      <c r="J18" t="s">
        <v>60</v>
      </c>
      <c r="K18" t="s">
        <v>65</v>
      </c>
    </row>
    <row r="19" spans="1:11" x14ac:dyDescent="0.3">
      <c r="A19">
        <v>23</v>
      </c>
      <c r="B19" t="s">
        <v>8</v>
      </c>
      <c r="C19">
        <v>24.64</v>
      </c>
      <c r="D19">
        <v>0</v>
      </c>
      <c r="E19" t="s">
        <v>10</v>
      </c>
      <c r="F19" t="s">
        <v>14</v>
      </c>
      <c r="G19">
        <v>3490.5491000000002</v>
      </c>
      <c r="H19" t="s">
        <v>53</v>
      </c>
      <c r="I19" t="s">
        <v>64</v>
      </c>
      <c r="J19" t="s">
        <v>60</v>
      </c>
      <c r="K19" t="s">
        <v>65</v>
      </c>
    </row>
    <row r="20" spans="1:11" x14ac:dyDescent="0.3">
      <c r="A20">
        <v>23</v>
      </c>
      <c r="B20" t="s">
        <v>7</v>
      </c>
      <c r="C20">
        <v>24.605</v>
      </c>
      <c r="D20">
        <v>0</v>
      </c>
      <c r="E20" t="s">
        <v>10</v>
      </c>
      <c r="F20" t="s">
        <v>14</v>
      </c>
      <c r="G20">
        <v>3484.3310000000001</v>
      </c>
      <c r="H20" t="s">
        <v>53</v>
      </c>
      <c r="I20" t="s">
        <v>64</v>
      </c>
      <c r="J20" t="s">
        <v>60</v>
      </c>
      <c r="K20" t="s">
        <v>65</v>
      </c>
    </row>
    <row r="21" spans="1:11" x14ac:dyDescent="0.3">
      <c r="A21">
        <v>23</v>
      </c>
      <c r="B21" t="s">
        <v>7</v>
      </c>
      <c r="C21">
        <v>24.605</v>
      </c>
      <c r="D21">
        <v>0</v>
      </c>
      <c r="E21" t="s">
        <v>10</v>
      </c>
      <c r="F21" t="s">
        <v>12</v>
      </c>
      <c r="G21">
        <v>3481.8679999999999</v>
      </c>
      <c r="H21" t="s">
        <v>53</v>
      </c>
      <c r="I21" t="s">
        <v>64</v>
      </c>
      <c r="J21" t="s">
        <v>60</v>
      </c>
      <c r="K21" t="s">
        <v>65</v>
      </c>
    </row>
    <row r="22" spans="1:11" x14ac:dyDescent="0.3">
      <c r="A22">
        <v>23</v>
      </c>
      <c r="B22" t="s">
        <v>8</v>
      </c>
      <c r="C22">
        <v>24.605</v>
      </c>
      <c r="D22">
        <v>0</v>
      </c>
      <c r="E22" t="s">
        <v>10</v>
      </c>
      <c r="F22" t="s">
        <v>12</v>
      </c>
      <c r="G22">
        <v>3471.4096</v>
      </c>
      <c r="H22" t="s">
        <v>53</v>
      </c>
      <c r="I22" t="s">
        <v>64</v>
      </c>
      <c r="J22" t="s">
        <v>60</v>
      </c>
      <c r="K22" t="s">
        <v>65</v>
      </c>
    </row>
    <row r="23" spans="1:11" x14ac:dyDescent="0.3">
      <c r="A23">
        <v>23</v>
      </c>
      <c r="B23" t="s">
        <v>8</v>
      </c>
      <c r="C23">
        <v>24.605</v>
      </c>
      <c r="D23">
        <v>0</v>
      </c>
      <c r="E23" t="s">
        <v>10</v>
      </c>
      <c r="F23" t="s">
        <v>12</v>
      </c>
      <c r="G23">
        <v>3443.0639999999999</v>
      </c>
      <c r="H23" t="s">
        <v>53</v>
      </c>
      <c r="I23" t="s">
        <v>64</v>
      </c>
      <c r="J23" t="s">
        <v>60</v>
      </c>
      <c r="K23" t="s">
        <v>65</v>
      </c>
    </row>
    <row r="24" spans="1:11" x14ac:dyDescent="0.3">
      <c r="A24">
        <v>18</v>
      </c>
      <c r="B24" t="s">
        <v>7</v>
      </c>
      <c r="C24">
        <v>18.5</v>
      </c>
      <c r="D24">
        <v>0</v>
      </c>
      <c r="E24" t="s">
        <v>10</v>
      </c>
      <c r="F24" t="s">
        <v>14</v>
      </c>
      <c r="G24">
        <v>1515.3449000000001</v>
      </c>
      <c r="H24" t="s">
        <v>53</v>
      </c>
      <c r="I24" t="s">
        <v>64</v>
      </c>
      <c r="J24" t="s">
        <v>60</v>
      </c>
      <c r="K24" t="s">
        <v>65</v>
      </c>
    </row>
    <row r="25" spans="1:11" x14ac:dyDescent="0.3">
      <c r="A25">
        <v>18</v>
      </c>
      <c r="B25" t="s">
        <v>7</v>
      </c>
      <c r="C25">
        <v>18.600000000000001</v>
      </c>
      <c r="D25">
        <v>0</v>
      </c>
      <c r="E25" t="s">
        <v>10</v>
      </c>
      <c r="F25" t="s">
        <v>11</v>
      </c>
      <c r="G25">
        <v>1526.3119999999999</v>
      </c>
      <c r="H25" t="s">
        <v>53</v>
      </c>
      <c r="I25" t="s">
        <v>64</v>
      </c>
      <c r="J25" t="s">
        <v>60</v>
      </c>
      <c r="K25" t="s">
        <v>65</v>
      </c>
    </row>
    <row r="26" spans="1:11" x14ac:dyDescent="0.3">
      <c r="A26">
        <v>18</v>
      </c>
      <c r="B26" t="s">
        <v>8</v>
      </c>
      <c r="C26">
        <v>18.715</v>
      </c>
      <c r="D26">
        <v>0</v>
      </c>
      <c r="E26" t="s">
        <v>10</v>
      </c>
      <c r="F26" t="s">
        <v>12</v>
      </c>
      <c r="G26">
        <v>1532.4697000000001</v>
      </c>
      <c r="H26" t="s">
        <v>53</v>
      </c>
      <c r="I26" t="s">
        <v>64</v>
      </c>
      <c r="J26" t="s">
        <v>60</v>
      </c>
      <c r="K26" t="s">
        <v>65</v>
      </c>
    </row>
    <row r="27" spans="1:11" x14ac:dyDescent="0.3">
      <c r="A27">
        <v>18</v>
      </c>
      <c r="B27" t="s">
        <v>7</v>
      </c>
      <c r="C27">
        <v>18.905000000000001</v>
      </c>
      <c r="D27">
        <v>0</v>
      </c>
      <c r="E27" t="s">
        <v>9</v>
      </c>
      <c r="F27" t="s">
        <v>14</v>
      </c>
      <c r="G27">
        <v>1534.3045</v>
      </c>
      <c r="H27" t="s">
        <v>53</v>
      </c>
      <c r="I27" t="s">
        <v>64</v>
      </c>
      <c r="J27" t="s">
        <v>60</v>
      </c>
      <c r="K27" t="s">
        <v>65</v>
      </c>
    </row>
    <row r="28" spans="1:11" x14ac:dyDescent="0.3">
      <c r="A28">
        <v>18</v>
      </c>
      <c r="B28" t="s">
        <v>8</v>
      </c>
      <c r="C28">
        <v>19</v>
      </c>
      <c r="D28">
        <v>0</v>
      </c>
      <c r="E28" t="s">
        <v>10</v>
      </c>
      <c r="F28" t="s">
        <v>13</v>
      </c>
      <c r="G28">
        <v>1607.5101</v>
      </c>
      <c r="H28" t="s">
        <v>53</v>
      </c>
      <c r="I28" t="s">
        <v>64</v>
      </c>
      <c r="J28" t="s">
        <v>60</v>
      </c>
      <c r="K28" t="s">
        <v>65</v>
      </c>
    </row>
    <row r="29" spans="1:11" x14ac:dyDescent="0.3">
      <c r="A29">
        <v>18</v>
      </c>
      <c r="B29" t="s">
        <v>7</v>
      </c>
      <c r="C29">
        <v>19.094999999999999</v>
      </c>
      <c r="D29">
        <v>0</v>
      </c>
      <c r="E29" t="s">
        <v>10</v>
      </c>
      <c r="F29" t="s">
        <v>12</v>
      </c>
      <c r="G29">
        <v>1615.7666999999999</v>
      </c>
      <c r="H29" t="s">
        <v>53</v>
      </c>
      <c r="I29" t="s">
        <v>64</v>
      </c>
      <c r="J29" t="s">
        <v>60</v>
      </c>
      <c r="K29" t="s">
        <v>65</v>
      </c>
    </row>
    <row r="30" spans="1:11" x14ac:dyDescent="0.3">
      <c r="A30">
        <v>18</v>
      </c>
      <c r="B30" t="s">
        <v>7</v>
      </c>
      <c r="C30">
        <v>19.190000000000001</v>
      </c>
      <c r="D30">
        <v>0</v>
      </c>
      <c r="E30" t="s">
        <v>10</v>
      </c>
      <c r="F30" t="s">
        <v>14</v>
      </c>
      <c r="G30">
        <v>1621.3402000000001</v>
      </c>
      <c r="H30" t="s">
        <v>53</v>
      </c>
      <c r="I30" t="s">
        <v>64</v>
      </c>
      <c r="J30" t="s">
        <v>60</v>
      </c>
      <c r="K30" t="s">
        <v>65</v>
      </c>
    </row>
    <row r="31" spans="1:11" x14ac:dyDescent="0.3">
      <c r="A31">
        <v>18</v>
      </c>
      <c r="B31" t="s">
        <v>7</v>
      </c>
      <c r="C31">
        <v>19.3</v>
      </c>
      <c r="D31">
        <v>0</v>
      </c>
      <c r="E31" t="s">
        <v>10</v>
      </c>
      <c r="F31" t="s">
        <v>13</v>
      </c>
      <c r="G31">
        <v>1621.8827000000001</v>
      </c>
      <c r="H31" t="s">
        <v>53</v>
      </c>
      <c r="I31" t="s">
        <v>64</v>
      </c>
      <c r="J31" t="s">
        <v>60</v>
      </c>
      <c r="K31" t="s">
        <v>65</v>
      </c>
    </row>
    <row r="32" spans="1:11" x14ac:dyDescent="0.3">
      <c r="A32">
        <v>18</v>
      </c>
      <c r="B32" t="s">
        <v>8</v>
      </c>
      <c r="C32">
        <v>19.475000000000001</v>
      </c>
      <c r="D32">
        <v>0</v>
      </c>
      <c r="E32" t="s">
        <v>10</v>
      </c>
      <c r="F32" t="s">
        <v>13</v>
      </c>
      <c r="G32">
        <v>1622.1885</v>
      </c>
      <c r="H32" t="s">
        <v>53</v>
      </c>
      <c r="I32" t="s">
        <v>64</v>
      </c>
      <c r="J32" t="s">
        <v>60</v>
      </c>
      <c r="K32" t="s">
        <v>65</v>
      </c>
    </row>
    <row r="33" spans="1:11" x14ac:dyDescent="0.3">
      <c r="A33">
        <v>18</v>
      </c>
      <c r="B33" t="s">
        <v>8</v>
      </c>
      <c r="C33">
        <v>19.57</v>
      </c>
      <c r="D33">
        <v>0</v>
      </c>
      <c r="E33" t="s">
        <v>9</v>
      </c>
      <c r="F33" t="s">
        <v>11</v>
      </c>
      <c r="G33">
        <v>1625.4337499999999</v>
      </c>
      <c r="H33" t="s">
        <v>53</v>
      </c>
      <c r="I33" t="s">
        <v>64</v>
      </c>
      <c r="J33" t="s">
        <v>60</v>
      </c>
      <c r="K33" t="s">
        <v>65</v>
      </c>
    </row>
    <row r="34" spans="1:11" x14ac:dyDescent="0.3">
      <c r="A34">
        <v>18</v>
      </c>
      <c r="B34" t="s">
        <v>8</v>
      </c>
      <c r="C34">
        <v>19.8</v>
      </c>
      <c r="D34">
        <v>0</v>
      </c>
      <c r="E34" t="s">
        <v>9</v>
      </c>
      <c r="F34" t="s">
        <v>11</v>
      </c>
      <c r="G34">
        <v>1627.2824499999999</v>
      </c>
      <c r="H34" t="s">
        <v>53</v>
      </c>
      <c r="I34" t="s">
        <v>64</v>
      </c>
      <c r="J34" t="s">
        <v>60</v>
      </c>
      <c r="K34" t="s">
        <v>65</v>
      </c>
    </row>
    <row r="35" spans="1:11" x14ac:dyDescent="0.3">
      <c r="A35">
        <v>18</v>
      </c>
      <c r="B35" t="s">
        <v>7</v>
      </c>
      <c r="C35">
        <v>19.8</v>
      </c>
      <c r="D35">
        <v>0</v>
      </c>
      <c r="E35" t="s">
        <v>10</v>
      </c>
      <c r="F35" t="s">
        <v>14</v>
      </c>
      <c r="G35">
        <v>1628.4709</v>
      </c>
      <c r="H35" t="s">
        <v>53</v>
      </c>
      <c r="I35" t="s">
        <v>64</v>
      </c>
      <c r="J35" t="s">
        <v>60</v>
      </c>
      <c r="K35" t="s">
        <v>65</v>
      </c>
    </row>
    <row r="36" spans="1:11" x14ac:dyDescent="0.3">
      <c r="A36">
        <v>18</v>
      </c>
      <c r="B36" t="s">
        <v>7</v>
      </c>
      <c r="C36">
        <v>19.8</v>
      </c>
      <c r="D36">
        <v>0</v>
      </c>
      <c r="E36" t="s">
        <v>10</v>
      </c>
      <c r="F36" t="s">
        <v>11</v>
      </c>
      <c r="G36">
        <v>1629.8335</v>
      </c>
      <c r="H36" t="s">
        <v>53</v>
      </c>
      <c r="I36" t="s">
        <v>64</v>
      </c>
      <c r="J36" t="s">
        <v>60</v>
      </c>
      <c r="K36" t="s">
        <v>65</v>
      </c>
    </row>
    <row r="37" spans="1:11" x14ac:dyDescent="0.3">
      <c r="A37">
        <v>18</v>
      </c>
      <c r="B37" t="s">
        <v>8</v>
      </c>
      <c r="C37">
        <v>19.855</v>
      </c>
      <c r="D37">
        <v>0</v>
      </c>
      <c r="E37" t="s">
        <v>10</v>
      </c>
      <c r="F37" t="s">
        <v>13</v>
      </c>
      <c r="G37">
        <v>1631.6683</v>
      </c>
      <c r="H37" t="s">
        <v>53</v>
      </c>
      <c r="I37" t="s">
        <v>64</v>
      </c>
      <c r="J37" t="s">
        <v>60</v>
      </c>
      <c r="K37" t="s">
        <v>65</v>
      </c>
    </row>
    <row r="38" spans="1:11" x14ac:dyDescent="0.3">
      <c r="A38">
        <v>18</v>
      </c>
      <c r="B38" t="s">
        <v>8</v>
      </c>
      <c r="C38">
        <v>19.855</v>
      </c>
      <c r="D38">
        <v>0</v>
      </c>
      <c r="E38" t="s">
        <v>9</v>
      </c>
      <c r="F38" t="s">
        <v>11</v>
      </c>
      <c r="G38">
        <v>1631.8212000000001</v>
      </c>
      <c r="H38" t="s">
        <v>53</v>
      </c>
      <c r="I38" t="s">
        <v>64</v>
      </c>
      <c r="J38" t="s">
        <v>60</v>
      </c>
      <c r="K38" t="s">
        <v>65</v>
      </c>
    </row>
    <row r="39" spans="1:11" x14ac:dyDescent="0.3">
      <c r="A39">
        <v>18</v>
      </c>
      <c r="B39" t="s">
        <v>8</v>
      </c>
      <c r="C39">
        <v>19.95</v>
      </c>
      <c r="D39">
        <v>0</v>
      </c>
      <c r="E39" t="s">
        <v>10</v>
      </c>
      <c r="F39" t="s">
        <v>13</v>
      </c>
      <c r="G39">
        <v>1632.0362500000001</v>
      </c>
      <c r="H39" t="s">
        <v>53</v>
      </c>
      <c r="I39" t="s">
        <v>64</v>
      </c>
      <c r="J39" t="s">
        <v>60</v>
      </c>
      <c r="K39" t="s">
        <v>65</v>
      </c>
    </row>
    <row r="40" spans="1:11" x14ac:dyDescent="0.3">
      <c r="A40">
        <v>18</v>
      </c>
      <c r="B40" t="s">
        <v>7</v>
      </c>
      <c r="C40">
        <v>19.95</v>
      </c>
      <c r="D40">
        <v>0</v>
      </c>
      <c r="E40" t="s">
        <v>10</v>
      </c>
      <c r="F40" t="s">
        <v>13</v>
      </c>
      <c r="G40">
        <v>1632.5644500000001</v>
      </c>
      <c r="H40" t="s">
        <v>53</v>
      </c>
      <c r="I40" t="s">
        <v>64</v>
      </c>
      <c r="J40" t="s">
        <v>60</v>
      </c>
      <c r="K40" t="s">
        <v>65</v>
      </c>
    </row>
    <row r="41" spans="1:11" x14ac:dyDescent="0.3">
      <c r="A41">
        <v>18</v>
      </c>
      <c r="B41" t="s">
        <v>8</v>
      </c>
      <c r="C41">
        <v>19.95</v>
      </c>
      <c r="D41">
        <v>0</v>
      </c>
      <c r="E41" t="s">
        <v>10</v>
      </c>
      <c r="F41" t="s">
        <v>11</v>
      </c>
      <c r="G41">
        <v>1633.0444</v>
      </c>
      <c r="H41" t="s">
        <v>53</v>
      </c>
      <c r="I41" t="s">
        <v>64</v>
      </c>
      <c r="J41" t="s">
        <v>60</v>
      </c>
      <c r="K41" t="s">
        <v>65</v>
      </c>
    </row>
    <row r="42" spans="1:11" x14ac:dyDescent="0.3">
      <c r="A42">
        <v>18</v>
      </c>
      <c r="B42" t="s">
        <v>8</v>
      </c>
      <c r="C42">
        <v>19.95</v>
      </c>
      <c r="D42">
        <v>0</v>
      </c>
      <c r="E42" t="s">
        <v>9</v>
      </c>
      <c r="F42" t="s">
        <v>14</v>
      </c>
      <c r="G42">
        <v>1633.9618</v>
      </c>
      <c r="H42" t="s">
        <v>53</v>
      </c>
      <c r="I42" t="s">
        <v>64</v>
      </c>
      <c r="J42" t="s">
        <v>60</v>
      </c>
      <c r="K42" t="s">
        <v>65</v>
      </c>
    </row>
    <row r="43" spans="1:11" x14ac:dyDescent="0.3">
      <c r="A43">
        <v>18</v>
      </c>
      <c r="B43" t="s">
        <v>8</v>
      </c>
      <c r="C43">
        <v>19.95</v>
      </c>
      <c r="D43">
        <v>0</v>
      </c>
      <c r="E43" t="s">
        <v>9</v>
      </c>
      <c r="F43" t="s">
        <v>11</v>
      </c>
      <c r="G43">
        <v>1634.5734</v>
      </c>
      <c r="H43" t="s">
        <v>53</v>
      </c>
      <c r="I43" t="s">
        <v>64</v>
      </c>
      <c r="J43" t="s">
        <v>60</v>
      </c>
      <c r="K43" t="s">
        <v>65</v>
      </c>
    </row>
    <row r="44" spans="1:11" x14ac:dyDescent="0.3">
      <c r="A44">
        <v>18</v>
      </c>
      <c r="B44" t="s">
        <v>7</v>
      </c>
      <c r="C44">
        <v>19.95</v>
      </c>
      <c r="D44">
        <v>0</v>
      </c>
      <c r="E44" t="s">
        <v>10</v>
      </c>
      <c r="F44" t="s">
        <v>14</v>
      </c>
      <c r="G44">
        <v>1635.7336499999999</v>
      </c>
      <c r="H44" t="s">
        <v>53</v>
      </c>
      <c r="I44" t="s">
        <v>64</v>
      </c>
      <c r="J44" t="s">
        <v>60</v>
      </c>
      <c r="K44" t="s">
        <v>65</v>
      </c>
    </row>
    <row r="45" spans="1:11" x14ac:dyDescent="0.3">
      <c r="A45">
        <v>18</v>
      </c>
      <c r="B45" t="s">
        <v>7</v>
      </c>
      <c r="C45">
        <v>20.045000000000002</v>
      </c>
      <c r="D45">
        <v>0</v>
      </c>
      <c r="E45" t="s">
        <v>10</v>
      </c>
      <c r="F45" t="s">
        <v>12</v>
      </c>
      <c r="G45">
        <v>1639.5631000000001</v>
      </c>
      <c r="H45" t="s">
        <v>53</v>
      </c>
      <c r="I45" t="s">
        <v>64</v>
      </c>
      <c r="J45" t="s">
        <v>60</v>
      </c>
      <c r="K45" t="s">
        <v>65</v>
      </c>
    </row>
    <row r="46" spans="1:11" x14ac:dyDescent="0.3">
      <c r="A46">
        <v>18</v>
      </c>
      <c r="B46" t="s">
        <v>8</v>
      </c>
      <c r="C46">
        <v>20.045000000000002</v>
      </c>
      <c r="D46">
        <v>0</v>
      </c>
      <c r="E46" t="s">
        <v>10</v>
      </c>
      <c r="F46" t="s">
        <v>12</v>
      </c>
      <c r="G46">
        <v>1646.4296999999999</v>
      </c>
      <c r="H46" t="s">
        <v>53</v>
      </c>
      <c r="I46" t="s">
        <v>64</v>
      </c>
      <c r="J46" t="s">
        <v>60</v>
      </c>
      <c r="K46" t="s">
        <v>65</v>
      </c>
    </row>
    <row r="47" spans="1:11" x14ac:dyDescent="0.3">
      <c r="A47">
        <v>18</v>
      </c>
      <c r="B47" t="s">
        <v>7</v>
      </c>
      <c r="C47">
        <v>20.100000000000001</v>
      </c>
      <c r="D47">
        <v>0</v>
      </c>
      <c r="E47" t="s">
        <v>10</v>
      </c>
      <c r="F47" t="s">
        <v>12</v>
      </c>
      <c r="G47">
        <v>1664.9996000000001</v>
      </c>
      <c r="H47" t="s">
        <v>53</v>
      </c>
      <c r="I47" t="s">
        <v>64</v>
      </c>
      <c r="J47" t="s">
        <v>60</v>
      </c>
      <c r="K47" t="s">
        <v>65</v>
      </c>
    </row>
    <row r="48" spans="1:11" x14ac:dyDescent="0.3">
      <c r="A48">
        <v>18</v>
      </c>
      <c r="B48" t="s">
        <v>8</v>
      </c>
      <c r="C48">
        <v>20.13</v>
      </c>
      <c r="D48">
        <v>0</v>
      </c>
      <c r="E48" t="s">
        <v>10</v>
      </c>
      <c r="F48" t="s">
        <v>14</v>
      </c>
      <c r="G48">
        <v>1674.6323</v>
      </c>
      <c r="H48" t="s">
        <v>53</v>
      </c>
      <c r="I48" t="s">
        <v>64</v>
      </c>
      <c r="J48" t="s">
        <v>60</v>
      </c>
      <c r="K48" t="s">
        <v>65</v>
      </c>
    </row>
    <row r="49" spans="1:11" x14ac:dyDescent="0.3">
      <c r="A49">
        <v>18</v>
      </c>
      <c r="B49" t="s">
        <v>8</v>
      </c>
      <c r="C49">
        <v>20.234999999999999</v>
      </c>
      <c r="D49">
        <v>0</v>
      </c>
      <c r="E49" t="s">
        <v>10</v>
      </c>
      <c r="F49" t="s">
        <v>11</v>
      </c>
      <c r="G49">
        <v>1682.597</v>
      </c>
      <c r="H49" t="s">
        <v>53</v>
      </c>
      <c r="I49" t="s">
        <v>64</v>
      </c>
      <c r="J49" t="s">
        <v>60</v>
      </c>
      <c r="K49" t="s">
        <v>65</v>
      </c>
    </row>
    <row r="50" spans="1:11" x14ac:dyDescent="0.3">
      <c r="A50">
        <v>18</v>
      </c>
      <c r="B50" t="s">
        <v>7</v>
      </c>
      <c r="C50">
        <v>20.234999999999999</v>
      </c>
      <c r="D50">
        <v>0</v>
      </c>
      <c r="E50" t="s">
        <v>10</v>
      </c>
      <c r="F50" t="s">
        <v>14</v>
      </c>
      <c r="G50">
        <v>1694.7963999999999</v>
      </c>
      <c r="H50" t="s">
        <v>53</v>
      </c>
      <c r="I50" t="s">
        <v>64</v>
      </c>
      <c r="J50" t="s">
        <v>60</v>
      </c>
      <c r="K50" t="s">
        <v>65</v>
      </c>
    </row>
    <row r="51" spans="1:11" x14ac:dyDescent="0.3">
      <c r="A51">
        <v>18</v>
      </c>
      <c r="B51" t="s">
        <v>7</v>
      </c>
      <c r="C51">
        <v>20.234999999999999</v>
      </c>
      <c r="D51">
        <v>0</v>
      </c>
      <c r="E51" t="s">
        <v>10</v>
      </c>
      <c r="F51" t="s">
        <v>13</v>
      </c>
      <c r="G51">
        <v>1702.4553000000001</v>
      </c>
      <c r="H51" t="s">
        <v>53</v>
      </c>
      <c r="I51" t="s">
        <v>64</v>
      </c>
      <c r="J51" t="s">
        <v>60</v>
      </c>
      <c r="K51" t="s">
        <v>65</v>
      </c>
    </row>
    <row r="52" spans="1:11" x14ac:dyDescent="0.3">
      <c r="A52">
        <v>18</v>
      </c>
      <c r="B52" t="s">
        <v>7</v>
      </c>
      <c r="C52">
        <v>20.234999999999999</v>
      </c>
      <c r="D52">
        <v>0</v>
      </c>
      <c r="E52" t="s">
        <v>10</v>
      </c>
      <c r="F52" t="s">
        <v>12</v>
      </c>
      <c r="G52">
        <v>1704.5681</v>
      </c>
      <c r="H52" t="s">
        <v>53</v>
      </c>
      <c r="I52" t="s">
        <v>64</v>
      </c>
      <c r="J52" t="s">
        <v>60</v>
      </c>
      <c r="K52" t="s">
        <v>65</v>
      </c>
    </row>
    <row r="53" spans="1:11" x14ac:dyDescent="0.3">
      <c r="A53">
        <v>18</v>
      </c>
      <c r="B53" t="s">
        <v>8</v>
      </c>
      <c r="C53">
        <v>20.3</v>
      </c>
      <c r="D53">
        <v>0</v>
      </c>
      <c r="E53" t="s">
        <v>9</v>
      </c>
      <c r="F53" t="s">
        <v>12</v>
      </c>
      <c r="G53">
        <v>1704.7001499999999</v>
      </c>
      <c r="H53" t="s">
        <v>53</v>
      </c>
      <c r="I53" t="s">
        <v>64</v>
      </c>
      <c r="J53" t="s">
        <v>60</v>
      </c>
      <c r="K53" t="s">
        <v>65</v>
      </c>
    </row>
    <row r="54" spans="1:11" x14ac:dyDescent="0.3">
      <c r="A54">
        <v>18</v>
      </c>
      <c r="B54" t="s">
        <v>7</v>
      </c>
      <c r="C54">
        <v>20.350000000000001</v>
      </c>
      <c r="D54">
        <v>0</v>
      </c>
      <c r="E54" t="s">
        <v>10</v>
      </c>
      <c r="F54" t="s">
        <v>14</v>
      </c>
      <c r="G54">
        <v>1705.6244999999999</v>
      </c>
      <c r="H54" t="s">
        <v>53</v>
      </c>
      <c r="I54" t="s">
        <v>64</v>
      </c>
      <c r="J54" t="s">
        <v>60</v>
      </c>
      <c r="K54" t="s">
        <v>65</v>
      </c>
    </row>
    <row r="55" spans="1:11" x14ac:dyDescent="0.3">
      <c r="A55">
        <v>18</v>
      </c>
      <c r="B55" t="s">
        <v>7</v>
      </c>
      <c r="C55">
        <v>20.399999999999999</v>
      </c>
      <c r="D55">
        <v>0</v>
      </c>
      <c r="E55" t="s">
        <v>10</v>
      </c>
      <c r="F55" t="s">
        <v>13</v>
      </c>
      <c r="G55">
        <v>1708.0014000000001</v>
      </c>
      <c r="H55" t="s">
        <v>53</v>
      </c>
      <c r="I55" t="s">
        <v>64</v>
      </c>
      <c r="J55" t="s">
        <v>60</v>
      </c>
      <c r="K55" t="s">
        <v>65</v>
      </c>
    </row>
    <row r="56" spans="1:11" x14ac:dyDescent="0.3">
      <c r="A56">
        <v>18</v>
      </c>
      <c r="B56" t="s">
        <v>8</v>
      </c>
      <c r="C56">
        <v>20.425000000000001</v>
      </c>
      <c r="D56">
        <v>0</v>
      </c>
      <c r="E56" t="s">
        <v>9</v>
      </c>
      <c r="F56" t="s">
        <v>11</v>
      </c>
      <c r="G56">
        <v>1708.9257500000001</v>
      </c>
      <c r="H56" t="s">
        <v>53</v>
      </c>
      <c r="I56" t="s">
        <v>64</v>
      </c>
      <c r="J56" t="s">
        <v>60</v>
      </c>
      <c r="K56" t="s">
        <v>65</v>
      </c>
    </row>
    <row r="57" spans="1:11" x14ac:dyDescent="0.3">
      <c r="A57">
        <v>18</v>
      </c>
      <c r="B57" t="s">
        <v>8</v>
      </c>
      <c r="C57">
        <v>20.52</v>
      </c>
      <c r="D57">
        <v>0</v>
      </c>
      <c r="E57" t="s">
        <v>9</v>
      </c>
      <c r="F57" t="s">
        <v>12</v>
      </c>
      <c r="G57">
        <v>1711.0268000000001</v>
      </c>
      <c r="H57" t="s">
        <v>53</v>
      </c>
      <c r="I57" t="s">
        <v>64</v>
      </c>
      <c r="J57" t="s">
        <v>60</v>
      </c>
      <c r="K57" t="s">
        <v>65</v>
      </c>
    </row>
    <row r="58" spans="1:11" x14ac:dyDescent="0.3">
      <c r="A58">
        <v>18</v>
      </c>
      <c r="B58" t="s">
        <v>7</v>
      </c>
      <c r="C58">
        <v>20.52</v>
      </c>
      <c r="D58">
        <v>0</v>
      </c>
      <c r="E58" t="s">
        <v>10</v>
      </c>
      <c r="F58" t="s">
        <v>13</v>
      </c>
      <c r="G58">
        <v>1712.2270000000001</v>
      </c>
      <c r="H58" t="s">
        <v>53</v>
      </c>
      <c r="I58" t="s">
        <v>64</v>
      </c>
      <c r="J58" t="s">
        <v>60</v>
      </c>
      <c r="K58" t="s">
        <v>65</v>
      </c>
    </row>
    <row r="59" spans="1:11" x14ac:dyDescent="0.3">
      <c r="A59">
        <v>18</v>
      </c>
      <c r="B59" t="s">
        <v>8</v>
      </c>
      <c r="C59">
        <v>20.6</v>
      </c>
      <c r="D59">
        <v>0</v>
      </c>
      <c r="E59" t="s">
        <v>9</v>
      </c>
      <c r="F59" t="s">
        <v>13</v>
      </c>
      <c r="G59">
        <v>1719.4363000000001</v>
      </c>
      <c r="H59" t="s">
        <v>53</v>
      </c>
      <c r="I59" t="s">
        <v>64</v>
      </c>
      <c r="J59" t="s">
        <v>60</v>
      </c>
      <c r="K59" t="s">
        <v>65</v>
      </c>
    </row>
    <row r="60" spans="1:11" x14ac:dyDescent="0.3">
      <c r="A60">
        <v>18</v>
      </c>
      <c r="B60" t="s">
        <v>7</v>
      </c>
      <c r="C60">
        <v>20.6</v>
      </c>
      <c r="D60">
        <v>0</v>
      </c>
      <c r="E60" t="s">
        <v>10</v>
      </c>
      <c r="F60" t="s">
        <v>14</v>
      </c>
      <c r="G60">
        <v>1720.3536999999999</v>
      </c>
      <c r="H60" t="s">
        <v>53</v>
      </c>
      <c r="I60" t="s">
        <v>64</v>
      </c>
      <c r="J60" t="s">
        <v>60</v>
      </c>
      <c r="K60" t="s">
        <v>65</v>
      </c>
    </row>
    <row r="61" spans="1:11" x14ac:dyDescent="0.3">
      <c r="A61">
        <v>18</v>
      </c>
      <c r="B61" t="s">
        <v>8</v>
      </c>
      <c r="C61">
        <v>20.614999999999998</v>
      </c>
      <c r="D61">
        <v>0</v>
      </c>
      <c r="E61" t="s">
        <v>9</v>
      </c>
      <c r="F61" t="s">
        <v>12</v>
      </c>
      <c r="G61">
        <v>1725.5523000000001</v>
      </c>
      <c r="H61" t="s">
        <v>53</v>
      </c>
      <c r="I61" t="s">
        <v>64</v>
      </c>
      <c r="J61" t="s">
        <v>60</v>
      </c>
      <c r="K61" t="s">
        <v>65</v>
      </c>
    </row>
    <row r="62" spans="1:11" x14ac:dyDescent="0.3">
      <c r="A62">
        <v>18</v>
      </c>
      <c r="B62" t="s">
        <v>7</v>
      </c>
      <c r="C62">
        <v>20.7</v>
      </c>
      <c r="D62">
        <v>0</v>
      </c>
      <c r="E62" t="s">
        <v>9</v>
      </c>
      <c r="F62" t="s">
        <v>12</v>
      </c>
      <c r="G62">
        <v>1727.54</v>
      </c>
      <c r="H62" t="s">
        <v>53</v>
      </c>
      <c r="I62" t="s">
        <v>64</v>
      </c>
      <c r="J62" t="s">
        <v>60</v>
      </c>
      <c r="K62" t="s">
        <v>65</v>
      </c>
    </row>
    <row r="63" spans="1:11" x14ac:dyDescent="0.3">
      <c r="A63">
        <v>18</v>
      </c>
      <c r="B63" t="s">
        <v>7</v>
      </c>
      <c r="C63">
        <v>20.79</v>
      </c>
      <c r="D63">
        <v>0</v>
      </c>
      <c r="E63" t="s">
        <v>10</v>
      </c>
      <c r="F63" t="s">
        <v>13</v>
      </c>
      <c r="G63">
        <v>1727.7850000000001</v>
      </c>
      <c r="H63" t="s">
        <v>53</v>
      </c>
      <c r="I63" t="s">
        <v>64</v>
      </c>
      <c r="J63" t="s">
        <v>60</v>
      </c>
      <c r="K63" t="s">
        <v>65</v>
      </c>
    </row>
    <row r="64" spans="1:11" x14ac:dyDescent="0.3">
      <c r="A64">
        <v>18</v>
      </c>
      <c r="B64" t="s">
        <v>8</v>
      </c>
      <c r="C64">
        <v>20.8</v>
      </c>
      <c r="D64">
        <v>0</v>
      </c>
      <c r="E64" t="s">
        <v>10</v>
      </c>
      <c r="F64" t="s">
        <v>14</v>
      </c>
      <c r="G64">
        <v>1728.8969999999999</v>
      </c>
      <c r="H64" t="s">
        <v>53</v>
      </c>
      <c r="I64" t="s">
        <v>64</v>
      </c>
      <c r="J64" t="s">
        <v>60</v>
      </c>
      <c r="K64" t="s">
        <v>65</v>
      </c>
    </row>
    <row r="65" spans="1:11" x14ac:dyDescent="0.3">
      <c r="A65">
        <v>18</v>
      </c>
      <c r="B65" t="s">
        <v>8</v>
      </c>
      <c r="C65">
        <v>20.8</v>
      </c>
      <c r="D65">
        <v>0</v>
      </c>
      <c r="E65" t="s">
        <v>10</v>
      </c>
      <c r="F65" t="s">
        <v>12</v>
      </c>
      <c r="G65">
        <v>1731.6769999999999</v>
      </c>
      <c r="H65" t="s">
        <v>53</v>
      </c>
      <c r="I65" t="s">
        <v>64</v>
      </c>
      <c r="J65" t="s">
        <v>60</v>
      </c>
      <c r="K65" t="s">
        <v>65</v>
      </c>
    </row>
    <row r="66" spans="1:11" x14ac:dyDescent="0.3">
      <c r="A66">
        <v>18</v>
      </c>
      <c r="B66" t="s">
        <v>8</v>
      </c>
      <c r="C66">
        <v>20.9</v>
      </c>
      <c r="D66">
        <v>0</v>
      </c>
      <c r="E66" t="s">
        <v>10</v>
      </c>
      <c r="F66" t="s">
        <v>13</v>
      </c>
      <c r="G66">
        <v>1737.376</v>
      </c>
      <c r="H66" t="s">
        <v>53</v>
      </c>
      <c r="I66" t="s">
        <v>64</v>
      </c>
      <c r="J66" t="s">
        <v>60</v>
      </c>
      <c r="K66" t="s">
        <v>65</v>
      </c>
    </row>
    <row r="67" spans="1:11" x14ac:dyDescent="0.3">
      <c r="A67">
        <v>18</v>
      </c>
      <c r="B67" t="s">
        <v>7</v>
      </c>
      <c r="C67">
        <v>20.9</v>
      </c>
      <c r="D67">
        <v>0</v>
      </c>
      <c r="E67" t="s">
        <v>10</v>
      </c>
      <c r="F67" t="s">
        <v>13</v>
      </c>
      <c r="G67">
        <v>1743.2139999999999</v>
      </c>
      <c r="H67" t="s">
        <v>53</v>
      </c>
      <c r="I67" t="s">
        <v>64</v>
      </c>
      <c r="J67" t="s">
        <v>60</v>
      </c>
      <c r="K67" t="s">
        <v>65</v>
      </c>
    </row>
    <row r="68" spans="1:11" x14ac:dyDescent="0.3">
      <c r="A68">
        <v>18</v>
      </c>
      <c r="B68" t="s">
        <v>7</v>
      </c>
      <c r="C68">
        <v>21.01</v>
      </c>
      <c r="D68">
        <v>0</v>
      </c>
      <c r="E68" t="s">
        <v>9</v>
      </c>
      <c r="F68" t="s">
        <v>13</v>
      </c>
      <c r="G68">
        <v>1744.4649999999999</v>
      </c>
      <c r="H68" t="s">
        <v>53</v>
      </c>
      <c r="I68" t="s">
        <v>64</v>
      </c>
      <c r="J68" t="s">
        <v>60</v>
      </c>
      <c r="K68" t="s">
        <v>65</v>
      </c>
    </row>
    <row r="69" spans="1:11" x14ac:dyDescent="0.3">
      <c r="A69">
        <v>18</v>
      </c>
      <c r="B69" t="s">
        <v>7</v>
      </c>
      <c r="C69">
        <v>21.09</v>
      </c>
      <c r="D69">
        <v>0</v>
      </c>
      <c r="E69" t="s">
        <v>10</v>
      </c>
      <c r="F69" t="s">
        <v>11</v>
      </c>
      <c r="G69">
        <v>1748.7739999999999</v>
      </c>
      <c r="H69" t="s">
        <v>53</v>
      </c>
      <c r="I69" t="s">
        <v>64</v>
      </c>
      <c r="J69" t="s">
        <v>60</v>
      </c>
      <c r="K69" t="s">
        <v>65</v>
      </c>
    </row>
    <row r="70" spans="1:11" x14ac:dyDescent="0.3">
      <c r="A70">
        <v>18</v>
      </c>
      <c r="B70" t="s">
        <v>7</v>
      </c>
      <c r="C70">
        <v>21.12</v>
      </c>
      <c r="D70">
        <v>0</v>
      </c>
      <c r="E70" t="s">
        <v>10</v>
      </c>
      <c r="F70" t="s">
        <v>11</v>
      </c>
      <c r="G70">
        <v>1759.338</v>
      </c>
      <c r="H70" t="s">
        <v>53</v>
      </c>
      <c r="I70" t="s">
        <v>64</v>
      </c>
      <c r="J70" t="s">
        <v>60</v>
      </c>
      <c r="K70" t="s">
        <v>65</v>
      </c>
    </row>
    <row r="71" spans="1:11" x14ac:dyDescent="0.3">
      <c r="A71">
        <v>18</v>
      </c>
      <c r="B71" t="s">
        <v>8</v>
      </c>
      <c r="C71">
        <v>21.28</v>
      </c>
      <c r="D71">
        <v>0</v>
      </c>
      <c r="E71" t="s">
        <v>10</v>
      </c>
      <c r="F71" t="s">
        <v>13</v>
      </c>
      <c r="G71">
        <v>1769.5316499999999</v>
      </c>
      <c r="H71" t="s">
        <v>53</v>
      </c>
      <c r="I71" t="s">
        <v>64</v>
      </c>
      <c r="J71" t="s">
        <v>60</v>
      </c>
      <c r="K71" t="s">
        <v>65</v>
      </c>
    </row>
    <row r="72" spans="1:11" x14ac:dyDescent="0.3">
      <c r="A72">
        <v>18</v>
      </c>
      <c r="B72" t="s">
        <v>7</v>
      </c>
      <c r="C72">
        <v>21.3</v>
      </c>
      <c r="D72">
        <v>0</v>
      </c>
      <c r="E72" t="s">
        <v>10</v>
      </c>
      <c r="F72" t="s">
        <v>12</v>
      </c>
      <c r="G72">
        <v>1815.8759</v>
      </c>
      <c r="H72" t="s">
        <v>53</v>
      </c>
      <c r="I72" t="s">
        <v>64</v>
      </c>
      <c r="J72" t="s">
        <v>60</v>
      </c>
      <c r="K72" t="s">
        <v>65</v>
      </c>
    </row>
    <row r="73" spans="1:11" x14ac:dyDescent="0.3">
      <c r="A73">
        <v>19</v>
      </c>
      <c r="B73" t="s">
        <v>8</v>
      </c>
      <c r="C73">
        <v>21.375</v>
      </c>
      <c r="D73">
        <v>0</v>
      </c>
      <c r="E73" t="s">
        <v>9</v>
      </c>
      <c r="F73" t="s">
        <v>12</v>
      </c>
      <c r="G73">
        <v>1824.2854</v>
      </c>
      <c r="H73" t="s">
        <v>53</v>
      </c>
      <c r="I73" t="s">
        <v>64</v>
      </c>
      <c r="J73" t="s">
        <v>60</v>
      </c>
      <c r="K73" t="s">
        <v>65</v>
      </c>
    </row>
    <row r="74" spans="1:11" x14ac:dyDescent="0.3">
      <c r="A74">
        <v>19</v>
      </c>
      <c r="B74" t="s">
        <v>7</v>
      </c>
      <c r="C74">
        <v>21.375</v>
      </c>
      <c r="D74">
        <v>0</v>
      </c>
      <c r="E74" t="s">
        <v>9</v>
      </c>
      <c r="F74" t="s">
        <v>12</v>
      </c>
      <c r="G74">
        <v>1826.8430000000001</v>
      </c>
      <c r="H74" t="s">
        <v>53</v>
      </c>
      <c r="I74" t="s">
        <v>64</v>
      </c>
      <c r="J74" t="s">
        <v>60</v>
      </c>
      <c r="K74" t="s">
        <v>65</v>
      </c>
    </row>
    <row r="75" spans="1:11" x14ac:dyDescent="0.3">
      <c r="A75">
        <v>19</v>
      </c>
      <c r="B75" t="s">
        <v>8</v>
      </c>
      <c r="C75">
        <v>21.4</v>
      </c>
      <c r="D75">
        <v>0</v>
      </c>
      <c r="E75" t="s">
        <v>10</v>
      </c>
      <c r="F75" t="s">
        <v>14</v>
      </c>
      <c r="G75">
        <v>1832.0940000000001</v>
      </c>
      <c r="H75" t="s">
        <v>53</v>
      </c>
      <c r="I75" t="s">
        <v>64</v>
      </c>
      <c r="J75" t="s">
        <v>60</v>
      </c>
      <c r="K75" t="s">
        <v>65</v>
      </c>
    </row>
    <row r="76" spans="1:11" x14ac:dyDescent="0.3">
      <c r="A76">
        <v>19</v>
      </c>
      <c r="B76" t="s">
        <v>7</v>
      </c>
      <c r="C76">
        <v>21.4</v>
      </c>
      <c r="D76">
        <v>0</v>
      </c>
      <c r="E76" t="s">
        <v>10</v>
      </c>
      <c r="F76" t="s">
        <v>11</v>
      </c>
      <c r="G76">
        <v>1837.2370000000001</v>
      </c>
      <c r="H76" t="s">
        <v>53</v>
      </c>
      <c r="I76" t="s">
        <v>64</v>
      </c>
      <c r="J76" t="s">
        <v>60</v>
      </c>
      <c r="K76" t="s">
        <v>65</v>
      </c>
    </row>
    <row r="77" spans="1:11" x14ac:dyDescent="0.3">
      <c r="A77">
        <v>19</v>
      </c>
      <c r="B77" t="s">
        <v>8</v>
      </c>
      <c r="C77">
        <v>21.47</v>
      </c>
      <c r="D77">
        <v>0</v>
      </c>
      <c r="E77" t="s">
        <v>10</v>
      </c>
      <c r="F77" t="s">
        <v>12</v>
      </c>
      <c r="G77">
        <v>1837.2819</v>
      </c>
      <c r="H77" t="s">
        <v>53</v>
      </c>
      <c r="I77" t="s">
        <v>64</v>
      </c>
      <c r="J77" t="s">
        <v>60</v>
      </c>
      <c r="K77" t="s">
        <v>65</v>
      </c>
    </row>
    <row r="78" spans="1:11" x14ac:dyDescent="0.3">
      <c r="A78">
        <v>19</v>
      </c>
      <c r="B78" t="s">
        <v>8</v>
      </c>
      <c r="C78">
        <v>21.47</v>
      </c>
      <c r="D78">
        <v>0</v>
      </c>
      <c r="E78" t="s">
        <v>10</v>
      </c>
      <c r="F78" t="s">
        <v>11</v>
      </c>
      <c r="G78">
        <v>1842.519</v>
      </c>
      <c r="H78" t="s">
        <v>53</v>
      </c>
      <c r="I78" t="s">
        <v>64</v>
      </c>
      <c r="J78" t="s">
        <v>60</v>
      </c>
      <c r="K78" t="s">
        <v>65</v>
      </c>
    </row>
    <row r="79" spans="1:11" x14ac:dyDescent="0.3">
      <c r="A79">
        <v>19</v>
      </c>
      <c r="B79" t="s">
        <v>8</v>
      </c>
      <c r="C79">
        <v>21.47</v>
      </c>
      <c r="D79">
        <v>0</v>
      </c>
      <c r="E79" t="s">
        <v>10</v>
      </c>
      <c r="F79" t="s">
        <v>13</v>
      </c>
      <c r="G79">
        <v>1875.3440000000001</v>
      </c>
      <c r="H79" t="s">
        <v>53</v>
      </c>
      <c r="I79" t="s">
        <v>64</v>
      </c>
      <c r="J79" t="s">
        <v>60</v>
      </c>
      <c r="K79" t="s">
        <v>65</v>
      </c>
    </row>
    <row r="80" spans="1:11" x14ac:dyDescent="0.3">
      <c r="A80">
        <v>19</v>
      </c>
      <c r="B80" t="s">
        <v>7</v>
      </c>
      <c r="C80">
        <v>21.5</v>
      </c>
      <c r="D80">
        <v>0</v>
      </c>
      <c r="E80" t="s">
        <v>10</v>
      </c>
      <c r="F80" t="s">
        <v>12</v>
      </c>
      <c r="G80">
        <v>1877.9294</v>
      </c>
      <c r="H80" t="s">
        <v>53</v>
      </c>
      <c r="I80" t="s">
        <v>64</v>
      </c>
      <c r="J80" t="s">
        <v>60</v>
      </c>
      <c r="K80" t="s">
        <v>65</v>
      </c>
    </row>
    <row r="81" spans="1:11" x14ac:dyDescent="0.3">
      <c r="A81">
        <v>19</v>
      </c>
      <c r="B81" t="s">
        <v>8</v>
      </c>
      <c r="C81">
        <v>21.56</v>
      </c>
      <c r="D81">
        <v>0</v>
      </c>
      <c r="E81" t="s">
        <v>10</v>
      </c>
      <c r="F81" t="s">
        <v>12</v>
      </c>
      <c r="G81">
        <v>1880.07</v>
      </c>
      <c r="H81" t="s">
        <v>53</v>
      </c>
      <c r="I81" t="s">
        <v>64</v>
      </c>
      <c r="J81" t="s">
        <v>60</v>
      </c>
      <c r="K81" t="s">
        <v>65</v>
      </c>
    </row>
    <row r="82" spans="1:11" x14ac:dyDescent="0.3">
      <c r="A82">
        <v>19</v>
      </c>
      <c r="B82" t="s">
        <v>7</v>
      </c>
      <c r="C82">
        <v>21.565000000000001</v>
      </c>
      <c r="D82">
        <v>0</v>
      </c>
      <c r="E82" t="s">
        <v>10</v>
      </c>
      <c r="F82" t="s">
        <v>14</v>
      </c>
      <c r="G82">
        <v>1880.4870000000001</v>
      </c>
      <c r="H82" t="s">
        <v>53</v>
      </c>
      <c r="I82" t="s">
        <v>64</v>
      </c>
      <c r="J82" t="s">
        <v>60</v>
      </c>
      <c r="K82" t="s">
        <v>65</v>
      </c>
    </row>
    <row r="83" spans="1:11" x14ac:dyDescent="0.3">
      <c r="A83">
        <v>19</v>
      </c>
      <c r="B83" t="s">
        <v>7</v>
      </c>
      <c r="C83">
        <v>21.66</v>
      </c>
      <c r="D83">
        <v>0</v>
      </c>
      <c r="E83" t="s">
        <v>10</v>
      </c>
      <c r="F83" t="s">
        <v>13</v>
      </c>
      <c r="G83">
        <v>1906.35825</v>
      </c>
      <c r="H83" t="s">
        <v>53</v>
      </c>
      <c r="I83" t="s">
        <v>64</v>
      </c>
      <c r="J83" t="s">
        <v>60</v>
      </c>
      <c r="K83" t="s">
        <v>65</v>
      </c>
    </row>
    <row r="84" spans="1:11" x14ac:dyDescent="0.3">
      <c r="A84">
        <v>19</v>
      </c>
      <c r="B84" t="s">
        <v>8</v>
      </c>
      <c r="C84">
        <v>21.66</v>
      </c>
      <c r="D84">
        <v>0</v>
      </c>
      <c r="E84" t="s">
        <v>10</v>
      </c>
      <c r="F84" t="s">
        <v>14</v>
      </c>
      <c r="G84">
        <v>1909.52745</v>
      </c>
      <c r="H84" t="s">
        <v>53</v>
      </c>
      <c r="I84" t="s">
        <v>64</v>
      </c>
      <c r="J84" t="s">
        <v>60</v>
      </c>
      <c r="K84" t="s">
        <v>65</v>
      </c>
    </row>
    <row r="85" spans="1:11" x14ac:dyDescent="0.3">
      <c r="A85">
        <v>19</v>
      </c>
      <c r="B85" t="s">
        <v>7</v>
      </c>
      <c r="C85">
        <v>21.66</v>
      </c>
      <c r="D85">
        <v>0</v>
      </c>
      <c r="E85" t="s">
        <v>10</v>
      </c>
      <c r="F85" t="s">
        <v>14</v>
      </c>
      <c r="G85">
        <v>1917.3184000000001</v>
      </c>
      <c r="H85" t="s">
        <v>53</v>
      </c>
      <c r="I85" t="s">
        <v>64</v>
      </c>
      <c r="J85" t="s">
        <v>60</v>
      </c>
      <c r="K85" t="s">
        <v>65</v>
      </c>
    </row>
    <row r="86" spans="1:11" x14ac:dyDescent="0.3">
      <c r="A86">
        <v>19</v>
      </c>
      <c r="B86" t="s">
        <v>8</v>
      </c>
      <c r="C86">
        <v>21.7</v>
      </c>
      <c r="D86">
        <v>0</v>
      </c>
      <c r="E86" t="s">
        <v>9</v>
      </c>
      <c r="F86" t="s">
        <v>12</v>
      </c>
      <c r="G86">
        <v>1964.78</v>
      </c>
      <c r="H86" t="s">
        <v>53</v>
      </c>
      <c r="I86" t="s">
        <v>64</v>
      </c>
      <c r="J86" t="s">
        <v>60</v>
      </c>
      <c r="K86" t="s">
        <v>65</v>
      </c>
    </row>
    <row r="87" spans="1:11" x14ac:dyDescent="0.3">
      <c r="A87">
        <v>19</v>
      </c>
      <c r="B87" t="s">
        <v>7</v>
      </c>
      <c r="C87">
        <v>21.754999999999999</v>
      </c>
      <c r="D87">
        <v>0</v>
      </c>
      <c r="E87" t="s">
        <v>10</v>
      </c>
      <c r="F87" t="s">
        <v>13</v>
      </c>
      <c r="G87">
        <v>1967.0227</v>
      </c>
      <c r="H87" t="s">
        <v>53</v>
      </c>
      <c r="I87" t="s">
        <v>64</v>
      </c>
      <c r="J87" t="s">
        <v>60</v>
      </c>
      <c r="K87" t="s">
        <v>65</v>
      </c>
    </row>
    <row r="88" spans="1:11" x14ac:dyDescent="0.3">
      <c r="A88">
        <v>19</v>
      </c>
      <c r="B88" t="s">
        <v>7</v>
      </c>
      <c r="C88">
        <v>21.754999999999999</v>
      </c>
      <c r="D88">
        <v>0</v>
      </c>
      <c r="E88" t="s">
        <v>9</v>
      </c>
      <c r="F88" t="s">
        <v>11</v>
      </c>
      <c r="G88">
        <v>1969.614</v>
      </c>
      <c r="H88" t="s">
        <v>53</v>
      </c>
      <c r="I88" t="s">
        <v>64</v>
      </c>
      <c r="J88" t="s">
        <v>60</v>
      </c>
      <c r="K88" t="s">
        <v>65</v>
      </c>
    </row>
    <row r="89" spans="1:11" x14ac:dyDescent="0.3">
      <c r="A89">
        <v>19</v>
      </c>
      <c r="B89" t="s">
        <v>8</v>
      </c>
      <c r="C89">
        <v>21.754999999999999</v>
      </c>
      <c r="D89">
        <v>0</v>
      </c>
      <c r="E89" t="s">
        <v>9</v>
      </c>
      <c r="F89" t="s">
        <v>13</v>
      </c>
      <c r="G89">
        <v>1972.95</v>
      </c>
      <c r="H89" t="s">
        <v>53</v>
      </c>
      <c r="I89" t="s">
        <v>64</v>
      </c>
      <c r="J89" t="s">
        <v>60</v>
      </c>
      <c r="K89" t="s">
        <v>65</v>
      </c>
    </row>
    <row r="90" spans="1:11" x14ac:dyDescent="0.3">
      <c r="A90">
        <v>19</v>
      </c>
      <c r="B90" t="s">
        <v>7</v>
      </c>
      <c r="C90">
        <v>21.754999999999999</v>
      </c>
      <c r="D90">
        <v>0</v>
      </c>
      <c r="E90" t="s">
        <v>9</v>
      </c>
      <c r="F90" t="s">
        <v>13</v>
      </c>
      <c r="G90">
        <v>1977.8150000000001</v>
      </c>
      <c r="H90" t="s">
        <v>53</v>
      </c>
      <c r="I90" t="s">
        <v>64</v>
      </c>
      <c r="J90" t="s">
        <v>60</v>
      </c>
      <c r="K90" t="s">
        <v>65</v>
      </c>
    </row>
    <row r="91" spans="1:11" x14ac:dyDescent="0.3">
      <c r="A91">
        <v>19</v>
      </c>
      <c r="B91" t="s">
        <v>7</v>
      </c>
      <c r="C91">
        <v>21.78</v>
      </c>
      <c r="D91">
        <v>0</v>
      </c>
      <c r="E91" t="s">
        <v>10</v>
      </c>
      <c r="F91" t="s">
        <v>11</v>
      </c>
      <c r="G91">
        <v>1980.07</v>
      </c>
      <c r="H91" t="s">
        <v>53</v>
      </c>
      <c r="I91" t="s">
        <v>64</v>
      </c>
      <c r="J91" t="s">
        <v>60</v>
      </c>
      <c r="K91" t="s">
        <v>65</v>
      </c>
    </row>
    <row r="92" spans="1:11" x14ac:dyDescent="0.3">
      <c r="A92">
        <v>19</v>
      </c>
      <c r="B92" t="s">
        <v>7</v>
      </c>
      <c r="C92">
        <v>21.78</v>
      </c>
      <c r="D92">
        <v>0</v>
      </c>
      <c r="E92" t="s">
        <v>10</v>
      </c>
      <c r="F92" t="s">
        <v>13</v>
      </c>
      <c r="G92">
        <v>1981.5818999999999</v>
      </c>
      <c r="H92" t="s">
        <v>53</v>
      </c>
      <c r="I92" t="s">
        <v>64</v>
      </c>
      <c r="J92" t="s">
        <v>60</v>
      </c>
      <c r="K92" t="s">
        <v>65</v>
      </c>
    </row>
    <row r="93" spans="1:11" x14ac:dyDescent="0.3">
      <c r="A93">
        <v>19</v>
      </c>
      <c r="B93" t="s">
        <v>7</v>
      </c>
      <c r="C93">
        <v>21.8</v>
      </c>
      <c r="D93">
        <v>0</v>
      </c>
      <c r="E93" t="s">
        <v>10</v>
      </c>
      <c r="F93" t="s">
        <v>13</v>
      </c>
      <c r="G93">
        <v>1984.4532999999999</v>
      </c>
      <c r="H93" t="s">
        <v>53</v>
      </c>
      <c r="I93" t="s">
        <v>64</v>
      </c>
      <c r="J93" t="s">
        <v>60</v>
      </c>
      <c r="K93" t="s">
        <v>65</v>
      </c>
    </row>
    <row r="94" spans="1:11" x14ac:dyDescent="0.3">
      <c r="A94">
        <v>19</v>
      </c>
      <c r="B94" t="s">
        <v>7</v>
      </c>
      <c r="C94">
        <v>21.85</v>
      </c>
      <c r="D94">
        <v>0</v>
      </c>
      <c r="E94" t="s">
        <v>10</v>
      </c>
      <c r="F94" t="s">
        <v>12</v>
      </c>
      <c r="G94">
        <v>1986.9333999999999</v>
      </c>
      <c r="H94" t="s">
        <v>53</v>
      </c>
      <c r="I94" t="s">
        <v>64</v>
      </c>
      <c r="J94" t="s">
        <v>60</v>
      </c>
      <c r="K94" t="s">
        <v>65</v>
      </c>
    </row>
    <row r="95" spans="1:11" x14ac:dyDescent="0.3">
      <c r="A95">
        <v>19</v>
      </c>
      <c r="B95" t="s">
        <v>7</v>
      </c>
      <c r="C95">
        <v>21.85</v>
      </c>
      <c r="D95">
        <v>0</v>
      </c>
      <c r="E95" t="s">
        <v>10</v>
      </c>
      <c r="F95" t="s">
        <v>13</v>
      </c>
      <c r="G95">
        <v>2007.9449999999999</v>
      </c>
      <c r="H95" t="s">
        <v>53</v>
      </c>
      <c r="I95" t="s">
        <v>64</v>
      </c>
      <c r="J95" t="s">
        <v>60</v>
      </c>
      <c r="K95" t="s">
        <v>65</v>
      </c>
    </row>
    <row r="96" spans="1:11" x14ac:dyDescent="0.3">
      <c r="A96">
        <v>19</v>
      </c>
      <c r="B96" t="s">
        <v>8</v>
      </c>
      <c r="C96">
        <v>21.85</v>
      </c>
      <c r="D96">
        <v>0</v>
      </c>
      <c r="E96" t="s">
        <v>9</v>
      </c>
      <c r="F96" t="s">
        <v>14</v>
      </c>
      <c r="G96">
        <v>2020.1769999999999</v>
      </c>
      <c r="H96" t="s">
        <v>53</v>
      </c>
      <c r="I96" t="s">
        <v>64</v>
      </c>
      <c r="J96" t="s">
        <v>60</v>
      </c>
      <c r="K96" t="s">
        <v>65</v>
      </c>
    </row>
    <row r="97" spans="1:11" x14ac:dyDescent="0.3">
      <c r="A97">
        <v>19</v>
      </c>
      <c r="B97" t="s">
        <v>8</v>
      </c>
      <c r="C97">
        <v>21.85</v>
      </c>
      <c r="D97">
        <v>0</v>
      </c>
      <c r="E97" t="s">
        <v>10</v>
      </c>
      <c r="F97" t="s">
        <v>13</v>
      </c>
      <c r="G97">
        <v>2020.5523000000001</v>
      </c>
      <c r="H97" t="s">
        <v>53</v>
      </c>
      <c r="I97" t="s">
        <v>64</v>
      </c>
      <c r="J97" t="s">
        <v>60</v>
      </c>
      <c r="K97" t="s">
        <v>65</v>
      </c>
    </row>
    <row r="98" spans="1:11" x14ac:dyDescent="0.3">
      <c r="A98">
        <v>19</v>
      </c>
      <c r="B98" t="s">
        <v>7</v>
      </c>
      <c r="C98">
        <v>21.89</v>
      </c>
      <c r="D98">
        <v>0</v>
      </c>
      <c r="E98" t="s">
        <v>9</v>
      </c>
      <c r="F98" t="s">
        <v>11</v>
      </c>
      <c r="G98">
        <v>2026.9740999999999</v>
      </c>
      <c r="H98" t="s">
        <v>53</v>
      </c>
      <c r="I98" t="s">
        <v>64</v>
      </c>
      <c r="J98" t="s">
        <v>60</v>
      </c>
      <c r="K98" t="s">
        <v>65</v>
      </c>
    </row>
    <row r="99" spans="1:11" x14ac:dyDescent="0.3">
      <c r="A99">
        <v>19</v>
      </c>
      <c r="B99" t="s">
        <v>7</v>
      </c>
      <c r="C99">
        <v>21.945</v>
      </c>
      <c r="D99">
        <v>0</v>
      </c>
      <c r="E99" t="s">
        <v>10</v>
      </c>
      <c r="F99" t="s">
        <v>12</v>
      </c>
      <c r="G99">
        <v>2045.68525</v>
      </c>
      <c r="H99" t="s">
        <v>53</v>
      </c>
      <c r="I99" t="s">
        <v>64</v>
      </c>
      <c r="J99" t="s">
        <v>60</v>
      </c>
      <c r="K99" t="s">
        <v>65</v>
      </c>
    </row>
    <row r="100" spans="1:11" x14ac:dyDescent="0.3">
      <c r="A100">
        <v>19</v>
      </c>
      <c r="B100" t="s">
        <v>7</v>
      </c>
      <c r="C100">
        <v>22</v>
      </c>
      <c r="D100">
        <v>0</v>
      </c>
      <c r="E100" t="s">
        <v>10</v>
      </c>
      <c r="F100" t="s">
        <v>11</v>
      </c>
      <c r="G100">
        <v>2055.3249000000001</v>
      </c>
      <c r="H100" t="s">
        <v>53</v>
      </c>
      <c r="I100" t="s">
        <v>64</v>
      </c>
      <c r="J100" t="s">
        <v>60</v>
      </c>
      <c r="K100" t="s">
        <v>65</v>
      </c>
    </row>
    <row r="101" spans="1:11" x14ac:dyDescent="0.3">
      <c r="A101">
        <v>19</v>
      </c>
      <c r="B101" t="s">
        <v>8</v>
      </c>
      <c r="C101">
        <v>22.04</v>
      </c>
      <c r="D101">
        <v>0</v>
      </c>
      <c r="E101" t="s">
        <v>10</v>
      </c>
      <c r="F101" t="s">
        <v>12</v>
      </c>
      <c r="G101">
        <v>2102.2647000000002</v>
      </c>
      <c r="H101" t="s">
        <v>53</v>
      </c>
      <c r="I101" t="s">
        <v>64</v>
      </c>
      <c r="J101" t="s">
        <v>60</v>
      </c>
      <c r="K101" t="s">
        <v>65</v>
      </c>
    </row>
    <row r="102" spans="1:11" x14ac:dyDescent="0.3">
      <c r="A102">
        <v>19</v>
      </c>
      <c r="B102" t="s">
        <v>8</v>
      </c>
      <c r="C102">
        <v>22.1</v>
      </c>
      <c r="D102">
        <v>0</v>
      </c>
      <c r="E102" t="s">
        <v>9</v>
      </c>
      <c r="F102" t="s">
        <v>14</v>
      </c>
      <c r="G102">
        <v>2103.08</v>
      </c>
      <c r="H102" t="s">
        <v>53</v>
      </c>
      <c r="I102" t="s">
        <v>64</v>
      </c>
      <c r="J102" t="s">
        <v>60</v>
      </c>
      <c r="K102" t="s">
        <v>65</v>
      </c>
    </row>
    <row r="103" spans="1:11" x14ac:dyDescent="0.3">
      <c r="A103">
        <v>19</v>
      </c>
      <c r="B103" t="s">
        <v>8</v>
      </c>
      <c r="C103">
        <v>22.135000000000002</v>
      </c>
      <c r="D103">
        <v>0</v>
      </c>
      <c r="E103" t="s">
        <v>9</v>
      </c>
      <c r="F103" t="s">
        <v>11</v>
      </c>
      <c r="G103">
        <v>2104.1134000000002</v>
      </c>
      <c r="H103" t="s">
        <v>53</v>
      </c>
      <c r="I103" t="s">
        <v>64</v>
      </c>
      <c r="J103" t="s">
        <v>60</v>
      </c>
      <c r="K103" t="s">
        <v>65</v>
      </c>
    </row>
    <row r="104" spans="1:11" x14ac:dyDescent="0.3">
      <c r="A104">
        <v>19</v>
      </c>
      <c r="B104" t="s">
        <v>7</v>
      </c>
      <c r="C104">
        <v>22.135000000000002</v>
      </c>
      <c r="D104">
        <v>0</v>
      </c>
      <c r="E104" t="s">
        <v>10</v>
      </c>
      <c r="F104" t="s">
        <v>11</v>
      </c>
      <c r="G104">
        <v>2117.3388500000001</v>
      </c>
      <c r="H104" t="s">
        <v>53</v>
      </c>
      <c r="I104" t="s">
        <v>64</v>
      </c>
      <c r="J104" t="s">
        <v>60</v>
      </c>
      <c r="K104" t="s">
        <v>65</v>
      </c>
    </row>
    <row r="105" spans="1:11" x14ac:dyDescent="0.3">
      <c r="A105">
        <v>19</v>
      </c>
      <c r="B105" t="s">
        <v>8</v>
      </c>
      <c r="C105">
        <v>22.135000000000002</v>
      </c>
      <c r="D105">
        <v>0</v>
      </c>
      <c r="E105" t="s">
        <v>10</v>
      </c>
      <c r="F105" t="s">
        <v>14</v>
      </c>
      <c r="G105">
        <v>2128.4310500000001</v>
      </c>
      <c r="H105" t="s">
        <v>53</v>
      </c>
      <c r="I105" t="s">
        <v>64</v>
      </c>
      <c r="J105" t="s">
        <v>60</v>
      </c>
      <c r="K105" t="s">
        <v>65</v>
      </c>
    </row>
    <row r="106" spans="1:11" x14ac:dyDescent="0.3">
      <c r="A106">
        <v>19</v>
      </c>
      <c r="B106" t="s">
        <v>7</v>
      </c>
      <c r="C106">
        <v>22.135000000000002</v>
      </c>
      <c r="D106">
        <v>0</v>
      </c>
      <c r="E106" t="s">
        <v>10</v>
      </c>
      <c r="F106" t="s">
        <v>14</v>
      </c>
      <c r="G106">
        <v>2130.6759000000002</v>
      </c>
      <c r="H106" t="s">
        <v>53</v>
      </c>
      <c r="I106" t="s">
        <v>64</v>
      </c>
      <c r="J106" t="s">
        <v>60</v>
      </c>
      <c r="K106" t="s">
        <v>65</v>
      </c>
    </row>
    <row r="107" spans="1:11" x14ac:dyDescent="0.3">
      <c r="A107">
        <v>19</v>
      </c>
      <c r="B107" t="s">
        <v>7</v>
      </c>
      <c r="C107">
        <v>22.22</v>
      </c>
      <c r="D107">
        <v>0</v>
      </c>
      <c r="E107" t="s">
        <v>9</v>
      </c>
      <c r="F107" t="s">
        <v>12</v>
      </c>
      <c r="G107">
        <v>2134.9014999999999</v>
      </c>
      <c r="H107" t="s">
        <v>53</v>
      </c>
      <c r="I107" t="s">
        <v>64</v>
      </c>
      <c r="J107" t="s">
        <v>60</v>
      </c>
      <c r="K107" t="s">
        <v>65</v>
      </c>
    </row>
    <row r="108" spans="1:11" x14ac:dyDescent="0.3">
      <c r="A108">
        <v>19</v>
      </c>
      <c r="B108" t="s">
        <v>7</v>
      </c>
      <c r="C108">
        <v>22.23</v>
      </c>
      <c r="D108">
        <v>0</v>
      </c>
      <c r="E108" t="s">
        <v>10</v>
      </c>
      <c r="F108" t="s">
        <v>11</v>
      </c>
      <c r="G108">
        <v>2136.8822500000001</v>
      </c>
      <c r="H108" t="s">
        <v>53</v>
      </c>
      <c r="I108" t="s">
        <v>64</v>
      </c>
      <c r="J108" t="s">
        <v>60</v>
      </c>
      <c r="K108" t="s">
        <v>65</v>
      </c>
    </row>
    <row r="109" spans="1:11" x14ac:dyDescent="0.3">
      <c r="A109">
        <v>19</v>
      </c>
      <c r="B109" t="s">
        <v>8</v>
      </c>
      <c r="C109">
        <v>22.23</v>
      </c>
      <c r="D109">
        <v>0</v>
      </c>
      <c r="E109" t="s">
        <v>9</v>
      </c>
      <c r="F109" t="s">
        <v>13</v>
      </c>
      <c r="G109">
        <v>2137.6536000000001</v>
      </c>
      <c r="H109" t="s">
        <v>53</v>
      </c>
      <c r="I109" t="s">
        <v>64</v>
      </c>
      <c r="J109" t="s">
        <v>60</v>
      </c>
      <c r="K109" t="s">
        <v>65</v>
      </c>
    </row>
    <row r="110" spans="1:11" x14ac:dyDescent="0.3">
      <c r="A110">
        <v>19</v>
      </c>
      <c r="B110" t="s">
        <v>7</v>
      </c>
      <c r="C110">
        <v>22.3</v>
      </c>
      <c r="D110">
        <v>0</v>
      </c>
      <c r="E110" t="s">
        <v>10</v>
      </c>
      <c r="F110" t="s">
        <v>11</v>
      </c>
      <c r="G110">
        <v>2138.0707000000002</v>
      </c>
      <c r="H110" t="s">
        <v>53</v>
      </c>
      <c r="I110" t="s">
        <v>64</v>
      </c>
      <c r="J110" t="s">
        <v>60</v>
      </c>
      <c r="K110" t="s">
        <v>65</v>
      </c>
    </row>
    <row r="111" spans="1:11" x14ac:dyDescent="0.3">
      <c r="A111">
        <v>19</v>
      </c>
      <c r="B111" t="s">
        <v>8</v>
      </c>
      <c r="C111">
        <v>22.3</v>
      </c>
      <c r="D111">
        <v>0</v>
      </c>
      <c r="E111" t="s">
        <v>10</v>
      </c>
      <c r="F111" t="s">
        <v>13</v>
      </c>
      <c r="G111">
        <v>2150.4690000000001</v>
      </c>
      <c r="H111" t="s">
        <v>53</v>
      </c>
      <c r="I111" t="s">
        <v>64</v>
      </c>
      <c r="J111" t="s">
        <v>60</v>
      </c>
      <c r="K111" t="s">
        <v>65</v>
      </c>
    </row>
    <row r="112" spans="1:11" x14ac:dyDescent="0.3">
      <c r="A112">
        <v>19</v>
      </c>
      <c r="B112" t="s">
        <v>8</v>
      </c>
      <c r="C112">
        <v>22.42</v>
      </c>
      <c r="D112">
        <v>0</v>
      </c>
      <c r="E112" t="s">
        <v>10</v>
      </c>
      <c r="F112" t="s">
        <v>12</v>
      </c>
      <c r="G112">
        <v>2154.3609999999999</v>
      </c>
      <c r="H112" t="s">
        <v>53</v>
      </c>
      <c r="I112" t="s">
        <v>64</v>
      </c>
      <c r="J112" t="s">
        <v>60</v>
      </c>
      <c r="K112" t="s">
        <v>65</v>
      </c>
    </row>
    <row r="113" spans="1:11" x14ac:dyDescent="0.3">
      <c r="A113">
        <v>19</v>
      </c>
      <c r="B113" t="s">
        <v>8</v>
      </c>
      <c r="C113">
        <v>22.42</v>
      </c>
      <c r="D113">
        <v>0</v>
      </c>
      <c r="E113" t="s">
        <v>9</v>
      </c>
      <c r="F113" t="s">
        <v>12</v>
      </c>
      <c r="G113">
        <v>2155.6815000000001</v>
      </c>
      <c r="H113" t="s">
        <v>53</v>
      </c>
      <c r="I113" t="s">
        <v>64</v>
      </c>
      <c r="J113" t="s">
        <v>60</v>
      </c>
      <c r="K113" t="s">
        <v>65</v>
      </c>
    </row>
    <row r="114" spans="1:11" x14ac:dyDescent="0.3">
      <c r="A114">
        <v>19</v>
      </c>
      <c r="B114" t="s">
        <v>8</v>
      </c>
      <c r="C114">
        <v>22.42</v>
      </c>
      <c r="D114">
        <v>0</v>
      </c>
      <c r="E114" t="s">
        <v>10</v>
      </c>
      <c r="F114" t="s">
        <v>13</v>
      </c>
      <c r="G114">
        <v>2156.7518</v>
      </c>
      <c r="H114" t="s">
        <v>53</v>
      </c>
      <c r="I114" t="s">
        <v>64</v>
      </c>
      <c r="J114" t="s">
        <v>60</v>
      </c>
      <c r="K114" t="s">
        <v>65</v>
      </c>
    </row>
    <row r="115" spans="1:11" x14ac:dyDescent="0.3">
      <c r="A115">
        <v>19</v>
      </c>
      <c r="B115" t="s">
        <v>7</v>
      </c>
      <c r="C115">
        <v>22.515000000000001</v>
      </c>
      <c r="D115">
        <v>0</v>
      </c>
      <c r="E115" t="s">
        <v>10</v>
      </c>
      <c r="F115" t="s">
        <v>11</v>
      </c>
      <c r="G115">
        <v>2166.732</v>
      </c>
      <c r="H115" t="s">
        <v>53</v>
      </c>
      <c r="I115" t="s">
        <v>64</v>
      </c>
      <c r="J115" t="s">
        <v>60</v>
      </c>
      <c r="K115" t="s">
        <v>65</v>
      </c>
    </row>
    <row r="116" spans="1:11" x14ac:dyDescent="0.3">
      <c r="A116">
        <v>19</v>
      </c>
      <c r="B116" t="s">
        <v>8</v>
      </c>
      <c r="C116">
        <v>22.515000000000001</v>
      </c>
      <c r="D116">
        <v>0</v>
      </c>
      <c r="E116" t="s">
        <v>10</v>
      </c>
      <c r="F116" t="s">
        <v>11</v>
      </c>
      <c r="G116">
        <v>2196.4731999999999</v>
      </c>
      <c r="H116" t="s">
        <v>53</v>
      </c>
      <c r="I116" t="s">
        <v>64</v>
      </c>
      <c r="J116" t="s">
        <v>60</v>
      </c>
      <c r="K116" t="s">
        <v>65</v>
      </c>
    </row>
    <row r="117" spans="1:11" x14ac:dyDescent="0.3">
      <c r="A117">
        <v>19</v>
      </c>
      <c r="B117" t="s">
        <v>7</v>
      </c>
      <c r="C117">
        <v>22.515000000000001</v>
      </c>
      <c r="D117">
        <v>0</v>
      </c>
      <c r="E117" t="s">
        <v>10</v>
      </c>
      <c r="F117" t="s">
        <v>13</v>
      </c>
      <c r="G117">
        <v>2198.1898500000002</v>
      </c>
      <c r="H117" t="s">
        <v>53</v>
      </c>
      <c r="I117" t="s">
        <v>64</v>
      </c>
      <c r="J117" t="s">
        <v>60</v>
      </c>
      <c r="K117" t="s">
        <v>65</v>
      </c>
    </row>
    <row r="118" spans="1:11" x14ac:dyDescent="0.3">
      <c r="A118">
        <v>19</v>
      </c>
      <c r="B118" t="s">
        <v>8</v>
      </c>
      <c r="C118">
        <v>22.515000000000001</v>
      </c>
      <c r="D118">
        <v>0</v>
      </c>
      <c r="E118" t="s">
        <v>10</v>
      </c>
      <c r="F118" t="s">
        <v>14</v>
      </c>
      <c r="G118">
        <v>2200.8308499999998</v>
      </c>
      <c r="H118" t="s">
        <v>53</v>
      </c>
      <c r="I118" t="s">
        <v>64</v>
      </c>
      <c r="J118" t="s">
        <v>60</v>
      </c>
      <c r="K118" t="s">
        <v>65</v>
      </c>
    </row>
    <row r="119" spans="1:11" x14ac:dyDescent="0.3">
      <c r="A119">
        <v>19</v>
      </c>
      <c r="B119" t="s">
        <v>8</v>
      </c>
      <c r="C119">
        <v>22.515000000000001</v>
      </c>
      <c r="D119">
        <v>0</v>
      </c>
      <c r="E119" t="s">
        <v>10</v>
      </c>
      <c r="F119" t="s">
        <v>14</v>
      </c>
      <c r="G119">
        <v>2201.0971</v>
      </c>
      <c r="H119" t="s">
        <v>53</v>
      </c>
      <c r="I119" t="s">
        <v>64</v>
      </c>
      <c r="J119" t="s">
        <v>60</v>
      </c>
      <c r="K119" t="s">
        <v>65</v>
      </c>
    </row>
    <row r="120" spans="1:11" x14ac:dyDescent="0.3">
      <c r="A120">
        <v>19</v>
      </c>
      <c r="B120" t="s">
        <v>8</v>
      </c>
      <c r="C120">
        <v>22.6</v>
      </c>
      <c r="D120">
        <v>0</v>
      </c>
      <c r="E120" t="s">
        <v>10</v>
      </c>
      <c r="F120" t="s">
        <v>12</v>
      </c>
      <c r="G120">
        <v>2203.4718499999999</v>
      </c>
      <c r="H120" t="s">
        <v>53</v>
      </c>
      <c r="I120" t="s">
        <v>64</v>
      </c>
      <c r="J120" t="s">
        <v>60</v>
      </c>
      <c r="K120" t="s">
        <v>65</v>
      </c>
    </row>
    <row r="121" spans="1:11" x14ac:dyDescent="0.3">
      <c r="A121">
        <v>19</v>
      </c>
      <c r="B121" t="s">
        <v>7</v>
      </c>
      <c r="C121">
        <v>22.6</v>
      </c>
      <c r="D121">
        <v>0</v>
      </c>
      <c r="E121" t="s">
        <v>9</v>
      </c>
      <c r="F121" t="s">
        <v>12</v>
      </c>
      <c r="G121">
        <v>2203.7359499999998</v>
      </c>
      <c r="H121" t="s">
        <v>53</v>
      </c>
      <c r="I121" t="s">
        <v>64</v>
      </c>
      <c r="J121" t="s">
        <v>60</v>
      </c>
      <c r="K121" t="s">
        <v>65</v>
      </c>
    </row>
    <row r="122" spans="1:11" x14ac:dyDescent="0.3">
      <c r="A122">
        <v>19</v>
      </c>
      <c r="B122" t="s">
        <v>7</v>
      </c>
      <c r="C122">
        <v>22.61</v>
      </c>
      <c r="D122">
        <v>0</v>
      </c>
      <c r="E122" t="s">
        <v>10</v>
      </c>
      <c r="F122" t="s">
        <v>12</v>
      </c>
      <c r="G122">
        <v>2205.9807999999998</v>
      </c>
      <c r="H122" t="s">
        <v>53</v>
      </c>
      <c r="I122" t="s">
        <v>64</v>
      </c>
      <c r="J122" t="s">
        <v>60</v>
      </c>
      <c r="K122" t="s">
        <v>65</v>
      </c>
    </row>
    <row r="123" spans="1:11" x14ac:dyDescent="0.3">
      <c r="A123">
        <v>19</v>
      </c>
      <c r="B123" t="s">
        <v>7</v>
      </c>
      <c r="C123">
        <v>22.61</v>
      </c>
      <c r="D123">
        <v>0</v>
      </c>
      <c r="E123" t="s">
        <v>10</v>
      </c>
      <c r="F123" t="s">
        <v>13</v>
      </c>
      <c r="G123">
        <v>2207.6974500000001</v>
      </c>
      <c r="H123" t="s">
        <v>53</v>
      </c>
      <c r="I123" t="s">
        <v>64</v>
      </c>
      <c r="J123" t="s">
        <v>60</v>
      </c>
      <c r="K123" t="s">
        <v>65</v>
      </c>
    </row>
    <row r="124" spans="1:11" x14ac:dyDescent="0.3">
      <c r="A124">
        <v>19</v>
      </c>
      <c r="B124" t="s">
        <v>8</v>
      </c>
      <c r="C124">
        <v>22.61</v>
      </c>
      <c r="D124">
        <v>0</v>
      </c>
      <c r="E124" t="s">
        <v>10</v>
      </c>
      <c r="F124" t="s">
        <v>11</v>
      </c>
      <c r="G124">
        <v>2211.1307499999998</v>
      </c>
      <c r="H124" t="s">
        <v>53</v>
      </c>
      <c r="I124" t="s">
        <v>64</v>
      </c>
      <c r="J124" t="s">
        <v>60</v>
      </c>
      <c r="K124" t="s">
        <v>65</v>
      </c>
    </row>
    <row r="125" spans="1:11" x14ac:dyDescent="0.3">
      <c r="A125">
        <v>19</v>
      </c>
      <c r="B125" t="s">
        <v>8</v>
      </c>
      <c r="C125">
        <v>22.61</v>
      </c>
      <c r="D125">
        <v>0</v>
      </c>
      <c r="E125" t="s">
        <v>10</v>
      </c>
      <c r="F125" t="s">
        <v>14</v>
      </c>
      <c r="G125">
        <v>2217.4691499999999</v>
      </c>
      <c r="H125" t="s">
        <v>53</v>
      </c>
      <c r="I125" t="s">
        <v>64</v>
      </c>
      <c r="J125" t="s">
        <v>60</v>
      </c>
      <c r="K125" t="s">
        <v>65</v>
      </c>
    </row>
    <row r="126" spans="1:11" x14ac:dyDescent="0.3">
      <c r="A126">
        <v>19</v>
      </c>
      <c r="B126" t="s">
        <v>7</v>
      </c>
      <c r="C126">
        <v>22.704999999999998</v>
      </c>
      <c r="D126">
        <v>0</v>
      </c>
      <c r="E126" t="s">
        <v>10</v>
      </c>
      <c r="F126" t="s">
        <v>13</v>
      </c>
      <c r="G126">
        <v>2217.6012000000001</v>
      </c>
      <c r="H126" t="s">
        <v>53</v>
      </c>
      <c r="I126" t="s">
        <v>64</v>
      </c>
      <c r="J126" t="s">
        <v>60</v>
      </c>
      <c r="K126" t="s">
        <v>65</v>
      </c>
    </row>
    <row r="127" spans="1:11" x14ac:dyDescent="0.3">
      <c r="A127">
        <v>19</v>
      </c>
      <c r="B127" t="s">
        <v>8</v>
      </c>
      <c r="C127">
        <v>22.704999999999998</v>
      </c>
      <c r="D127">
        <v>0</v>
      </c>
      <c r="E127" t="s">
        <v>9</v>
      </c>
      <c r="F127" t="s">
        <v>14</v>
      </c>
      <c r="G127">
        <v>2219.4450999999999</v>
      </c>
      <c r="H127" t="s">
        <v>53</v>
      </c>
      <c r="I127" t="s">
        <v>64</v>
      </c>
      <c r="J127" t="s">
        <v>60</v>
      </c>
      <c r="K127" t="s">
        <v>65</v>
      </c>
    </row>
    <row r="128" spans="1:11" x14ac:dyDescent="0.3">
      <c r="A128">
        <v>19</v>
      </c>
      <c r="B128" t="s">
        <v>7</v>
      </c>
      <c r="C128">
        <v>22.704999999999998</v>
      </c>
      <c r="D128">
        <v>0</v>
      </c>
      <c r="E128" t="s">
        <v>10</v>
      </c>
      <c r="F128" t="s">
        <v>13</v>
      </c>
      <c r="G128">
        <v>2221.5644499999999</v>
      </c>
      <c r="H128" t="s">
        <v>53</v>
      </c>
      <c r="I128" t="s">
        <v>64</v>
      </c>
      <c r="J128" t="s">
        <v>60</v>
      </c>
      <c r="K128" t="s">
        <v>65</v>
      </c>
    </row>
    <row r="129" spans="1:11" x14ac:dyDescent="0.3">
      <c r="A129">
        <v>19</v>
      </c>
      <c r="B129" t="s">
        <v>7</v>
      </c>
      <c r="C129">
        <v>22.77</v>
      </c>
      <c r="D129">
        <v>0</v>
      </c>
      <c r="E129" t="s">
        <v>10</v>
      </c>
      <c r="F129" t="s">
        <v>14</v>
      </c>
      <c r="G129">
        <v>2250.8352</v>
      </c>
      <c r="H129" t="s">
        <v>53</v>
      </c>
      <c r="I129" t="s">
        <v>64</v>
      </c>
      <c r="J129" t="s">
        <v>60</v>
      </c>
      <c r="K129" t="s">
        <v>65</v>
      </c>
    </row>
    <row r="130" spans="1:11" x14ac:dyDescent="0.3">
      <c r="A130">
        <v>19</v>
      </c>
      <c r="B130" t="s">
        <v>7</v>
      </c>
      <c r="C130">
        <v>22.8</v>
      </c>
      <c r="D130">
        <v>0</v>
      </c>
      <c r="E130" t="s">
        <v>9</v>
      </c>
      <c r="F130" t="s">
        <v>11</v>
      </c>
      <c r="G130">
        <v>2254.7966999999999</v>
      </c>
      <c r="H130" t="s">
        <v>53</v>
      </c>
      <c r="I130" t="s">
        <v>64</v>
      </c>
      <c r="J130" t="s">
        <v>60</v>
      </c>
      <c r="K130" t="s">
        <v>65</v>
      </c>
    </row>
    <row r="131" spans="1:11" x14ac:dyDescent="0.3">
      <c r="A131">
        <v>19</v>
      </c>
      <c r="B131" t="s">
        <v>7</v>
      </c>
      <c r="C131">
        <v>22.8</v>
      </c>
      <c r="D131">
        <v>0</v>
      </c>
      <c r="E131" t="s">
        <v>10</v>
      </c>
      <c r="F131" t="s">
        <v>11</v>
      </c>
      <c r="G131">
        <v>2257.47525</v>
      </c>
      <c r="H131" t="s">
        <v>53</v>
      </c>
      <c r="I131" t="s">
        <v>64</v>
      </c>
      <c r="J131" t="s">
        <v>60</v>
      </c>
      <c r="K131" t="s">
        <v>65</v>
      </c>
    </row>
    <row r="132" spans="1:11" x14ac:dyDescent="0.3">
      <c r="A132">
        <v>19</v>
      </c>
      <c r="B132" t="s">
        <v>7</v>
      </c>
      <c r="C132">
        <v>22.88</v>
      </c>
      <c r="D132">
        <v>0</v>
      </c>
      <c r="E132" t="s">
        <v>9</v>
      </c>
      <c r="F132" t="s">
        <v>13</v>
      </c>
      <c r="G132">
        <v>2261.5688</v>
      </c>
      <c r="H132" t="s">
        <v>53</v>
      </c>
      <c r="I132" t="s">
        <v>64</v>
      </c>
      <c r="J132" t="s">
        <v>60</v>
      </c>
      <c r="K132" t="s">
        <v>65</v>
      </c>
    </row>
    <row r="133" spans="1:11" x14ac:dyDescent="0.3">
      <c r="A133">
        <v>19</v>
      </c>
      <c r="B133" t="s">
        <v>8</v>
      </c>
      <c r="C133">
        <v>22.895</v>
      </c>
      <c r="D133">
        <v>0</v>
      </c>
      <c r="E133" t="s">
        <v>10</v>
      </c>
      <c r="F133" t="s">
        <v>11</v>
      </c>
      <c r="G133">
        <v>2302.3000000000002</v>
      </c>
      <c r="H133" t="s">
        <v>53</v>
      </c>
      <c r="I133" t="s">
        <v>64</v>
      </c>
      <c r="J133" t="s">
        <v>60</v>
      </c>
      <c r="K133" t="s">
        <v>65</v>
      </c>
    </row>
    <row r="134" spans="1:11" x14ac:dyDescent="0.3">
      <c r="A134">
        <v>19</v>
      </c>
      <c r="B134" t="s">
        <v>7</v>
      </c>
      <c r="C134">
        <v>22.895</v>
      </c>
      <c r="D134">
        <v>0</v>
      </c>
      <c r="E134" t="s">
        <v>10</v>
      </c>
      <c r="F134" t="s">
        <v>14</v>
      </c>
      <c r="G134">
        <v>2304.0021999999999</v>
      </c>
      <c r="H134" t="s">
        <v>53</v>
      </c>
      <c r="I134" t="s">
        <v>64</v>
      </c>
      <c r="J134" t="s">
        <v>60</v>
      </c>
      <c r="K134" t="s">
        <v>65</v>
      </c>
    </row>
    <row r="135" spans="1:11" x14ac:dyDescent="0.3">
      <c r="A135">
        <v>19</v>
      </c>
      <c r="B135" t="s">
        <v>7</v>
      </c>
      <c r="C135">
        <v>22.895</v>
      </c>
      <c r="D135">
        <v>0</v>
      </c>
      <c r="E135" t="s">
        <v>10</v>
      </c>
      <c r="F135" t="s">
        <v>14</v>
      </c>
      <c r="G135">
        <v>2322.6217999999999</v>
      </c>
      <c r="H135" t="s">
        <v>53</v>
      </c>
      <c r="I135" t="s">
        <v>64</v>
      </c>
      <c r="J135" t="s">
        <v>60</v>
      </c>
      <c r="K135" t="s">
        <v>65</v>
      </c>
    </row>
    <row r="136" spans="1:11" x14ac:dyDescent="0.3">
      <c r="A136">
        <v>19</v>
      </c>
      <c r="B136" t="s">
        <v>7</v>
      </c>
      <c r="C136">
        <v>22.895</v>
      </c>
      <c r="D136">
        <v>0</v>
      </c>
      <c r="E136" t="s">
        <v>10</v>
      </c>
      <c r="F136" t="s">
        <v>11</v>
      </c>
      <c r="G136">
        <v>2331.5189999999998</v>
      </c>
      <c r="H136" t="s">
        <v>53</v>
      </c>
      <c r="I136" t="s">
        <v>64</v>
      </c>
      <c r="J136" t="s">
        <v>60</v>
      </c>
      <c r="K136" t="s">
        <v>65</v>
      </c>
    </row>
    <row r="137" spans="1:11" x14ac:dyDescent="0.3">
      <c r="A137">
        <v>19</v>
      </c>
      <c r="B137" t="s">
        <v>8</v>
      </c>
      <c r="C137">
        <v>22.99</v>
      </c>
      <c r="D137">
        <v>0</v>
      </c>
      <c r="E137" t="s">
        <v>10</v>
      </c>
      <c r="F137" t="s">
        <v>13</v>
      </c>
      <c r="G137">
        <v>2352.9684499999998</v>
      </c>
      <c r="H137" t="s">
        <v>53</v>
      </c>
      <c r="I137" t="s">
        <v>64</v>
      </c>
      <c r="J137" t="s">
        <v>60</v>
      </c>
      <c r="K137" t="s">
        <v>65</v>
      </c>
    </row>
    <row r="138" spans="1:11" x14ac:dyDescent="0.3">
      <c r="A138">
        <v>19</v>
      </c>
      <c r="B138" t="s">
        <v>7</v>
      </c>
      <c r="C138">
        <v>22.99</v>
      </c>
      <c r="D138">
        <v>0</v>
      </c>
      <c r="E138" t="s">
        <v>10</v>
      </c>
      <c r="F138" t="s">
        <v>14</v>
      </c>
      <c r="G138">
        <v>2362.2290499999999</v>
      </c>
      <c r="H138" t="s">
        <v>53</v>
      </c>
      <c r="I138" t="s">
        <v>64</v>
      </c>
      <c r="J138" t="s">
        <v>60</v>
      </c>
      <c r="K138" t="s">
        <v>65</v>
      </c>
    </row>
    <row r="139" spans="1:11" x14ac:dyDescent="0.3">
      <c r="A139">
        <v>19</v>
      </c>
      <c r="B139" t="s">
        <v>7</v>
      </c>
      <c r="C139">
        <v>22.99</v>
      </c>
      <c r="D139">
        <v>0</v>
      </c>
      <c r="E139" t="s">
        <v>10</v>
      </c>
      <c r="F139" t="s">
        <v>12</v>
      </c>
      <c r="G139">
        <v>2395.17155</v>
      </c>
      <c r="H139" t="s">
        <v>53</v>
      </c>
      <c r="I139" t="s">
        <v>64</v>
      </c>
      <c r="J139" t="s">
        <v>60</v>
      </c>
      <c r="K139" t="s">
        <v>65</v>
      </c>
    </row>
    <row r="140" spans="1:11" x14ac:dyDescent="0.3">
      <c r="A140">
        <v>20</v>
      </c>
      <c r="B140" t="s">
        <v>8</v>
      </c>
      <c r="C140">
        <v>23</v>
      </c>
      <c r="D140">
        <v>0</v>
      </c>
      <c r="E140" t="s">
        <v>10</v>
      </c>
      <c r="F140" t="s">
        <v>11</v>
      </c>
      <c r="G140">
        <v>2396.0958999999998</v>
      </c>
      <c r="H140" t="s">
        <v>53</v>
      </c>
      <c r="I140" t="s">
        <v>64</v>
      </c>
      <c r="J140" t="s">
        <v>60</v>
      </c>
      <c r="K140" t="s">
        <v>65</v>
      </c>
    </row>
    <row r="141" spans="1:11" x14ac:dyDescent="0.3">
      <c r="A141">
        <v>20</v>
      </c>
      <c r="B141" t="s">
        <v>8</v>
      </c>
      <c r="C141">
        <v>23.085000000000001</v>
      </c>
      <c r="D141">
        <v>0</v>
      </c>
      <c r="E141" t="s">
        <v>10</v>
      </c>
      <c r="F141" t="s">
        <v>13</v>
      </c>
      <c r="G141">
        <v>2404.7338</v>
      </c>
      <c r="H141" t="s">
        <v>53</v>
      </c>
      <c r="I141" t="s">
        <v>64</v>
      </c>
      <c r="J141" t="s">
        <v>60</v>
      </c>
      <c r="K141" t="s">
        <v>65</v>
      </c>
    </row>
    <row r="142" spans="1:11" x14ac:dyDescent="0.3">
      <c r="A142">
        <v>20</v>
      </c>
      <c r="B142" t="s">
        <v>7</v>
      </c>
      <c r="C142">
        <v>23.085000000000001</v>
      </c>
      <c r="D142">
        <v>0</v>
      </c>
      <c r="E142" t="s">
        <v>10</v>
      </c>
      <c r="F142" t="s">
        <v>12</v>
      </c>
      <c r="G142">
        <v>2416.9549999999999</v>
      </c>
      <c r="H142" t="s">
        <v>53</v>
      </c>
      <c r="I142" t="s">
        <v>64</v>
      </c>
      <c r="J142" t="s">
        <v>60</v>
      </c>
      <c r="K142" t="s">
        <v>65</v>
      </c>
    </row>
    <row r="143" spans="1:11" x14ac:dyDescent="0.3">
      <c r="A143">
        <v>20</v>
      </c>
      <c r="B143" t="s">
        <v>7</v>
      </c>
      <c r="C143">
        <v>23.1</v>
      </c>
      <c r="D143">
        <v>0</v>
      </c>
      <c r="E143" t="s">
        <v>10</v>
      </c>
      <c r="F143" t="s">
        <v>11</v>
      </c>
      <c r="G143">
        <v>2438.0551999999998</v>
      </c>
      <c r="H143" t="s">
        <v>53</v>
      </c>
      <c r="I143" t="s">
        <v>64</v>
      </c>
      <c r="J143" t="s">
        <v>60</v>
      </c>
      <c r="K143" t="s">
        <v>65</v>
      </c>
    </row>
    <row r="144" spans="1:11" x14ac:dyDescent="0.3">
      <c r="A144">
        <v>20</v>
      </c>
      <c r="B144" t="s">
        <v>8</v>
      </c>
      <c r="C144">
        <v>23.18</v>
      </c>
      <c r="D144">
        <v>0</v>
      </c>
      <c r="E144" t="s">
        <v>10</v>
      </c>
      <c r="F144" t="s">
        <v>14</v>
      </c>
      <c r="G144">
        <v>2457.2111500000001</v>
      </c>
      <c r="H144" t="s">
        <v>53</v>
      </c>
      <c r="I144" t="s">
        <v>64</v>
      </c>
      <c r="J144" t="s">
        <v>60</v>
      </c>
      <c r="K144" t="s">
        <v>65</v>
      </c>
    </row>
    <row r="145" spans="1:11" x14ac:dyDescent="0.3">
      <c r="A145">
        <v>20</v>
      </c>
      <c r="B145" t="s">
        <v>8</v>
      </c>
      <c r="C145">
        <v>23.18</v>
      </c>
      <c r="D145">
        <v>0</v>
      </c>
      <c r="E145" t="s">
        <v>10</v>
      </c>
      <c r="F145" t="s">
        <v>14</v>
      </c>
      <c r="G145">
        <v>2457.502</v>
      </c>
      <c r="H145" t="s">
        <v>53</v>
      </c>
      <c r="I145" t="s">
        <v>64</v>
      </c>
      <c r="J145" t="s">
        <v>60</v>
      </c>
      <c r="K145" t="s">
        <v>65</v>
      </c>
    </row>
    <row r="146" spans="1:11" x14ac:dyDescent="0.3">
      <c r="A146">
        <v>20</v>
      </c>
      <c r="B146" t="s">
        <v>8</v>
      </c>
      <c r="C146">
        <v>23.18</v>
      </c>
      <c r="D146">
        <v>0</v>
      </c>
      <c r="E146" t="s">
        <v>9</v>
      </c>
      <c r="F146" t="s">
        <v>12</v>
      </c>
      <c r="G146">
        <v>2459.7201</v>
      </c>
      <c r="H146" t="s">
        <v>53</v>
      </c>
      <c r="I146" t="s">
        <v>64</v>
      </c>
      <c r="J146" t="s">
        <v>60</v>
      </c>
      <c r="K146" t="s">
        <v>65</v>
      </c>
    </row>
    <row r="147" spans="1:11" x14ac:dyDescent="0.3">
      <c r="A147">
        <v>20</v>
      </c>
      <c r="B147" t="s">
        <v>8</v>
      </c>
      <c r="C147">
        <v>23.18</v>
      </c>
      <c r="D147">
        <v>0</v>
      </c>
      <c r="E147" t="s">
        <v>10</v>
      </c>
      <c r="F147" t="s">
        <v>13</v>
      </c>
      <c r="G147">
        <v>2464.6188000000002</v>
      </c>
      <c r="H147" t="s">
        <v>53</v>
      </c>
      <c r="I147" t="s">
        <v>64</v>
      </c>
      <c r="J147" t="s">
        <v>60</v>
      </c>
      <c r="K147" t="s">
        <v>65</v>
      </c>
    </row>
    <row r="148" spans="1:11" x14ac:dyDescent="0.3">
      <c r="A148">
        <v>20</v>
      </c>
      <c r="B148" t="s">
        <v>8</v>
      </c>
      <c r="C148">
        <v>23.18</v>
      </c>
      <c r="D148">
        <v>0</v>
      </c>
      <c r="E148" t="s">
        <v>9</v>
      </c>
      <c r="F148" t="s">
        <v>13</v>
      </c>
      <c r="G148">
        <v>2473.3341</v>
      </c>
      <c r="H148" t="s">
        <v>53</v>
      </c>
      <c r="I148" t="s">
        <v>64</v>
      </c>
      <c r="J148" t="s">
        <v>60</v>
      </c>
      <c r="K148" t="s">
        <v>65</v>
      </c>
    </row>
    <row r="149" spans="1:11" x14ac:dyDescent="0.3">
      <c r="A149">
        <v>20</v>
      </c>
      <c r="B149" t="s">
        <v>7</v>
      </c>
      <c r="C149">
        <v>23.2</v>
      </c>
      <c r="D149">
        <v>0</v>
      </c>
      <c r="E149" t="s">
        <v>10</v>
      </c>
      <c r="F149" t="s">
        <v>12</v>
      </c>
      <c r="G149">
        <v>2480.9791</v>
      </c>
      <c r="H149" t="s">
        <v>53</v>
      </c>
      <c r="I149" t="s">
        <v>64</v>
      </c>
      <c r="J149" t="s">
        <v>60</v>
      </c>
      <c r="K149" t="s">
        <v>65</v>
      </c>
    </row>
    <row r="150" spans="1:11" x14ac:dyDescent="0.3">
      <c r="A150">
        <v>20</v>
      </c>
      <c r="B150" t="s">
        <v>8</v>
      </c>
      <c r="C150">
        <v>23.21</v>
      </c>
      <c r="D150">
        <v>0</v>
      </c>
      <c r="E150" t="s">
        <v>9</v>
      </c>
      <c r="F150" t="s">
        <v>13</v>
      </c>
      <c r="G150">
        <v>2483.7359999999999</v>
      </c>
      <c r="H150" t="s">
        <v>53</v>
      </c>
      <c r="I150" t="s">
        <v>64</v>
      </c>
      <c r="J150" t="s">
        <v>60</v>
      </c>
      <c r="K150" t="s">
        <v>65</v>
      </c>
    </row>
    <row r="151" spans="1:11" x14ac:dyDescent="0.3">
      <c r="A151">
        <v>20</v>
      </c>
      <c r="B151" t="s">
        <v>7</v>
      </c>
      <c r="C151">
        <v>23.21</v>
      </c>
      <c r="D151">
        <v>0</v>
      </c>
      <c r="E151" t="s">
        <v>10</v>
      </c>
      <c r="F151" t="s">
        <v>12</v>
      </c>
      <c r="G151">
        <v>2494.0219999999999</v>
      </c>
      <c r="H151" t="s">
        <v>53</v>
      </c>
      <c r="I151" t="s">
        <v>64</v>
      </c>
      <c r="J151" t="s">
        <v>60</v>
      </c>
      <c r="K151" t="s">
        <v>65</v>
      </c>
    </row>
    <row r="152" spans="1:11" x14ac:dyDescent="0.3">
      <c r="A152">
        <v>20</v>
      </c>
      <c r="B152" t="s">
        <v>7</v>
      </c>
      <c r="C152">
        <v>23.21</v>
      </c>
      <c r="D152">
        <v>0</v>
      </c>
      <c r="E152" t="s">
        <v>10</v>
      </c>
      <c r="F152" t="s">
        <v>13</v>
      </c>
      <c r="G152">
        <v>2497.0383000000002</v>
      </c>
      <c r="H152" t="s">
        <v>53</v>
      </c>
      <c r="I152" t="s">
        <v>64</v>
      </c>
      <c r="J152" t="s">
        <v>60</v>
      </c>
      <c r="K152" t="s">
        <v>65</v>
      </c>
    </row>
    <row r="153" spans="1:11" x14ac:dyDescent="0.3">
      <c r="A153">
        <v>20</v>
      </c>
      <c r="B153" t="s">
        <v>8</v>
      </c>
      <c r="C153">
        <v>23.21</v>
      </c>
      <c r="D153">
        <v>0</v>
      </c>
      <c r="E153" t="s">
        <v>10</v>
      </c>
      <c r="F153" t="s">
        <v>11</v>
      </c>
      <c r="G153">
        <v>2498.4144000000001</v>
      </c>
      <c r="H153" t="s">
        <v>53</v>
      </c>
      <c r="I153" t="s">
        <v>64</v>
      </c>
      <c r="J153" t="s">
        <v>60</v>
      </c>
      <c r="K153" t="s">
        <v>65</v>
      </c>
    </row>
    <row r="154" spans="1:11" x14ac:dyDescent="0.3">
      <c r="A154">
        <v>20</v>
      </c>
      <c r="B154" t="s">
        <v>8</v>
      </c>
      <c r="C154">
        <v>23.21</v>
      </c>
      <c r="D154">
        <v>0</v>
      </c>
      <c r="E154" t="s">
        <v>10</v>
      </c>
      <c r="F154" t="s">
        <v>13</v>
      </c>
      <c r="G154">
        <v>2523.1695</v>
      </c>
      <c r="H154" t="s">
        <v>53</v>
      </c>
      <c r="I154" t="s">
        <v>64</v>
      </c>
      <c r="J154" t="s">
        <v>60</v>
      </c>
      <c r="K154" t="s">
        <v>65</v>
      </c>
    </row>
    <row r="155" spans="1:11" x14ac:dyDescent="0.3">
      <c r="A155">
        <v>20</v>
      </c>
      <c r="B155" t="s">
        <v>8</v>
      </c>
      <c r="C155">
        <v>23.274999999999999</v>
      </c>
      <c r="D155">
        <v>0</v>
      </c>
      <c r="E155" t="s">
        <v>10</v>
      </c>
      <c r="F155" t="s">
        <v>12</v>
      </c>
      <c r="G155">
        <v>2527.8186500000002</v>
      </c>
      <c r="H155" t="s">
        <v>53</v>
      </c>
      <c r="I155" t="s">
        <v>64</v>
      </c>
      <c r="J155" t="s">
        <v>60</v>
      </c>
      <c r="K155" t="s">
        <v>65</v>
      </c>
    </row>
    <row r="156" spans="1:11" x14ac:dyDescent="0.3">
      <c r="A156">
        <v>20</v>
      </c>
      <c r="B156" t="s">
        <v>7</v>
      </c>
      <c r="C156">
        <v>23.3</v>
      </c>
      <c r="D156">
        <v>0</v>
      </c>
      <c r="E156" t="s">
        <v>10</v>
      </c>
      <c r="F156" t="s">
        <v>14</v>
      </c>
      <c r="G156">
        <v>2534.3937500000002</v>
      </c>
      <c r="H156" t="s">
        <v>53</v>
      </c>
      <c r="I156" t="s">
        <v>64</v>
      </c>
      <c r="J156" t="s">
        <v>60</v>
      </c>
      <c r="K156" t="s">
        <v>65</v>
      </c>
    </row>
    <row r="157" spans="1:11" x14ac:dyDescent="0.3">
      <c r="A157">
        <v>20</v>
      </c>
      <c r="B157" t="s">
        <v>7</v>
      </c>
      <c r="C157">
        <v>23.32</v>
      </c>
      <c r="D157">
        <v>0</v>
      </c>
      <c r="E157" t="s">
        <v>9</v>
      </c>
      <c r="F157" t="s">
        <v>14</v>
      </c>
      <c r="G157">
        <v>2566.4706999999999</v>
      </c>
      <c r="H157" t="s">
        <v>53</v>
      </c>
      <c r="I157" t="s">
        <v>64</v>
      </c>
      <c r="J157" t="s">
        <v>60</v>
      </c>
      <c r="K157" t="s">
        <v>65</v>
      </c>
    </row>
    <row r="158" spans="1:11" x14ac:dyDescent="0.3">
      <c r="A158">
        <v>20</v>
      </c>
      <c r="B158" t="s">
        <v>7</v>
      </c>
      <c r="C158">
        <v>23.37</v>
      </c>
      <c r="D158">
        <v>0</v>
      </c>
      <c r="E158" t="s">
        <v>10</v>
      </c>
      <c r="F158" t="s">
        <v>14</v>
      </c>
      <c r="G158">
        <v>2585.2689999999998</v>
      </c>
      <c r="H158" t="s">
        <v>53</v>
      </c>
      <c r="I158" t="s">
        <v>64</v>
      </c>
      <c r="J158" t="s">
        <v>60</v>
      </c>
      <c r="K158" t="s">
        <v>65</v>
      </c>
    </row>
    <row r="159" spans="1:11" x14ac:dyDescent="0.3">
      <c r="A159">
        <v>20</v>
      </c>
      <c r="B159" t="s">
        <v>8</v>
      </c>
      <c r="C159">
        <v>23.37</v>
      </c>
      <c r="D159">
        <v>0</v>
      </c>
      <c r="E159" t="s">
        <v>10</v>
      </c>
      <c r="F159" t="s">
        <v>13</v>
      </c>
      <c r="G159">
        <v>2585.8506499999999</v>
      </c>
      <c r="H159" t="s">
        <v>53</v>
      </c>
      <c r="I159" t="s">
        <v>64</v>
      </c>
      <c r="J159" t="s">
        <v>60</v>
      </c>
      <c r="K159" t="s">
        <v>65</v>
      </c>
    </row>
    <row r="160" spans="1:11" x14ac:dyDescent="0.3">
      <c r="A160">
        <v>20</v>
      </c>
      <c r="B160" t="s">
        <v>8</v>
      </c>
      <c r="C160">
        <v>23.37</v>
      </c>
      <c r="D160">
        <v>0</v>
      </c>
      <c r="E160" t="s">
        <v>9</v>
      </c>
      <c r="F160" t="s">
        <v>12</v>
      </c>
      <c r="G160">
        <v>2597.779</v>
      </c>
      <c r="H160" t="s">
        <v>53</v>
      </c>
      <c r="I160" t="s">
        <v>64</v>
      </c>
      <c r="J160" t="s">
        <v>60</v>
      </c>
      <c r="K160" t="s">
        <v>65</v>
      </c>
    </row>
    <row r="161" spans="1:11" x14ac:dyDescent="0.3">
      <c r="A161">
        <v>20</v>
      </c>
      <c r="B161" t="s">
        <v>8</v>
      </c>
      <c r="C161">
        <v>23.4</v>
      </c>
      <c r="D161">
        <v>0</v>
      </c>
      <c r="E161" t="s">
        <v>9</v>
      </c>
      <c r="F161" t="s">
        <v>14</v>
      </c>
      <c r="G161">
        <v>2632.9920000000002</v>
      </c>
      <c r="H161" t="s">
        <v>53</v>
      </c>
      <c r="I161" t="s">
        <v>64</v>
      </c>
      <c r="J161" t="s">
        <v>60</v>
      </c>
      <c r="K161" t="s">
        <v>65</v>
      </c>
    </row>
    <row r="162" spans="1:11" x14ac:dyDescent="0.3">
      <c r="A162">
        <v>20</v>
      </c>
      <c r="B162" t="s">
        <v>8</v>
      </c>
      <c r="C162">
        <v>23.4</v>
      </c>
      <c r="D162">
        <v>0</v>
      </c>
      <c r="E162" t="s">
        <v>9</v>
      </c>
      <c r="F162" t="s">
        <v>12</v>
      </c>
      <c r="G162">
        <v>2639.0428999999999</v>
      </c>
      <c r="H162" t="s">
        <v>53</v>
      </c>
      <c r="I162" t="s">
        <v>64</v>
      </c>
      <c r="J162" t="s">
        <v>60</v>
      </c>
      <c r="K162" t="s">
        <v>65</v>
      </c>
    </row>
    <row r="163" spans="1:11" x14ac:dyDescent="0.3">
      <c r="A163">
        <v>20</v>
      </c>
      <c r="B163" t="s">
        <v>7</v>
      </c>
      <c r="C163">
        <v>23.465</v>
      </c>
      <c r="D163">
        <v>0</v>
      </c>
      <c r="E163" t="s">
        <v>10</v>
      </c>
      <c r="F163" t="s">
        <v>12</v>
      </c>
      <c r="G163">
        <v>2643.2685000000001</v>
      </c>
      <c r="H163" t="s">
        <v>53</v>
      </c>
      <c r="I163" t="s">
        <v>64</v>
      </c>
      <c r="J163" t="s">
        <v>60</v>
      </c>
      <c r="K163" t="s">
        <v>65</v>
      </c>
    </row>
    <row r="164" spans="1:11" x14ac:dyDescent="0.3">
      <c r="A164">
        <v>20</v>
      </c>
      <c r="B164" t="s">
        <v>7</v>
      </c>
      <c r="C164">
        <v>23.465</v>
      </c>
      <c r="D164">
        <v>0</v>
      </c>
      <c r="E164" t="s">
        <v>9</v>
      </c>
      <c r="F164" t="s">
        <v>13</v>
      </c>
      <c r="G164">
        <v>2680.9493000000002</v>
      </c>
      <c r="H164" t="s">
        <v>53</v>
      </c>
      <c r="I164" t="s">
        <v>64</v>
      </c>
      <c r="J164" t="s">
        <v>60</v>
      </c>
      <c r="K164" t="s">
        <v>65</v>
      </c>
    </row>
    <row r="165" spans="1:11" x14ac:dyDescent="0.3">
      <c r="A165">
        <v>20</v>
      </c>
      <c r="B165" t="s">
        <v>7</v>
      </c>
      <c r="C165">
        <v>23.54</v>
      </c>
      <c r="D165">
        <v>0</v>
      </c>
      <c r="E165" t="s">
        <v>9</v>
      </c>
      <c r="F165" t="s">
        <v>12</v>
      </c>
      <c r="G165">
        <v>2689.4953999999998</v>
      </c>
      <c r="H165" t="s">
        <v>53</v>
      </c>
      <c r="I165" t="s">
        <v>64</v>
      </c>
      <c r="J165" t="s">
        <v>60</v>
      </c>
      <c r="K165" t="s">
        <v>65</v>
      </c>
    </row>
    <row r="166" spans="1:11" x14ac:dyDescent="0.3">
      <c r="A166">
        <v>20</v>
      </c>
      <c r="B166" t="s">
        <v>8</v>
      </c>
      <c r="C166">
        <v>23.56</v>
      </c>
      <c r="D166">
        <v>0</v>
      </c>
      <c r="E166" t="s">
        <v>10</v>
      </c>
      <c r="F166" t="s">
        <v>11</v>
      </c>
      <c r="G166">
        <v>2690.1138000000001</v>
      </c>
      <c r="H166" t="s">
        <v>53</v>
      </c>
      <c r="I166" t="s">
        <v>64</v>
      </c>
      <c r="J166" t="s">
        <v>60</v>
      </c>
      <c r="K166" t="s">
        <v>65</v>
      </c>
    </row>
    <row r="167" spans="1:11" x14ac:dyDescent="0.3">
      <c r="A167">
        <v>20</v>
      </c>
      <c r="B167" t="s">
        <v>7</v>
      </c>
      <c r="C167">
        <v>23.56</v>
      </c>
      <c r="D167">
        <v>0</v>
      </c>
      <c r="E167" t="s">
        <v>10</v>
      </c>
      <c r="F167" t="s">
        <v>11</v>
      </c>
      <c r="G167">
        <v>2699.56835</v>
      </c>
      <c r="H167" t="s">
        <v>53</v>
      </c>
      <c r="I167" t="s">
        <v>64</v>
      </c>
      <c r="J167" t="s">
        <v>60</v>
      </c>
      <c r="K167" t="s">
        <v>65</v>
      </c>
    </row>
    <row r="168" spans="1:11" x14ac:dyDescent="0.3">
      <c r="A168">
        <v>20</v>
      </c>
      <c r="B168" t="s">
        <v>8</v>
      </c>
      <c r="C168">
        <v>23.6</v>
      </c>
      <c r="D168">
        <v>0</v>
      </c>
      <c r="E168" t="s">
        <v>10</v>
      </c>
      <c r="F168" t="s">
        <v>13</v>
      </c>
      <c r="G168">
        <v>2709.1118999999999</v>
      </c>
      <c r="H168" t="s">
        <v>53</v>
      </c>
      <c r="I168" t="s">
        <v>64</v>
      </c>
      <c r="J168" t="s">
        <v>60</v>
      </c>
      <c r="K168" t="s">
        <v>65</v>
      </c>
    </row>
    <row r="169" spans="1:11" x14ac:dyDescent="0.3">
      <c r="A169">
        <v>21</v>
      </c>
      <c r="B169" t="s">
        <v>8</v>
      </c>
      <c r="C169">
        <v>23.6</v>
      </c>
      <c r="D169">
        <v>0</v>
      </c>
      <c r="E169" t="s">
        <v>10</v>
      </c>
      <c r="F169" t="s">
        <v>14</v>
      </c>
      <c r="G169">
        <v>2709.24395</v>
      </c>
      <c r="H169" t="s">
        <v>53</v>
      </c>
      <c r="I169" t="s">
        <v>64</v>
      </c>
      <c r="J169" t="s">
        <v>60</v>
      </c>
      <c r="K169" t="s">
        <v>65</v>
      </c>
    </row>
    <row r="170" spans="1:11" x14ac:dyDescent="0.3">
      <c r="A170">
        <v>21</v>
      </c>
      <c r="B170" t="s">
        <v>7</v>
      </c>
      <c r="C170">
        <v>23.65</v>
      </c>
      <c r="D170">
        <v>0</v>
      </c>
      <c r="E170" t="s">
        <v>10</v>
      </c>
      <c r="F170" t="s">
        <v>11</v>
      </c>
      <c r="G170">
        <v>2710.8285500000002</v>
      </c>
      <c r="H170" t="s">
        <v>53</v>
      </c>
      <c r="I170" t="s">
        <v>64</v>
      </c>
      <c r="J170" t="s">
        <v>60</v>
      </c>
      <c r="K170" t="s">
        <v>65</v>
      </c>
    </row>
    <row r="171" spans="1:11" x14ac:dyDescent="0.3">
      <c r="A171">
        <v>21</v>
      </c>
      <c r="B171" t="s">
        <v>7</v>
      </c>
      <c r="C171">
        <v>23.655000000000001</v>
      </c>
      <c r="D171">
        <v>0</v>
      </c>
      <c r="E171" t="s">
        <v>10</v>
      </c>
      <c r="F171" t="s">
        <v>13</v>
      </c>
      <c r="G171">
        <v>2719.2797500000001</v>
      </c>
      <c r="H171" t="s">
        <v>53</v>
      </c>
      <c r="I171" t="s">
        <v>64</v>
      </c>
      <c r="J171" t="s">
        <v>60</v>
      </c>
      <c r="K171" t="s">
        <v>65</v>
      </c>
    </row>
    <row r="172" spans="1:11" x14ac:dyDescent="0.3">
      <c r="A172">
        <v>21</v>
      </c>
      <c r="B172" t="s">
        <v>7</v>
      </c>
      <c r="C172">
        <v>23.655000000000001</v>
      </c>
      <c r="D172">
        <v>0</v>
      </c>
      <c r="E172" t="s">
        <v>10</v>
      </c>
      <c r="F172" t="s">
        <v>13</v>
      </c>
      <c r="G172">
        <v>2721.3208</v>
      </c>
      <c r="H172" t="s">
        <v>53</v>
      </c>
      <c r="I172" t="s">
        <v>64</v>
      </c>
      <c r="J172" t="s">
        <v>60</v>
      </c>
      <c r="K172" t="s">
        <v>65</v>
      </c>
    </row>
    <row r="173" spans="1:11" x14ac:dyDescent="0.3">
      <c r="A173">
        <v>21</v>
      </c>
      <c r="B173" t="s">
        <v>8</v>
      </c>
      <c r="C173">
        <v>23.655000000000001</v>
      </c>
      <c r="D173">
        <v>0</v>
      </c>
      <c r="E173" t="s">
        <v>10</v>
      </c>
      <c r="F173" t="s">
        <v>14</v>
      </c>
      <c r="G173">
        <v>2727.3951000000002</v>
      </c>
      <c r="H173" t="s">
        <v>53</v>
      </c>
      <c r="I173" t="s">
        <v>64</v>
      </c>
      <c r="J173" t="s">
        <v>60</v>
      </c>
      <c r="K173" t="s">
        <v>65</v>
      </c>
    </row>
    <row r="174" spans="1:11" x14ac:dyDescent="0.3">
      <c r="A174">
        <v>21</v>
      </c>
      <c r="B174" t="s">
        <v>8</v>
      </c>
      <c r="C174">
        <v>23.655000000000001</v>
      </c>
      <c r="D174">
        <v>0</v>
      </c>
      <c r="E174" t="s">
        <v>10</v>
      </c>
      <c r="F174" t="s">
        <v>12</v>
      </c>
      <c r="G174">
        <v>2730.1078499999999</v>
      </c>
      <c r="H174" t="s">
        <v>53</v>
      </c>
      <c r="I174" t="s">
        <v>64</v>
      </c>
      <c r="J174" t="s">
        <v>60</v>
      </c>
      <c r="K174" t="s">
        <v>65</v>
      </c>
    </row>
    <row r="175" spans="1:11" x14ac:dyDescent="0.3">
      <c r="A175">
        <v>21</v>
      </c>
      <c r="B175" t="s">
        <v>8</v>
      </c>
      <c r="C175">
        <v>23.655000000000001</v>
      </c>
      <c r="D175">
        <v>0</v>
      </c>
      <c r="E175" t="s">
        <v>10</v>
      </c>
      <c r="F175" t="s">
        <v>11</v>
      </c>
      <c r="G175">
        <v>2731.9122000000002</v>
      </c>
      <c r="H175" t="s">
        <v>53</v>
      </c>
      <c r="I175" t="s">
        <v>64</v>
      </c>
      <c r="J175" t="s">
        <v>60</v>
      </c>
      <c r="K175" t="s">
        <v>65</v>
      </c>
    </row>
    <row r="176" spans="1:11" x14ac:dyDescent="0.3">
      <c r="A176">
        <v>21</v>
      </c>
      <c r="B176" t="s">
        <v>8</v>
      </c>
      <c r="C176">
        <v>23.7</v>
      </c>
      <c r="D176">
        <v>0</v>
      </c>
      <c r="E176" t="s">
        <v>10</v>
      </c>
      <c r="F176" t="s">
        <v>14</v>
      </c>
      <c r="G176">
        <v>2741.9479999999999</v>
      </c>
      <c r="H176" t="s">
        <v>53</v>
      </c>
      <c r="I176" t="s">
        <v>64</v>
      </c>
      <c r="J176" t="s">
        <v>60</v>
      </c>
      <c r="K176" t="s">
        <v>65</v>
      </c>
    </row>
    <row r="177" spans="1:11" x14ac:dyDescent="0.3">
      <c r="A177">
        <v>21</v>
      </c>
      <c r="B177" t="s">
        <v>7</v>
      </c>
      <c r="C177">
        <v>23.7</v>
      </c>
      <c r="D177">
        <v>0</v>
      </c>
      <c r="E177" t="s">
        <v>10</v>
      </c>
      <c r="F177" t="s">
        <v>11</v>
      </c>
      <c r="G177">
        <v>2755.0209500000001</v>
      </c>
      <c r="H177" t="s">
        <v>53</v>
      </c>
      <c r="I177" t="s">
        <v>64</v>
      </c>
      <c r="J177" t="s">
        <v>60</v>
      </c>
      <c r="K177" t="s">
        <v>65</v>
      </c>
    </row>
    <row r="178" spans="1:11" x14ac:dyDescent="0.3">
      <c r="A178">
        <v>21</v>
      </c>
      <c r="B178" t="s">
        <v>7</v>
      </c>
      <c r="C178">
        <v>23.75</v>
      </c>
      <c r="D178">
        <v>0</v>
      </c>
      <c r="E178" t="s">
        <v>10</v>
      </c>
      <c r="F178" t="s">
        <v>13</v>
      </c>
      <c r="G178">
        <v>2775.1921499999999</v>
      </c>
      <c r="H178" t="s">
        <v>53</v>
      </c>
      <c r="I178" t="s">
        <v>64</v>
      </c>
      <c r="J178" t="s">
        <v>60</v>
      </c>
      <c r="K178" t="s">
        <v>65</v>
      </c>
    </row>
    <row r="179" spans="1:11" x14ac:dyDescent="0.3">
      <c r="A179">
        <v>21</v>
      </c>
      <c r="B179" t="s">
        <v>7</v>
      </c>
      <c r="C179">
        <v>23.75</v>
      </c>
      <c r="D179">
        <v>0</v>
      </c>
      <c r="E179" t="s">
        <v>9</v>
      </c>
      <c r="F179" t="s">
        <v>11</v>
      </c>
      <c r="G179">
        <v>2789.0574000000001</v>
      </c>
      <c r="H179" t="s">
        <v>53</v>
      </c>
      <c r="I179" t="s">
        <v>64</v>
      </c>
      <c r="J179" t="s">
        <v>60</v>
      </c>
      <c r="K179" t="s">
        <v>65</v>
      </c>
    </row>
    <row r="180" spans="1:11" x14ac:dyDescent="0.3">
      <c r="A180">
        <v>21</v>
      </c>
      <c r="B180" t="s">
        <v>8</v>
      </c>
      <c r="C180">
        <v>23.75</v>
      </c>
      <c r="D180">
        <v>0</v>
      </c>
      <c r="E180" t="s">
        <v>10</v>
      </c>
      <c r="F180" t="s">
        <v>13</v>
      </c>
      <c r="G180">
        <v>2801.2588000000001</v>
      </c>
      <c r="H180" t="s">
        <v>53</v>
      </c>
      <c r="I180" t="s">
        <v>64</v>
      </c>
      <c r="J180" t="s">
        <v>60</v>
      </c>
      <c r="K180" t="s">
        <v>65</v>
      </c>
    </row>
    <row r="181" spans="1:11" x14ac:dyDescent="0.3">
      <c r="A181">
        <v>21</v>
      </c>
      <c r="B181" t="s">
        <v>8</v>
      </c>
      <c r="C181">
        <v>23.76</v>
      </c>
      <c r="D181">
        <v>0</v>
      </c>
      <c r="E181" t="s">
        <v>10</v>
      </c>
      <c r="F181" t="s">
        <v>11</v>
      </c>
      <c r="G181">
        <v>2803.69785</v>
      </c>
      <c r="H181" t="s">
        <v>53</v>
      </c>
      <c r="I181" t="s">
        <v>64</v>
      </c>
      <c r="J181" t="s">
        <v>60</v>
      </c>
      <c r="K181" t="s">
        <v>65</v>
      </c>
    </row>
    <row r="182" spans="1:11" x14ac:dyDescent="0.3">
      <c r="A182">
        <v>21</v>
      </c>
      <c r="B182" t="s">
        <v>7</v>
      </c>
      <c r="C182">
        <v>23.8</v>
      </c>
      <c r="D182">
        <v>0</v>
      </c>
      <c r="E182" t="s">
        <v>10</v>
      </c>
      <c r="F182" t="s">
        <v>11</v>
      </c>
      <c r="G182">
        <v>2842.7607499999999</v>
      </c>
      <c r="H182" t="s">
        <v>53</v>
      </c>
      <c r="I182" t="s">
        <v>64</v>
      </c>
      <c r="J182" t="s">
        <v>60</v>
      </c>
      <c r="K182" t="s">
        <v>65</v>
      </c>
    </row>
    <row r="183" spans="1:11" x14ac:dyDescent="0.3">
      <c r="A183">
        <v>21</v>
      </c>
      <c r="B183" t="s">
        <v>7</v>
      </c>
      <c r="C183">
        <v>23.844999999999999</v>
      </c>
      <c r="D183">
        <v>0</v>
      </c>
      <c r="E183" t="s">
        <v>10</v>
      </c>
      <c r="F183" t="s">
        <v>14</v>
      </c>
      <c r="G183">
        <v>2850.6837500000001</v>
      </c>
      <c r="H183" t="s">
        <v>53</v>
      </c>
      <c r="I183" t="s">
        <v>64</v>
      </c>
      <c r="J183" t="s">
        <v>60</v>
      </c>
      <c r="K183" t="s">
        <v>65</v>
      </c>
    </row>
    <row r="184" spans="1:11" x14ac:dyDescent="0.3">
      <c r="A184">
        <v>21</v>
      </c>
      <c r="B184" t="s">
        <v>8</v>
      </c>
      <c r="C184">
        <v>23.844999999999999</v>
      </c>
      <c r="D184">
        <v>0</v>
      </c>
      <c r="E184" t="s">
        <v>10</v>
      </c>
      <c r="F184" t="s">
        <v>13</v>
      </c>
      <c r="G184">
        <v>2855.4375500000001</v>
      </c>
      <c r="H184" t="s">
        <v>53</v>
      </c>
      <c r="I184" t="s">
        <v>64</v>
      </c>
      <c r="J184" t="s">
        <v>60</v>
      </c>
      <c r="K184" t="s">
        <v>65</v>
      </c>
    </row>
    <row r="185" spans="1:11" x14ac:dyDescent="0.3">
      <c r="A185">
        <v>21</v>
      </c>
      <c r="B185" t="s">
        <v>7</v>
      </c>
      <c r="C185">
        <v>23.844999999999999</v>
      </c>
      <c r="D185">
        <v>0</v>
      </c>
      <c r="E185" t="s">
        <v>10</v>
      </c>
      <c r="F185" t="s">
        <v>12</v>
      </c>
      <c r="G185">
        <v>2866.0909999999999</v>
      </c>
      <c r="H185" t="s">
        <v>53</v>
      </c>
      <c r="I185" t="s">
        <v>64</v>
      </c>
      <c r="J185" t="s">
        <v>60</v>
      </c>
      <c r="K185" t="s">
        <v>65</v>
      </c>
    </row>
    <row r="186" spans="1:11" x14ac:dyDescent="0.3">
      <c r="A186">
        <v>21</v>
      </c>
      <c r="B186" t="s">
        <v>8</v>
      </c>
      <c r="C186">
        <v>23.87</v>
      </c>
      <c r="D186">
        <v>0</v>
      </c>
      <c r="E186" t="s">
        <v>10</v>
      </c>
      <c r="F186" t="s">
        <v>14</v>
      </c>
      <c r="G186">
        <v>2867.1196</v>
      </c>
      <c r="H186" t="s">
        <v>53</v>
      </c>
      <c r="I186" t="s">
        <v>64</v>
      </c>
      <c r="J186" t="s">
        <v>60</v>
      </c>
      <c r="K186" t="s">
        <v>65</v>
      </c>
    </row>
    <row r="187" spans="1:11" x14ac:dyDescent="0.3">
      <c r="A187">
        <v>21</v>
      </c>
      <c r="B187" t="s">
        <v>7</v>
      </c>
      <c r="C187">
        <v>23.9</v>
      </c>
      <c r="D187">
        <v>0</v>
      </c>
      <c r="E187" t="s">
        <v>10</v>
      </c>
      <c r="F187" t="s">
        <v>13</v>
      </c>
      <c r="G187">
        <v>2897.3235</v>
      </c>
      <c r="H187" t="s">
        <v>53</v>
      </c>
      <c r="I187" t="s">
        <v>64</v>
      </c>
      <c r="J187" t="s">
        <v>60</v>
      </c>
      <c r="K187" t="s">
        <v>65</v>
      </c>
    </row>
    <row r="188" spans="1:11" x14ac:dyDescent="0.3">
      <c r="A188">
        <v>21</v>
      </c>
      <c r="B188" t="s">
        <v>8</v>
      </c>
      <c r="C188">
        <v>23.94</v>
      </c>
      <c r="D188">
        <v>0</v>
      </c>
      <c r="E188" t="s">
        <v>10</v>
      </c>
      <c r="F188" t="s">
        <v>12</v>
      </c>
      <c r="G188">
        <v>2899.4893499999998</v>
      </c>
      <c r="H188" t="s">
        <v>53</v>
      </c>
      <c r="I188" t="s">
        <v>64</v>
      </c>
      <c r="J188" t="s">
        <v>60</v>
      </c>
      <c r="K188" t="s">
        <v>65</v>
      </c>
    </row>
    <row r="189" spans="1:11" x14ac:dyDescent="0.3">
      <c r="A189">
        <v>21</v>
      </c>
      <c r="B189" t="s">
        <v>8</v>
      </c>
      <c r="C189">
        <v>23.98</v>
      </c>
      <c r="D189">
        <v>0</v>
      </c>
      <c r="E189" t="s">
        <v>9</v>
      </c>
      <c r="F189" t="s">
        <v>14</v>
      </c>
      <c r="G189">
        <v>2902.9065000000001</v>
      </c>
      <c r="H189" t="s">
        <v>53</v>
      </c>
      <c r="I189" t="s">
        <v>64</v>
      </c>
      <c r="J189" t="s">
        <v>60</v>
      </c>
      <c r="K189" t="s">
        <v>65</v>
      </c>
    </row>
    <row r="190" spans="1:11" x14ac:dyDescent="0.3">
      <c r="A190">
        <v>21</v>
      </c>
      <c r="B190" t="s">
        <v>7</v>
      </c>
      <c r="C190">
        <v>23.98</v>
      </c>
      <c r="D190">
        <v>0</v>
      </c>
      <c r="E190" t="s">
        <v>10</v>
      </c>
      <c r="F190" t="s">
        <v>12</v>
      </c>
      <c r="G190">
        <v>2904.0880000000002</v>
      </c>
      <c r="H190" t="s">
        <v>53</v>
      </c>
      <c r="I190" t="s">
        <v>64</v>
      </c>
      <c r="J190" t="s">
        <v>60</v>
      </c>
      <c r="K190" t="s">
        <v>65</v>
      </c>
    </row>
    <row r="191" spans="1:11" x14ac:dyDescent="0.3">
      <c r="A191">
        <v>21</v>
      </c>
      <c r="B191" t="s">
        <v>7</v>
      </c>
      <c r="C191">
        <v>23.98</v>
      </c>
      <c r="D191">
        <v>0</v>
      </c>
      <c r="E191" t="s">
        <v>10</v>
      </c>
      <c r="F191" t="s">
        <v>11</v>
      </c>
      <c r="G191">
        <v>2913.569</v>
      </c>
      <c r="H191" t="s">
        <v>53</v>
      </c>
      <c r="I191" t="s">
        <v>64</v>
      </c>
      <c r="J191" t="s">
        <v>60</v>
      </c>
      <c r="K191" t="s">
        <v>65</v>
      </c>
    </row>
    <row r="192" spans="1:11" x14ac:dyDescent="0.3">
      <c r="A192">
        <v>21</v>
      </c>
      <c r="B192" t="s">
        <v>7</v>
      </c>
      <c r="C192">
        <v>24.035</v>
      </c>
      <c r="D192">
        <v>0</v>
      </c>
      <c r="E192" t="s">
        <v>10</v>
      </c>
      <c r="F192" t="s">
        <v>11</v>
      </c>
      <c r="G192">
        <v>2927.0646999999999</v>
      </c>
      <c r="H192" t="s">
        <v>53</v>
      </c>
      <c r="I192" t="s">
        <v>64</v>
      </c>
      <c r="J192" t="s">
        <v>60</v>
      </c>
      <c r="K192" t="s">
        <v>65</v>
      </c>
    </row>
    <row r="193" spans="1:11" x14ac:dyDescent="0.3">
      <c r="A193">
        <v>21</v>
      </c>
      <c r="B193" t="s">
        <v>7</v>
      </c>
      <c r="C193">
        <v>24.035</v>
      </c>
      <c r="D193">
        <v>0</v>
      </c>
      <c r="E193" t="s">
        <v>10</v>
      </c>
      <c r="F193" t="s">
        <v>13</v>
      </c>
      <c r="G193">
        <v>2974.1260000000002</v>
      </c>
      <c r="H193" t="s">
        <v>53</v>
      </c>
      <c r="I193" t="s">
        <v>64</v>
      </c>
      <c r="J193" t="s">
        <v>60</v>
      </c>
      <c r="K193" t="s">
        <v>65</v>
      </c>
    </row>
    <row r="194" spans="1:11" x14ac:dyDescent="0.3">
      <c r="A194">
        <v>21</v>
      </c>
      <c r="B194" t="s">
        <v>8</v>
      </c>
      <c r="C194">
        <v>24.035</v>
      </c>
      <c r="D194">
        <v>0</v>
      </c>
      <c r="E194" t="s">
        <v>10</v>
      </c>
      <c r="F194" t="s">
        <v>12</v>
      </c>
      <c r="G194">
        <v>3021.80915</v>
      </c>
      <c r="H194" t="s">
        <v>53</v>
      </c>
      <c r="I194" t="s">
        <v>64</v>
      </c>
      <c r="J194" t="s">
        <v>60</v>
      </c>
      <c r="K194" t="s">
        <v>65</v>
      </c>
    </row>
    <row r="195" spans="1:11" x14ac:dyDescent="0.3">
      <c r="A195">
        <v>21</v>
      </c>
      <c r="B195" t="s">
        <v>7</v>
      </c>
      <c r="C195">
        <v>24.09</v>
      </c>
      <c r="D195">
        <v>0</v>
      </c>
      <c r="E195" t="s">
        <v>10</v>
      </c>
      <c r="F195" t="s">
        <v>11</v>
      </c>
      <c r="G195">
        <v>3044.2132999999999</v>
      </c>
      <c r="H195" t="s">
        <v>53</v>
      </c>
      <c r="I195" t="s">
        <v>64</v>
      </c>
      <c r="J195" t="s">
        <v>60</v>
      </c>
      <c r="K195" t="s">
        <v>65</v>
      </c>
    </row>
    <row r="196" spans="1:11" x14ac:dyDescent="0.3">
      <c r="A196">
        <v>21</v>
      </c>
      <c r="B196" t="s">
        <v>8</v>
      </c>
      <c r="C196">
        <v>24.1</v>
      </c>
      <c r="D196">
        <v>0</v>
      </c>
      <c r="E196" t="s">
        <v>10</v>
      </c>
      <c r="F196" t="s">
        <v>12</v>
      </c>
      <c r="G196">
        <v>3046.0619999999999</v>
      </c>
      <c r="H196" t="s">
        <v>53</v>
      </c>
      <c r="I196" t="s">
        <v>64</v>
      </c>
      <c r="J196" t="s">
        <v>60</v>
      </c>
      <c r="K196" t="s">
        <v>65</v>
      </c>
    </row>
    <row r="197" spans="1:11" x14ac:dyDescent="0.3">
      <c r="A197">
        <v>22</v>
      </c>
      <c r="B197" t="s">
        <v>7</v>
      </c>
      <c r="C197">
        <v>24.1</v>
      </c>
      <c r="D197">
        <v>0</v>
      </c>
      <c r="E197" t="s">
        <v>10</v>
      </c>
      <c r="F197" t="s">
        <v>13</v>
      </c>
      <c r="G197">
        <v>3056.3881000000001</v>
      </c>
      <c r="H197" t="s">
        <v>53</v>
      </c>
      <c r="I197" t="s">
        <v>64</v>
      </c>
      <c r="J197" t="s">
        <v>60</v>
      </c>
      <c r="K197" t="s">
        <v>65</v>
      </c>
    </row>
    <row r="198" spans="1:11" x14ac:dyDescent="0.3">
      <c r="A198">
        <v>22</v>
      </c>
      <c r="B198" t="s">
        <v>8</v>
      </c>
      <c r="C198">
        <v>24.13</v>
      </c>
      <c r="D198">
        <v>0</v>
      </c>
      <c r="E198" t="s">
        <v>10</v>
      </c>
      <c r="F198" t="s">
        <v>12</v>
      </c>
      <c r="G198">
        <v>3062.5082499999999</v>
      </c>
      <c r="H198" t="s">
        <v>53</v>
      </c>
      <c r="I198" t="s">
        <v>64</v>
      </c>
      <c r="J198" t="s">
        <v>60</v>
      </c>
      <c r="K198" t="s">
        <v>65</v>
      </c>
    </row>
    <row r="199" spans="1:11" x14ac:dyDescent="0.3">
      <c r="A199">
        <v>22</v>
      </c>
      <c r="B199" t="s">
        <v>8</v>
      </c>
      <c r="C199">
        <v>24.13</v>
      </c>
      <c r="D199">
        <v>0</v>
      </c>
      <c r="E199" t="s">
        <v>10</v>
      </c>
      <c r="F199" t="s">
        <v>13</v>
      </c>
      <c r="G199">
        <v>3070.8087</v>
      </c>
      <c r="H199" t="s">
        <v>53</v>
      </c>
      <c r="I199" t="s">
        <v>64</v>
      </c>
      <c r="J199" t="s">
        <v>60</v>
      </c>
      <c r="K199" t="s">
        <v>65</v>
      </c>
    </row>
    <row r="200" spans="1:11" x14ac:dyDescent="0.3">
      <c r="A200">
        <v>22</v>
      </c>
      <c r="B200" t="s">
        <v>7</v>
      </c>
      <c r="C200">
        <v>24.13</v>
      </c>
      <c r="D200">
        <v>0</v>
      </c>
      <c r="E200" t="s">
        <v>10</v>
      </c>
      <c r="F200" t="s">
        <v>11</v>
      </c>
      <c r="G200">
        <v>3077.0954999999999</v>
      </c>
      <c r="H200" t="s">
        <v>53</v>
      </c>
      <c r="I200" t="s">
        <v>64</v>
      </c>
      <c r="J200" t="s">
        <v>60</v>
      </c>
      <c r="K200" t="s">
        <v>65</v>
      </c>
    </row>
    <row r="201" spans="1:11" x14ac:dyDescent="0.3">
      <c r="A201">
        <v>22</v>
      </c>
      <c r="B201" t="s">
        <v>7</v>
      </c>
      <c r="C201">
        <v>24.13</v>
      </c>
      <c r="D201">
        <v>0</v>
      </c>
      <c r="E201" t="s">
        <v>10</v>
      </c>
      <c r="F201" t="s">
        <v>12</v>
      </c>
      <c r="G201">
        <v>3161.4540000000002</v>
      </c>
      <c r="H201" t="s">
        <v>53</v>
      </c>
      <c r="I201" t="s">
        <v>64</v>
      </c>
      <c r="J201" t="s">
        <v>60</v>
      </c>
      <c r="K201" t="s">
        <v>65</v>
      </c>
    </row>
    <row r="202" spans="1:11" x14ac:dyDescent="0.3">
      <c r="A202">
        <v>22</v>
      </c>
      <c r="B202" t="s">
        <v>7</v>
      </c>
      <c r="C202">
        <v>24.225000000000001</v>
      </c>
      <c r="D202">
        <v>0</v>
      </c>
      <c r="E202" t="s">
        <v>10</v>
      </c>
      <c r="F202" t="s">
        <v>13</v>
      </c>
      <c r="G202">
        <v>3167.4558499999998</v>
      </c>
      <c r="H202" t="s">
        <v>53</v>
      </c>
      <c r="I202" t="s">
        <v>64</v>
      </c>
      <c r="J202" t="s">
        <v>60</v>
      </c>
      <c r="K202" t="s">
        <v>65</v>
      </c>
    </row>
    <row r="203" spans="1:11" x14ac:dyDescent="0.3">
      <c r="A203">
        <v>22</v>
      </c>
      <c r="B203" t="s">
        <v>7</v>
      </c>
      <c r="C203">
        <v>24.225000000000001</v>
      </c>
      <c r="D203">
        <v>0</v>
      </c>
      <c r="E203" t="s">
        <v>10</v>
      </c>
      <c r="F203" t="s">
        <v>14</v>
      </c>
      <c r="G203">
        <v>3171.6149</v>
      </c>
      <c r="H203" t="s">
        <v>53</v>
      </c>
      <c r="I203" t="s">
        <v>64</v>
      </c>
      <c r="J203" t="s">
        <v>60</v>
      </c>
      <c r="K203" t="s">
        <v>65</v>
      </c>
    </row>
    <row r="204" spans="1:11" x14ac:dyDescent="0.3">
      <c r="A204">
        <v>22</v>
      </c>
      <c r="B204" t="s">
        <v>7</v>
      </c>
      <c r="C204">
        <v>24.225000000000001</v>
      </c>
      <c r="D204">
        <v>0</v>
      </c>
      <c r="E204" t="s">
        <v>10</v>
      </c>
      <c r="F204" t="s">
        <v>13</v>
      </c>
      <c r="G204">
        <v>3172.018</v>
      </c>
      <c r="H204" t="s">
        <v>53</v>
      </c>
      <c r="I204" t="s">
        <v>64</v>
      </c>
      <c r="J204" t="s">
        <v>60</v>
      </c>
      <c r="K204" t="s">
        <v>65</v>
      </c>
    </row>
    <row r="205" spans="1:11" x14ac:dyDescent="0.3">
      <c r="A205">
        <v>22</v>
      </c>
      <c r="B205" t="s">
        <v>7</v>
      </c>
      <c r="C205">
        <v>24.3</v>
      </c>
      <c r="D205">
        <v>0</v>
      </c>
      <c r="E205" t="s">
        <v>10</v>
      </c>
      <c r="F205" t="s">
        <v>12</v>
      </c>
      <c r="G205">
        <v>3176.2876999999999</v>
      </c>
      <c r="H205" t="s">
        <v>53</v>
      </c>
      <c r="I205" t="s">
        <v>64</v>
      </c>
      <c r="J205" t="s">
        <v>60</v>
      </c>
      <c r="K205" t="s">
        <v>65</v>
      </c>
    </row>
    <row r="206" spans="1:11" x14ac:dyDescent="0.3">
      <c r="A206">
        <v>22</v>
      </c>
      <c r="B206" t="s">
        <v>7</v>
      </c>
      <c r="C206">
        <v>24.3</v>
      </c>
      <c r="D206">
        <v>0</v>
      </c>
      <c r="E206" t="s">
        <v>10</v>
      </c>
      <c r="F206" t="s">
        <v>13</v>
      </c>
      <c r="G206">
        <v>3176.8159000000001</v>
      </c>
      <c r="H206" t="s">
        <v>53</v>
      </c>
      <c r="I206" t="s">
        <v>64</v>
      </c>
      <c r="J206" t="s">
        <v>60</v>
      </c>
      <c r="K206" t="s">
        <v>65</v>
      </c>
    </row>
    <row r="207" spans="1:11" x14ac:dyDescent="0.3">
      <c r="A207">
        <v>22</v>
      </c>
      <c r="B207" t="s">
        <v>7</v>
      </c>
      <c r="C207">
        <v>24.3</v>
      </c>
      <c r="D207">
        <v>0</v>
      </c>
      <c r="E207" t="s">
        <v>9</v>
      </c>
      <c r="F207" t="s">
        <v>12</v>
      </c>
      <c r="G207">
        <v>3180.5101</v>
      </c>
      <c r="H207" t="s">
        <v>53</v>
      </c>
      <c r="I207" t="s">
        <v>64</v>
      </c>
      <c r="J207" t="s">
        <v>60</v>
      </c>
      <c r="K207" t="s">
        <v>65</v>
      </c>
    </row>
    <row r="208" spans="1:11" x14ac:dyDescent="0.3">
      <c r="A208">
        <v>22</v>
      </c>
      <c r="B208" t="s">
        <v>8</v>
      </c>
      <c r="C208">
        <v>24.31</v>
      </c>
      <c r="D208">
        <v>0</v>
      </c>
      <c r="E208" t="s">
        <v>10</v>
      </c>
      <c r="F208" t="s">
        <v>11</v>
      </c>
      <c r="G208">
        <v>3201.2451500000002</v>
      </c>
      <c r="H208" t="s">
        <v>53</v>
      </c>
      <c r="I208" t="s">
        <v>64</v>
      </c>
      <c r="J208" t="s">
        <v>60</v>
      </c>
      <c r="K208" t="s">
        <v>65</v>
      </c>
    </row>
    <row r="209" spans="1:11" x14ac:dyDescent="0.3">
      <c r="A209">
        <v>22</v>
      </c>
      <c r="B209" t="s">
        <v>7</v>
      </c>
      <c r="C209">
        <v>24.31</v>
      </c>
      <c r="D209">
        <v>0</v>
      </c>
      <c r="E209" t="s">
        <v>10</v>
      </c>
      <c r="F209" t="s">
        <v>14</v>
      </c>
      <c r="G209">
        <v>3206.4913499999998</v>
      </c>
      <c r="H209" t="s">
        <v>53</v>
      </c>
      <c r="I209" t="s">
        <v>64</v>
      </c>
      <c r="J209" t="s">
        <v>60</v>
      </c>
      <c r="K209" t="s">
        <v>65</v>
      </c>
    </row>
    <row r="210" spans="1:11" x14ac:dyDescent="0.3">
      <c r="A210">
        <v>22</v>
      </c>
      <c r="B210" t="s">
        <v>8</v>
      </c>
      <c r="C210">
        <v>24.32</v>
      </c>
      <c r="D210">
        <v>0</v>
      </c>
      <c r="E210" t="s">
        <v>10</v>
      </c>
      <c r="F210" t="s">
        <v>12</v>
      </c>
      <c r="G210">
        <v>3208.7869999999998</v>
      </c>
      <c r="H210" t="s">
        <v>53</v>
      </c>
      <c r="I210" t="s">
        <v>64</v>
      </c>
      <c r="J210" t="s">
        <v>60</v>
      </c>
      <c r="K210" t="s">
        <v>65</v>
      </c>
    </row>
    <row r="211" spans="1:11" x14ac:dyDescent="0.3">
      <c r="A211">
        <v>22</v>
      </c>
      <c r="B211" t="s">
        <v>8</v>
      </c>
      <c r="C211">
        <v>24.32</v>
      </c>
      <c r="D211">
        <v>0</v>
      </c>
      <c r="E211" t="s">
        <v>9</v>
      </c>
      <c r="F211" t="s">
        <v>14</v>
      </c>
      <c r="G211">
        <v>3213.6220499999999</v>
      </c>
      <c r="H211" t="s">
        <v>53</v>
      </c>
      <c r="I211" t="s">
        <v>64</v>
      </c>
      <c r="J211" t="s">
        <v>60</v>
      </c>
      <c r="K211" t="s">
        <v>65</v>
      </c>
    </row>
    <row r="212" spans="1:11" x14ac:dyDescent="0.3">
      <c r="A212">
        <v>22</v>
      </c>
      <c r="B212" t="s">
        <v>7</v>
      </c>
      <c r="C212">
        <v>24.32</v>
      </c>
      <c r="D212">
        <v>0</v>
      </c>
      <c r="E212" t="s">
        <v>10</v>
      </c>
      <c r="F212" t="s">
        <v>11</v>
      </c>
      <c r="G212">
        <v>3227.1210999999998</v>
      </c>
      <c r="H212" t="s">
        <v>53</v>
      </c>
      <c r="I212" t="s">
        <v>64</v>
      </c>
      <c r="J212" t="s">
        <v>60</v>
      </c>
      <c r="K212" t="s">
        <v>65</v>
      </c>
    </row>
    <row r="213" spans="1:11" x14ac:dyDescent="0.3">
      <c r="A213">
        <v>22</v>
      </c>
      <c r="B213" t="s">
        <v>8</v>
      </c>
      <c r="C213">
        <v>24.32</v>
      </c>
      <c r="D213">
        <v>0</v>
      </c>
      <c r="E213" t="s">
        <v>10</v>
      </c>
      <c r="F213" t="s">
        <v>14</v>
      </c>
      <c r="G213">
        <v>3238.4357</v>
      </c>
      <c r="H213" t="s">
        <v>53</v>
      </c>
      <c r="I213" t="s">
        <v>64</v>
      </c>
      <c r="J213" t="s">
        <v>60</v>
      </c>
      <c r="K213" t="s">
        <v>65</v>
      </c>
    </row>
    <row r="214" spans="1:11" x14ac:dyDescent="0.3">
      <c r="A214">
        <v>22</v>
      </c>
      <c r="B214" t="s">
        <v>8</v>
      </c>
      <c r="C214">
        <v>24.32</v>
      </c>
      <c r="D214">
        <v>0</v>
      </c>
      <c r="E214" t="s">
        <v>10</v>
      </c>
      <c r="F214" t="s">
        <v>11</v>
      </c>
      <c r="G214">
        <v>3260.1990000000001</v>
      </c>
      <c r="H214" t="s">
        <v>53</v>
      </c>
      <c r="I214" t="s">
        <v>64</v>
      </c>
      <c r="J214" t="s">
        <v>60</v>
      </c>
      <c r="K214" t="s">
        <v>65</v>
      </c>
    </row>
    <row r="215" spans="1:11" x14ac:dyDescent="0.3">
      <c r="A215">
        <v>22</v>
      </c>
      <c r="B215" t="s">
        <v>8</v>
      </c>
      <c r="C215">
        <v>24.32</v>
      </c>
      <c r="D215">
        <v>0</v>
      </c>
      <c r="E215" t="s">
        <v>10</v>
      </c>
      <c r="F215" t="s">
        <v>13</v>
      </c>
      <c r="G215">
        <v>3268.84665</v>
      </c>
      <c r="H215" t="s">
        <v>53</v>
      </c>
      <c r="I215" t="s">
        <v>64</v>
      </c>
      <c r="J215" t="s">
        <v>60</v>
      </c>
      <c r="K215" t="s">
        <v>65</v>
      </c>
    </row>
    <row r="216" spans="1:11" x14ac:dyDescent="0.3">
      <c r="A216">
        <v>22</v>
      </c>
      <c r="B216" t="s">
        <v>8</v>
      </c>
      <c r="C216">
        <v>24.32</v>
      </c>
      <c r="D216">
        <v>0</v>
      </c>
      <c r="E216" t="s">
        <v>10</v>
      </c>
      <c r="F216" t="s">
        <v>13</v>
      </c>
      <c r="G216">
        <v>3277.1610000000001</v>
      </c>
      <c r="H216" t="s">
        <v>53</v>
      </c>
      <c r="I216" t="s">
        <v>64</v>
      </c>
      <c r="J216" t="s">
        <v>60</v>
      </c>
      <c r="K216" t="s">
        <v>65</v>
      </c>
    </row>
    <row r="217" spans="1:11" x14ac:dyDescent="0.3">
      <c r="A217">
        <v>22</v>
      </c>
      <c r="B217" t="s">
        <v>7</v>
      </c>
      <c r="C217">
        <v>24.4</v>
      </c>
      <c r="D217">
        <v>0</v>
      </c>
      <c r="E217" t="s">
        <v>10</v>
      </c>
      <c r="F217" t="s">
        <v>12</v>
      </c>
      <c r="G217">
        <v>3279.8685500000001</v>
      </c>
      <c r="H217" t="s">
        <v>53</v>
      </c>
      <c r="I217" t="s">
        <v>64</v>
      </c>
      <c r="J217" t="s">
        <v>60</v>
      </c>
      <c r="K217" t="s">
        <v>65</v>
      </c>
    </row>
    <row r="218" spans="1:11" x14ac:dyDescent="0.3">
      <c r="A218">
        <v>22</v>
      </c>
      <c r="B218" t="s">
        <v>7</v>
      </c>
      <c r="C218">
        <v>24.414999999999999</v>
      </c>
      <c r="D218">
        <v>0</v>
      </c>
      <c r="E218" t="s">
        <v>10</v>
      </c>
      <c r="F218" t="s">
        <v>11</v>
      </c>
      <c r="G218">
        <v>3292.5298499999999</v>
      </c>
      <c r="H218" t="s">
        <v>53</v>
      </c>
      <c r="I218" t="s">
        <v>64</v>
      </c>
      <c r="J218" t="s">
        <v>60</v>
      </c>
      <c r="K218" t="s">
        <v>65</v>
      </c>
    </row>
    <row r="219" spans="1:11" x14ac:dyDescent="0.3">
      <c r="A219">
        <v>22</v>
      </c>
      <c r="B219" t="s">
        <v>7</v>
      </c>
      <c r="C219">
        <v>24.42</v>
      </c>
      <c r="D219">
        <v>0</v>
      </c>
      <c r="E219" t="s">
        <v>10</v>
      </c>
      <c r="F219" t="s">
        <v>11</v>
      </c>
      <c r="G219">
        <v>3309.7926000000002</v>
      </c>
      <c r="H219" t="s">
        <v>53</v>
      </c>
      <c r="I219" t="s">
        <v>64</v>
      </c>
      <c r="J219" t="s">
        <v>60</v>
      </c>
      <c r="K219" t="s">
        <v>65</v>
      </c>
    </row>
    <row r="220" spans="1:11" x14ac:dyDescent="0.3">
      <c r="A220">
        <v>22</v>
      </c>
      <c r="B220" t="s">
        <v>7</v>
      </c>
      <c r="C220">
        <v>24.42</v>
      </c>
      <c r="D220">
        <v>0</v>
      </c>
      <c r="E220" t="s">
        <v>10</v>
      </c>
      <c r="F220" t="s">
        <v>13</v>
      </c>
      <c r="G220">
        <v>3353.2840000000001</v>
      </c>
      <c r="H220" t="s">
        <v>53</v>
      </c>
      <c r="I220" t="s">
        <v>64</v>
      </c>
      <c r="J220" t="s">
        <v>60</v>
      </c>
      <c r="K220" t="s">
        <v>65</v>
      </c>
    </row>
    <row r="221" spans="1:11" x14ac:dyDescent="0.3">
      <c r="A221">
        <v>22</v>
      </c>
      <c r="B221" t="s">
        <v>8</v>
      </c>
      <c r="C221">
        <v>24.42</v>
      </c>
      <c r="D221">
        <v>0</v>
      </c>
      <c r="E221" t="s">
        <v>10</v>
      </c>
      <c r="F221" t="s">
        <v>12</v>
      </c>
      <c r="G221">
        <v>3353.4703</v>
      </c>
      <c r="H221" t="s">
        <v>53</v>
      </c>
      <c r="I221" t="s">
        <v>64</v>
      </c>
      <c r="J221" t="s">
        <v>60</v>
      </c>
      <c r="K221" t="s">
        <v>65</v>
      </c>
    </row>
    <row r="222" spans="1:11" x14ac:dyDescent="0.3">
      <c r="A222">
        <v>22</v>
      </c>
      <c r="B222" t="s">
        <v>7</v>
      </c>
      <c r="C222">
        <v>24.51</v>
      </c>
      <c r="D222">
        <v>0</v>
      </c>
      <c r="E222" t="s">
        <v>10</v>
      </c>
      <c r="F222" t="s">
        <v>12</v>
      </c>
      <c r="G222">
        <v>3366.6696999999999</v>
      </c>
      <c r="H222" t="s">
        <v>53</v>
      </c>
      <c r="I222" t="s">
        <v>64</v>
      </c>
      <c r="J222" t="s">
        <v>60</v>
      </c>
      <c r="K222" t="s">
        <v>65</v>
      </c>
    </row>
    <row r="223" spans="1:11" x14ac:dyDescent="0.3">
      <c r="A223">
        <v>22</v>
      </c>
      <c r="B223" t="s">
        <v>7</v>
      </c>
      <c r="C223">
        <v>24.51</v>
      </c>
      <c r="D223">
        <v>0</v>
      </c>
      <c r="E223" t="s">
        <v>10</v>
      </c>
      <c r="F223" t="s">
        <v>12</v>
      </c>
      <c r="G223">
        <v>3378.91</v>
      </c>
      <c r="H223" t="s">
        <v>53</v>
      </c>
      <c r="I223" t="s">
        <v>64</v>
      </c>
      <c r="J223" t="s">
        <v>60</v>
      </c>
      <c r="K223" t="s">
        <v>65</v>
      </c>
    </row>
    <row r="224" spans="1:11" x14ac:dyDescent="0.3">
      <c r="A224">
        <v>22</v>
      </c>
      <c r="B224" t="s">
        <v>7</v>
      </c>
      <c r="C224">
        <v>24.51</v>
      </c>
      <c r="D224">
        <v>0</v>
      </c>
      <c r="E224" t="s">
        <v>10</v>
      </c>
      <c r="F224" t="s">
        <v>11</v>
      </c>
      <c r="G224">
        <v>3385.3991500000002</v>
      </c>
      <c r="H224" t="s">
        <v>53</v>
      </c>
      <c r="I224" t="s">
        <v>64</v>
      </c>
      <c r="J224" t="s">
        <v>60</v>
      </c>
      <c r="K224" t="s">
        <v>65</v>
      </c>
    </row>
    <row r="225" spans="1:11" x14ac:dyDescent="0.3">
      <c r="A225">
        <v>23</v>
      </c>
      <c r="B225" t="s">
        <v>7</v>
      </c>
      <c r="C225">
        <v>24.53</v>
      </c>
      <c r="D225">
        <v>0</v>
      </c>
      <c r="E225" t="s">
        <v>10</v>
      </c>
      <c r="F225" t="s">
        <v>14</v>
      </c>
      <c r="G225">
        <v>3392.3652000000002</v>
      </c>
      <c r="H225" t="s">
        <v>53</v>
      </c>
      <c r="I225" t="s">
        <v>64</v>
      </c>
      <c r="J225" t="s">
        <v>60</v>
      </c>
      <c r="K225" t="s">
        <v>65</v>
      </c>
    </row>
    <row r="226" spans="1:11" x14ac:dyDescent="0.3">
      <c r="A226">
        <v>23</v>
      </c>
      <c r="B226" t="s">
        <v>8</v>
      </c>
      <c r="C226">
        <v>24.6</v>
      </c>
      <c r="D226">
        <v>0</v>
      </c>
      <c r="E226" t="s">
        <v>10</v>
      </c>
      <c r="F226" t="s">
        <v>11</v>
      </c>
      <c r="G226">
        <v>3392.9767999999999</v>
      </c>
      <c r="H226" t="s">
        <v>53</v>
      </c>
      <c r="I226" t="s">
        <v>64</v>
      </c>
      <c r="J226" t="s">
        <v>60</v>
      </c>
      <c r="K226" t="s">
        <v>65</v>
      </c>
    </row>
    <row r="227" spans="1:11" x14ac:dyDescent="0.3">
      <c r="A227">
        <v>23</v>
      </c>
      <c r="B227" t="s">
        <v>8</v>
      </c>
      <c r="C227">
        <v>24.6</v>
      </c>
      <c r="D227">
        <v>0</v>
      </c>
      <c r="E227" t="s">
        <v>9</v>
      </c>
      <c r="F227" t="s">
        <v>11</v>
      </c>
      <c r="G227">
        <v>3393.35635</v>
      </c>
      <c r="H227" t="s">
        <v>53</v>
      </c>
      <c r="I227" t="s">
        <v>64</v>
      </c>
      <c r="J227" t="s">
        <v>60</v>
      </c>
      <c r="K227" t="s">
        <v>65</v>
      </c>
    </row>
    <row r="228" spans="1:11" x14ac:dyDescent="0.3">
      <c r="A228">
        <v>23</v>
      </c>
      <c r="B228" t="s">
        <v>8</v>
      </c>
      <c r="C228">
        <v>24.6</v>
      </c>
      <c r="D228">
        <v>0</v>
      </c>
      <c r="E228" t="s">
        <v>9</v>
      </c>
      <c r="F228" t="s">
        <v>12</v>
      </c>
      <c r="G228">
        <v>3410.3240000000001</v>
      </c>
      <c r="H228" t="s">
        <v>53</v>
      </c>
      <c r="I228" t="s">
        <v>64</v>
      </c>
      <c r="J228" t="s">
        <v>60</v>
      </c>
      <c r="K228" t="s">
        <v>65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D3C19-6B39-469F-8DFC-46AC9EB5C5AC}">
  <dimension ref="A3:B9"/>
  <sheetViews>
    <sheetView workbookViewId="0">
      <selection activeCell="B6" sqref="B6"/>
    </sheetView>
  </sheetViews>
  <sheetFormatPr defaultRowHeight="14.4" x14ac:dyDescent="0.3"/>
  <cols>
    <col min="1" max="1" width="13.77734375" bestFit="1" customWidth="1"/>
    <col min="2" max="2" width="17.44140625" bestFit="1" customWidth="1"/>
  </cols>
  <sheetData>
    <row r="3" spans="1:2" x14ac:dyDescent="0.3">
      <c r="A3" s="5" t="s">
        <v>63</v>
      </c>
      <c r="B3" s="2" t="s">
        <v>32</v>
      </c>
    </row>
    <row r="4" spans="1:2" x14ac:dyDescent="0.3">
      <c r="A4" s="6" t="s">
        <v>59</v>
      </c>
      <c r="B4" s="2">
        <v>20964.187893541082</v>
      </c>
    </row>
    <row r="5" spans="1:2" x14ac:dyDescent="0.3">
      <c r="A5" s="6" t="s">
        <v>61</v>
      </c>
      <c r="B5" s="2">
        <v>6162.731749919687</v>
      </c>
    </row>
    <row r="6" spans="1:2" x14ac:dyDescent="0.3">
      <c r="A6" s="6" t="s">
        <v>60</v>
      </c>
      <c r="B6" s="2">
        <v>2447.0473602222219</v>
      </c>
    </row>
    <row r="7" spans="1:2" x14ac:dyDescent="0.3">
      <c r="A7" s="6" t="s">
        <v>62</v>
      </c>
      <c r="B7" s="2">
        <v>1203.4331649999999</v>
      </c>
    </row>
    <row r="8" spans="1:2" x14ac:dyDescent="0.3">
      <c r="A8" s="6" t="s">
        <v>31</v>
      </c>
      <c r="B8" s="2">
        <v>13279.121486655937</v>
      </c>
    </row>
    <row r="9" spans="1:2" x14ac:dyDescent="0.3">
      <c r="B9" s="2"/>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41B53-D5C0-4FA2-83B7-E37BC7CA2734}">
  <dimension ref="A1:K1338"/>
  <sheetViews>
    <sheetView workbookViewId="0">
      <selection activeCell="N25" sqref="N25"/>
    </sheetView>
  </sheetViews>
  <sheetFormatPr defaultRowHeight="14.4" x14ac:dyDescent="0.3"/>
  <cols>
    <col min="1" max="1" width="12.44140625" bestFit="1" customWidth="1"/>
    <col min="7" max="7" width="11.109375" bestFit="1" customWidth="1"/>
    <col min="10" max="10" width="14.109375" bestFit="1" customWidth="1"/>
  </cols>
  <sheetData>
    <row r="1" spans="1:11" x14ac:dyDescent="0.3">
      <c r="A1" t="s">
        <v>0</v>
      </c>
      <c r="B1" s="1" t="s">
        <v>1</v>
      </c>
      <c r="C1" t="s">
        <v>2</v>
      </c>
      <c r="D1" t="s">
        <v>3</v>
      </c>
      <c r="E1" t="s">
        <v>4</v>
      </c>
      <c r="F1" t="s">
        <v>5</v>
      </c>
      <c r="G1" s="2" t="s">
        <v>6</v>
      </c>
      <c r="H1" t="s">
        <v>15</v>
      </c>
      <c r="I1" t="s">
        <v>16</v>
      </c>
      <c r="J1" t="s">
        <v>17</v>
      </c>
      <c r="K1" t="s">
        <v>18</v>
      </c>
    </row>
    <row r="2" spans="1:11" x14ac:dyDescent="0.3">
      <c r="A2">
        <v>18</v>
      </c>
      <c r="B2" s="1" t="s">
        <v>7</v>
      </c>
      <c r="C2">
        <v>15.96</v>
      </c>
      <c r="D2">
        <v>0</v>
      </c>
      <c r="E2" t="s">
        <v>9</v>
      </c>
      <c r="F2" t="s">
        <v>11</v>
      </c>
      <c r="G2" s="2">
        <v>1121.8739</v>
      </c>
      <c r="H2" t="str" cm="1">
        <f t="array" ref="H2">_xlfn.IFS(A2&lt;=30, "Youth", A2&lt;=50, "Adult", A2&gt;50, "Older")</f>
        <v>Youth</v>
      </c>
      <c r="I2" t="str" cm="1">
        <f t="array" ref="I2">_xlfn.IFS(A2&lt;=25,"18-25",A2&lt;=35,"26-35",A2&lt;=45,"36-45",A2&lt;=60,"46-60",A2&gt;60,"60+")</f>
        <v>18-25</v>
      </c>
      <c r="J2" t="str" cm="1">
        <f t="array" ref="J2">_xlfn.IFS(C2&lt;18.5,"Underweight",C2&lt;25,"Normal",C2&lt;30,"Overweight",C2&gt;=30,"Obese")</f>
        <v>Underweight</v>
      </c>
      <c r="K2" t="str" cm="1">
        <f t="array" ref="K2">_xlfn.IFS(G2&lt;10000, "Low", G2&lt;=25000, "Medium", G2&gt;25000, "High")</f>
        <v>Low</v>
      </c>
    </row>
    <row r="3" spans="1:11" x14ac:dyDescent="0.3">
      <c r="A3">
        <v>18</v>
      </c>
      <c r="B3" s="1" t="s">
        <v>8</v>
      </c>
      <c r="C3">
        <v>16.815000000000001</v>
      </c>
      <c r="D3">
        <v>0</v>
      </c>
      <c r="E3" t="s">
        <v>10</v>
      </c>
      <c r="F3" t="s">
        <v>12</v>
      </c>
      <c r="G3" s="2">
        <v>1131.5065999999999</v>
      </c>
      <c r="H3" t="str" cm="1">
        <f t="array" ref="H3">_xlfn.IFS(A3&lt;=30, "Youth", A3&lt;=50, "Adult", A3&gt;50, "Older")</f>
        <v>Youth</v>
      </c>
      <c r="I3" t="str" cm="1">
        <f t="array" ref="I3">_xlfn.IFS(A3&lt;=25,"18-25",A3&lt;=35,"26-35",A3&lt;=45,"36-45",A3&lt;=60,"46-60",A3&gt;60,"60+")</f>
        <v>18-25</v>
      </c>
      <c r="J3" t="str" cm="1">
        <f t="array" ref="J3">_xlfn.IFS(C3&lt;18.5,"Underweight",C3&lt;25,"Normal",C3&lt;30,"Overweight",C3&gt;=30,"Obese")</f>
        <v>Underweight</v>
      </c>
      <c r="K3" t="str" cm="1">
        <f t="array" ref="K3">_xlfn.IFS(G3&lt;10000, "Low", G3&lt;=25000, "Medium", G3&gt;25000, "High")</f>
        <v>Low</v>
      </c>
    </row>
    <row r="4" spans="1:11" x14ac:dyDescent="0.3">
      <c r="A4">
        <v>18</v>
      </c>
      <c r="B4" s="1" t="s">
        <v>8</v>
      </c>
      <c r="C4">
        <v>16.815000000000001</v>
      </c>
      <c r="D4">
        <v>0</v>
      </c>
      <c r="E4" t="s">
        <v>10</v>
      </c>
      <c r="F4" t="s">
        <v>12</v>
      </c>
      <c r="G4" s="2">
        <v>1135.9407000000001</v>
      </c>
      <c r="H4" t="str" cm="1">
        <f t="array" ref="H4">_xlfn.IFS(A4&lt;=30, "Youth", A4&lt;=50, "Adult", A4&gt;50, "Older")</f>
        <v>Youth</v>
      </c>
      <c r="I4" t="str" cm="1">
        <f t="array" ref="I4">_xlfn.IFS(A4&lt;=25,"18-25",A4&lt;=35,"26-35",A4&lt;=45,"36-45",A4&lt;=60,"46-60",A4&gt;60,"60+")</f>
        <v>18-25</v>
      </c>
      <c r="J4" t="str" cm="1">
        <f t="array" ref="J4">_xlfn.IFS(C4&lt;18.5,"Underweight",C4&lt;25,"Normal",C4&lt;30,"Overweight",C4&gt;=30,"Obese")</f>
        <v>Underweight</v>
      </c>
      <c r="K4" t="str" cm="1">
        <f t="array" ref="K4">_xlfn.IFS(G4&lt;10000, "Low", G4&lt;=25000, "Medium", G4&gt;25000, "High")</f>
        <v>Low</v>
      </c>
    </row>
    <row r="5" spans="1:11" x14ac:dyDescent="0.3">
      <c r="A5">
        <v>18</v>
      </c>
      <c r="B5" s="1" t="s">
        <v>8</v>
      </c>
      <c r="C5">
        <v>17.195</v>
      </c>
      <c r="D5">
        <v>0</v>
      </c>
      <c r="E5" t="s">
        <v>10</v>
      </c>
      <c r="F5" t="s">
        <v>13</v>
      </c>
      <c r="G5" s="2">
        <v>1136.3994</v>
      </c>
      <c r="H5" t="str" cm="1">
        <f t="array" ref="H5">_xlfn.IFS(A5&lt;=30, "Youth", A5&lt;=50, "Adult", A5&gt;50, "Older")</f>
        <v>Youth</v>
      </c>
      <c r="I5" t="str" cm="1">
        <f t="array" ref="I5">_xlfn.IFS(A5&lt;=25,"18-25",A5&lt;=35,"26-35",A5&lt;=45,"36-45",A5&lt;=60,"46-60",A5&gt;60,"60+")</f>
        <v>18-25</v>
      </c>
      <c r="J5" t="str" cm="1">
        <f t="array" ref="J5">_xlfn.IFS(C5&lt;18.5,"Underweight",C5&lt;25,"Normal",C5&lt;30,"Overweight",C5&gt;=30,"Obese")</f>
        <v>Underweight</v>
      </c>
      <c r="K5" t="str" cm="1">
        <f t="array" ref="K5">_xlfn.IFS(G5&lt;10000, "Low", G5&lt;=25000, "Medium", G5&gt;25000, "High")</f>
        <v>Low</v>
      </c>
    </row>
    <row r="6" spans="1:11" x14ac:dyDescent="0.3">
      <c r="A6">
        <v>18</v>
      </c>
      <c r="B6" s="1" t="s">
        <v>8</v>
      </c>
      <c r="C6">
        <v>17.29</v>
      </c>
      <c r="D6">
        <v>0</v>
      </c>
      <c r="E6" t="s">
        <v>10</v>
      </c>
      <c r="F6" t="s">
        <v>13</v>
      </c>
      <c r="G6" s="2">
        <v>1137.011</v>
      </c>
      <c r="H6" t="str" cm="1">
        <f t="array" ref="H6">_xlfn.IFS(A6&lt;=30, "Youth", A6&lt;=50, "Adult", A6&gt;50, "Older")</f>
        <v>Youth</v>
      </c>
      <c r="I6" t="str" cm="1">
        <f t="array" ref="I6">_xlfn.IFS(A6&lt;=25,"18-25",A6&lt;=35,"26-35",A6&lt;=45,"36-45",A6&lt;=60,"46-60",A6&gt;60,"60+")</f>
        <v>18-25</v>
      </c>
      <c r="J6" t="str" cm="1">
        <f t="array" ref="J6">_xlfn.IFS(C6&lt;18.5,"Underweight",C6&lt;25,"Normal",C6&lt;30,"Overweight",C6&gt;=30,"Obese")</f>
        <v>Underweight</v>
      </c>
      <c r="K6" t="str" cm="1">
        <f t="array" ref="K6">_xlfn.IFS(G6&lt;10000, "Low", G6&lt;=25000, "Medium", G6&gt;25000, "High")</f>
        <v>Low</v>
      </c>
    </row>
    <row r="7" spans="1:11" x14ac:dyDescent="0.3">
      <c r="A7">
        <v>18</v>
      </c>
      <c r="B7" s="1" t="s">
        <v>7</v>
      </c>
      <c r="C7">
        <v>17.29</v>
      </c>
      <c r="D7">
        <v>0</v>
      </c>
      <c r="E7" t="s">
        <v>10</v>
      </c>
      <c r="F7" t="s">
        <v>12</v>
      </c>
      <c r="G7" s="2">
        <v>1137.4697000000001</v>
      </c>
      <c r="H7" t="str" cm="1">
        <f t="array" ref="H7">_xlfn.IFS(A7&lt;=30, "Youth", A7&lt;=50, "Adult", A7&gt;50, "Older")</f>
        <v>Youth</v>
      </c>
      <c r="I7" t="str" cm="1">
        <f t="array" ref="I7">_xlfn.IFS(A7&lt;=25,"18-25",A7&lt;=35,"26-35",A7&lt;=45,"36-45",A7&lt;=60,"46-60",A7&gt;60,"60+")</f>
        <v>18-25</v>
      </c>
      <c r="J7" t="str" cm="1">
        <f t="array" ref="J7">_xlfn.IFS(C7&lt;18.5,"Underweight",C7&lt;25,"Normal",C7&lt;30,"Overweight",C7&gt;=30,"Obese")</f>
        <v>Underweight</v>
      </c>
      <c r="K7" t="str" cm="1">
        <f t="array" ref="K7">_xlfn.IFS(G7&lt;10000, "Low", G7&lt;=25000, "Medium", G7&gt;25000, "High")</f>
        <v>Low</v>
      </c>
    </row>
    <row r="8" spans="1:11" x14ac:dyDescent="0.3">
      <c r="A8">
        <v>18</v>
      </c>
      <c r="B8" s="1" t="s">
        <v>7</v>
      </c>
      <c r="C8">
        <v>17.29</v>
      </c>
      <c r="D8">
        <v>0</v>
      </c>
      <c r="E8" t="s">
        <v>10</v>
      </c>
      <c r="F8" t="s">
        <v>12</v>
      </c>
      <c r="G8" s="2">
        <v>1141.4450999999999</v>
      </c>
      <c r="H8" t="str" cm="1">
        <f t="array" ref="H8">_xlfn.IFS(A8&lt;=30, "Youth", A8&lt;=50, "Adult", A8&gt;50, "Older")</f>
        <v>Youth</v>
      </c>
      <c r="I8" t="str" cm="1">
        <f t="array" ref="I8">_xlfn.IFS(A8&lt;=25,"18-25",A8&lt;=35,"26-35",A8&lt;=45,"36-45",A8&lt;=60,"46-60",A8&gt;60,"60+")</f>
        <v>18-25</v>
      </c>
      <c r="J8" t="str" cm="1">
        <f t="array" ref="J8">_xlfn.IFS(C8&lt;18.5,"Underweight",C8&lt;25,"Normal",C8&lt;30,"Overweight",C8&gt;=30,"Obese")</f>
        <v>Underweight</v>
      </c>
      <c r="K8" t="str" cm="1">
        <f t="array" ref="K8">_xlfn.IFS(G8&lt;10000, "Low", G8&lt;=25000, "Medium", G8&gt;25000, "High")</f>
        <v>Low</v>
      </c>
    </row>
    <row r="9" spans="1:11" x14ac:dyDescent="0.3">
      <c r="A9">
        <v>18</v>
      </c>
      <c r="B9" s="1" t="s">
        <v>7</v>
      </c>
      <c r="C9">
        <v>17.385000000000002</v>
      </c>
      <c r="D9">
        <v>0</v>
      </c>
      <c r="E9" t="s">
        <v>10</v>
      </c>
      <c r="F9" t="s">
        <v>13</v>
      </c>
      <c r="G9" s="2">
        <v>1146.7965999999999</v>
      </c>
      <c r="H9" t="str" cm="1">
        <f t="array" ref="H9">_xlfn.IFS(A9&lt;=30, "Youth", A9&lt;=50, "Adult", A9&gt;50, "Older")</f>
        <v>Youth</v>
      </c>
      <c r="I9" t="str" cm="1">
        <f t="array" ref="I9">_xlfn.IFS(A9&lt;=25,"18-25",A9&lt;=35,"26-35",A9&lt;=45,"36-45",A9&lt;=60,"46-60",A9&gt;60,"60+")</f>
        <v>18-25</v>
      </c>
      <c r="J9" t="str" cm="1">
        <f t="array" ref="J9">_xlfn.IFS(C9&lt;18.5,"Underweight",C9&lt;25,"Normal",C9&lt;30,"Overweight",C9&gt;=30,"Obese")</f>
        <v>Underweight</v>
      </c>
      <c r="K9" t="str" cm="1">
        <f t="array" ref="K9">_xlfn.IFS(G9&lt;10000, "Low", G9&lt;=25000, "Medium", G9&gt;25000, "High")</f>
        <v>Low</v>
      </c>
    </row>
    <row r="10" spans="1:11" x14ac:dyDescent="0.3">
      <c r="A10">
        <v>18</v>
      </c>
      <c r="B10" s="1" t="s">
        <v>8</v>
      </c>
      <c r="C10">
        <v>17.399999999999999</v>
      </c>
      <c r="D10">
        <v>0</v>
      </c>
      <c r="E10" t="s">
        <v>10</v>
      </c>
      <c r="F10" t="s">
        <v>14</v>
      </c>
      <c r="G10" s="2">
        <v>1149.3959</v>
      </c>
      <c r="H10" t="str" cm="1">
        <f t="array" ref="H10">_xlfn.IFS(A10&lt;=30, "Youth", A10&lt;=50, "Adult", A10&gt;50, "Older")</f>
        <v>Youth</v>
      </c>
      <c r="I10" t="str" cm="1">
        <f t="array" ref="I10">_xlfn.IFS(A10&lt;=25,"18-25",A10&lt;=35,"26-35",A10&lt;=45,"36-45",A10&lt;=60,"46-60",A10&gt;60,"60+")</f>
        <v>18-25</v>
      </c>
      <c r="J10" t="str" cm="1">
        <f t="array" ref="J10">_xlfn.IFS(C10&lt;18.5,"Underweight",C10&lt;25,"Normal",C10&lt;30,"Overweight",C10&gt;=30,"Obese")</f>
        <v>Underweight</v>
      </c>
      <c r="K10" t="str" cm="1">
        <f t="array" ref="K10">_xlfn.IFS(G10&lt;10000, "Low", G10&lt;=25000, "Medium", G10&gt;25000, "High")</f>
        <v>Low</v>
      </c>
    </row>
    <row r="11" spans="1:11" x14ac:dyDescent="0.3">
      <c r="A11">
        <v>18</v>
      </c>
      <c r="B11" s="1" t="s">
        <v>7</v>
      </c>
      <c r="C11">
        <v>17.48</v>
      </c>
      <c r="D11">
        <v>0</v>
      </c>
      <c r="E11" t="s">
        <v>10</v>
      </c>
      <c r="F11" t="s">
        <v>13</v>
      </c>
      <c r="G11" s="2">
        <v>1163.4627</v>
      </c>
      <c r="H11" t="str" cm="1">
        <f t="array" ref="H11">_xlfn.IFS(A11&lt;=30, "Youth", A11&lt;=50, "Adult", A11&gt;50, "Older")</f>
        <v>Youth</v>
      </c>
      <c r="I11" t="str" cm="1">
        <f t="array" ref="I11">_xlfn.IFS(A11&lt;=25,"18-25",A11&lt;=35,"26-35",A11&lt;=45,"36-45",A11&lt;=60,"46-60",A11&gt;60,"60+")</f>
        <v>18-25</v>
      </c>
      <c r="J11" t="str" cm="1">
        <f t="array" ref="J11">_xlfn.IFS(C11&lt;18.5,"Underweight",C11&lt;25,"Normal",C11&lt;30,"Overweight",C11&gt;=30,"Obese")</f>
        <v>Underweight</v>
      </c>
      <c r="K11" t="str" cm="1">
        <f t="array" ref="K11">_xlfn.IFS(G11&lt;10000, "Low", G11&lt;=25000, "Medium", G11&gt;25000, "High")</f>
        <v>Low</v>
      </c>
    </row>
    <row r="12" spans="1:11" x14ac:dyDescent="0.3">
      <c r="A12">
        <v>18</v>
      </c>
      <c r="B12" s="1" t="s">
        <v>8</v>
      </c>
      <c r="C12">
        <v>17.670000000000002</v>
      </c>
      <c r="D12">
        <v>0</v>
      </c>
      <c r="E12" t="s">
        <v>10</v>
      </c>
      <c r="F12" t="s">
        <v>14</v>
      </c>
      <c r="G12" s="2">
        <v>1241.5650000000001</v>
      </c>
      <c r="H12" t="str" cm="1">
        <f t="array" ref="H12">_xlfn.IFS(A12&lt;=30, "Youth", A12&lt;=50, "Adult", A12&gt;50, "Older")</f>
        <v>Youth</v>
      </c>
      <c r="I12" t="str" cm="1">
        <f t="array" ref="I12">_xlfn.IFS(A12&lt;=25,"18-25",A12&lt;=35,"26-35",A12&lt;=45,"36-45",A12&lt;=60,"46-60",A12&gt;60,"60+")</f>
        <v>18-25</v>
      </c>
      <c r="J12" t="str" cm="1">
        <f t="array" ref="J12">_xlfn.IFS(C12&lt;18.5,"Underweight",C12&lt;25,"Normal",C12&lt;30,"Overweight",C12&gt;=30,"Obese")</f>
        <v>Underweight</v>
      </c>
      <c r="K12" t="str" cm="1">
        <f t="array" ref="K12">_xlfn.IFS(G12&lt;10000, "Low", G12&lt;=25000, "Medium", G12&gt;25000, "High")</f>
        <v>Low</v>
      </c>
    </row>
    <row r="13" spans="1:11" x14ac:dyDescent="0.3">
      <c r="A13">
        <v>18</v>
      </c>
      <c r="B13" s="1" t="s">
        <v>7</v>
      </c>
      <c r="C13">
        <v>17.765000000000001</v>
      </c>
      <c r="D13">
        <v>0</v>
      </c>
      <c r="E13" t="s">
        <v>9</v>
      </c>
      <c r="F13" t="s">
        <v>12</v>
      </c>
      <c r="G13" s="2">
        <v>1242.26</v>
      </c>
      <c r="H13" t="str" cm="1">
        <f t="array" ref="H13">_xlfn.IFS(A13&lt;=30, "Youth", A13&lt;=50, "Adult", A13&gt;50, "Older")</f>
        <v>Youth</v>
      </c>
      <c r="I13" t="str" cm="1">
        <f t="array" ref="I13">_xlfn.IFS(A13&lt;=25,"18-25",A13&lt;=35,"26-35",A13&lt;=45,"36-45",A13&lt;=60,"46-60",A13&gt;60,"60+")</f>
        <v>18-25</v>
      </c>
      <c r="J13" t="str" cm="1">
        <f t="array" ref="J13">_xlfn.IFS(C13&lt;18.5,"Underweight",C13&lt;25,"Normal",C13&lt;30,"Overweight",C13&gt;=30,"Obese")</f>
        <v>Underweight</v>
      </c>
      <c r="K13" t="str" cm="1">
        <f t="array" ref="K13">_xlfn.IFS(G13&lt;10000, "Low", G13&lt;=25000, "Medium", G13&gt;25000, "High")</f>
        <v>Low</v>
      </c>
    </row>
    <row r="14" spans="1:11" x14ac:dyDescent="0.3">
      <c r="A14">
        <v>18</v>
      </c>
      <c r="B14" s="1" t="s">
        <v>8</v>
      </c>
      <c r="C14">
        <v>17.8</v>
      </c>
      <c r="D14">
        <v>0</v>
      </c>
      <c r="E14" t="s">
        <v>10</v>
      </c>
      <c r="F14" t="s">
        <v>11</v>
      </c>
      <c r="G14" s="2">
        <v>1242.816</v>
      </c>
      <c r="H14" t="str" cm="1">
        <f t="array" ref="H14">_xlfn.IFS(A14&lt;=30, "Youth", A14&lt;=50, "Adult", A14&gt;50, "Older")</f>
        <v>Youth</v>
      </c>
      <c r="I14" t="str" cm="1">
        <f t="array" ref="I14">_xlfn.IFS(A14&lt;=25,"18-25",A14&lt;=35,"26-35",A14&lt;=45,"36-45",A14&lt;=60,"46-60",A14&gt;60,"60+")</f>
        <v>18-25</v>
      </c>
      <c r="J14" t="str" cm="1">
        <f t="array" ref="J14">_xlfn.IFS(C14&lt;18.5,"Underweight",C14&lt;25,"Normal",C14&lt;30,"Overweight",C14&gt;=30,"Obese")</f>
        <v>Underweight</v>
      </c>
      <c r="K14" t="str" cm="1">
        <f t="array" ref="K14">_xlfn.IFS(G14&lt;10000, "Low", G14&lt;=25000, "Medium", G14&gt;25000, "High")</f>
        <v>Low</v>
      </c>
    </row>
    <row r="15" spans="1:11" x14ac:dyDescent="0.3">
      <c r="A15">
        <v>18</v>
      </c>
      <c r="B15" s="1" t="s">
        <v>7</v>
      </c>
      <c r="C15">
        <v>17.86</v>
      </c>
      <c r="D15">
        <v>0</v>
      </c>
      <c r="E15" t="s">
        <v>10</v>
      </c>
      <c r="F15" t="s">
        <v>12</v>
      </c>
      <c r="G15" s="2">
        <v>1252.4069999999999</v>
      </c>
      <c r="H15" t="str" cm="1">
        <f t="array" ref="H15">_xlfn.IFS(A15&lt;=30, "Youth", A15&lt;=50, "Adult", A15&gt;50, "Older")</f>
        <v>Youth</v>
      </c>
      <c r="I15" t="str" cm="1">
        <f t="array" ref="I15">_xlfn.IFS(A15&lt;=25,"18-25",A15&lt;=35,"26-35",A15&lt;=45,"36-45",A15&lt;=60,"46-60",A15&gt;60,"60+")</f>
        <v>18-25</v>
      </c>
      <c r="J15" t="str" cm="1">
        <f t="array" ref="J15">_xlfn.IFS(C15&lt;18.5,"Underweight",C15&lt;25,"Normal",C15&lt;30,"Overweight",C15&gt;=30,"Obese")</f>
        <v>Underweight</v>
      </c>
      <c r="K15" t="str" cm="1">
        <f t="array" ref="K15">_xlfn.IFS(G15&lt;10000, "Low", G15&lt;=25000, "Medium", G15&gt;25000, "High")</f>
        <v>Low</v>
      </c>
    </row>
    <row r="16" spans="1:11" x14ac:dyDescent="0.3">
      <c r="A16">
        <v>18</v>
      </c>
      <c r="B16" s="1" t="s">
        <v>8</v>
      </c>
      <c r="C16">
        <v>17.954999999999998</v>
      </c>
      <c r="D16">
        <v>0</v>
      </c>
      <c r="E16" t="s">
        <v>9</v>
      </c>
      <c r="F16" t="s">
        <v>12</v>
      </c>
      <c r="G16" s="2">
        <v>1253.9359999999999</v>
      </c>
      <c r="H16" t="str" cm="1">
        <f t="array" ref="H16">_xlfn.IFS(A16&lt;=30, "Youth", A16&lt;=50, "Adult", A16&gt;50, "Older")</f>
        <v>Youth</v>
      </c>
      <c r="I16" t="str" cm="1">
        <f t="array" ref="I16">_xlfn.IFS(A16&lt;=25,"18-25",A16&lt;=35,"26-35",A16&lt;=45,"36-45",A16&lt;=60,"46-60",A16&gt;60,"60+")</f>
        <v>18-25</v>
      </c>
      <c r="J16" t="str" cm="1">
        <f t="array" ref="J16">_xlfn.IFS(C16&lt;18.5,"Underweight",C16&lt;25,"Normal",C16&lt;30,"Overweight",C16&gt;=30,"Obese")</f>
        <v>Underweight</v>
      </c>
      <c r="K16" t="str" cm="1">
        <f t="array" ref="K16">_xlfn.IFS(G16&lt;10000, "Low", G16&lt;=25000, "Medium", G16&gt;25000, "High")</f>
        <v>Low</v>
      </c>
    </row>
    <row r="17" spans="1:11" x14ac:dyDescent="0.3">
      <c r="A17">
        <v>18</v>
      </c>
      <c r="B17" s="1" t="s">
        <v>8</v>
      </c>
      <c r="C17">
        <v>18.05</v>
      </c>
      <c r="D17">
        <v>0</v>
      </c>
      <c r="E17" t="s">
        <v>10</v>
      </c>
      <c r="F17" t="s">
        <v>11</v>
      </c>
      <c r="G17" s="2">
        <v>1256.299</v>
      </c>
      <c r="H17" t="str" cm="1">
        <f t="array" ref="H17">_xlfn.IFS(A17&lt;=30, "Youth", A17&lt;=50, "Adult", A17&gt;50, "Older")</f>
        <v>Youth</v>
      </c>
      <c r="I17" t="str" cm="1">
        <f t="array" ref="I17">_xlfn.IFS(A17&lt;=25,"18-25",A17&lt;=35,"26-35",A17&lt;=45,"36-45",A17&lt;=60,"46-60",A17&gt;60,"60+")</f>
        <v>18-25</v>
      </c>
      <c r="J17" t="str" cm="1">
        <f t="array" ref="J17">_xlfn.IFS(C17&lt;18.5,"Underweight",C17&lt;25,"Normal",C17&lt;30,"Overweight",C17&gt;=30,"Obese")</f>
        <v>Underweight</v>
      </c>
      <c r="K17" t="str" cm="1">
        <f t="array" ref="K17">_xlfn.IFS(G17&lt;10000, "Low", G17&lt;=25000, "Medium", G17&gt;25000, "High")</f>
        <v>Low</v>
      </c>
    </row>
    <row r="18" spans="1:11" x14ac:dyDescent="0.3">
      <c r="A18">
        <v>18</v>
      </c>
      <c r="B18" s="1" t="s">
        <v>7</v>
      </c>
      <c r="C18">
        <v>18.3</v>
      </c>
      <c r="D18">
        <v>0</v>
      </c>
      <c r="E18" t="s">
        <v>10</v>
      </c>
      <c r="F18" t="s">
        <v>14</v>
      </c>
      <c r="G18" s="2">
        <v>1261.442</v>
      </c>
      <c r="H18" t="str" cm="1">
        <f t="array" ref="H18">_xlfn.IFS(A18&lt;=30, "Youth", A18&lt;=50, "Adult", A18&gt;50, "Older")</f>
        <v>Youth</v>
      </c>
      <c r="I18" t="str" cm="1">
        <f t="array" ref="I18">_xlfn.IFS(A18&lt;=25,"18-25",A18&lt;=35,"26-35",A18&lt;=45,"36-45",A18&lt;=60,"46-60",A18&gt;60,"60+")</f>
        <v>18-25</v>
      </c>
      <c r="J18" t="str" cm="1">
        <f t="array" ref="J18">_xlfn.IFS(C18&lt;18.5,"Underweight",C18&lt;25,"Normal",C18&lt;30,"Overweight",C18&gt;=30,"Obese")</f>
        <v>Underweight</v>
      </c>
      <c r="K18" t="str" cm="1">
        <f t="array" ref="K18">_xlfn.IFS(G18&lt;10000, "Low", G18&lt;=25000, "Medium", G18&gt;25000, "High")</f>
        <v>Low</v>
      </c>
    </row>
    <row r="19" spans="1:11" x14ac:dyDescent="0.3">
      <c r="A19">
        <v>18</v>
      </c>
      <c r="B19" s="1" t="s">
        <v>8</v>
      </c>
      <c r="C19">
        <v>18.335000000000001</v>
      </c>
      <c r="D19">
        <v>0</v>
      </c>
      <c r="E19" t="s">
        <v>10</v>
      </c>
      <c r="F19" t="s">
        <v>14</v>
      </c>
      <c r="G19" s="2">
        <v>1261.8589999999999</v>
      </c>
      <c r="H19" t="str" cm="1">
        <f t="array" ref="H19">_xlfn.IFS(A19&lt;=30, "Youth", A19&lt;=50, "Adult", A19&gt;50, "Older")</f>
        <v>Youth</v>
      </c>
      <c r="I19" t="str" cm="1">
        <f t="array" ref="I19">_xlfn.IFS(A19&lt;=25,"18-25",A19&lt;=35,"26-35",A19&lt;=45,"36-45",A19&lt;=60,"46-60",A19&gt;60,"60+")</f>
        <v>18-25</v>
      </c>
      <c r="J19" t="str" cm="1">
        <f t="array" ref="J19">_xlfn.IFS(C19&lt;18.5,"Underweight",C19&lt;25,"Normal",C19&lt;30,"Overweight",C19&gt;=30,"Obese")</f>
        <v>Underweight</v>
      </c>
      <c r="K19" t="str" cm="1">
        <f t="array" ref="K19">_xlfn.IFS(G19&lt;10000, "Low", G19&lt;=25000, "Medium", G19&gt;25000, "High")</f>
        <v>Low</v>
      </c>
    </row>
    <row r="20" spans="1:11" x14ac:dyDescent="0.3">
      <c r="A20">
        <v>18</v>
      </c>
      <c r="B20" s="1" t="s">
        <v>8</v>
      </c>
      <c r="C20">
        <v>18.335000000000001</v>
      </c>
      <c r="D20">
        <v>0</v>
      </c>
      <c r="E20" t="s">
        <v>10</v>
      </c>
      <c r="F20" t="s">
        <v>11</v>
      </c>
      <c r="G20" s="2">
        <v>1263.249</v>
      </c>
      <c r="H20" t="str" cm="1">
        <f t="array" ref="H20">_xlfn.IFS(A20&lt;=30, "Youth", A20&lt;=50, "Adult", A20&gt;50, "Older")</f>
        <v>Youth</v>
      </c>
      <c r="I20" t="str" cm="1">
        <f t="array" ref="I20">_xlfn.IFS(A20&lt;=25,"18-25",A20&lt;=35,"26-35",A20&lt;=45,"36-45",A20&lt;=60,"46-60",A20&gt;60,"60+")</f>
        <v>18-25</v>
      </c>
      <c r="J20" t="str" cm="1">
        <f t="array" ref="J20">_xlfn.IFS(C20&lt;18.5,"Underweight",C20&lt;25,"Normal",C20&lt;30,"Overweight",C20&gt;=30,"Obese")</f>
        <v>Underweight</v>
      </c>
      <c r="K20" t="str" cm="1">
        <f t="array" ref="K20">_xlfn.IFS(G20&lt;10000, "Low", G20&lt;=25000, "Medium", G20&gt;25000, "High")</f>
        <v>Low</v>
      </c>
    </row>
    <row r="21" spans="1:11" x14ac:dyDescent="0.3">
      <c r="A21">
        <v>18</v>
      </c>
      <c r="B21" s="1" t="s">
        <v>8</v>
      </c>
      <c r="C21">
        <v>18.335000000000001</v>
      </c>
      <c r="D21">
        <v>0</v>
      </c>
      <c r="E21" t="s">
        <v>9</v>
      </c>
      <c r="F21" t="s">
        <v>11</v>
      </c>
      <c r="G21" s="2">
        <v>1391.5287000000001</v>
      </c>
      <c r="H21" t="str" cm="1">
        <f t="array" ref="H21">_xlfn.IFS(A21&lt;=30, "Youth", A21&lt;=50, "Adult", A21&gt;50, "Older")</f>
        <v>Youth</v>
      </c>
      <c r="I21" t="str" cm="1">
        <f t="array" ref="I21">_xlfn.IFS(A21&lt;=25,"18-25",A21&lt;=35,"26-35",A21&lt;=45,"36-45",A21&lt;=60,"46-60",A21&gt;60,"60+")</f>
        <v>18-25</v>
      </c>
      <c r="J21" t="str" cm="1">
        <f t="array" ref="J21">_xlfn.IFS(C21&lt;18.5,"Underweight",C21&lt;25,"Normal",C21&lt;30,"Overweight",C21&gt;=30,"Obese")</f>
        <v>Underweight</v>
      </c>
      <c r="K21" t="str" cm="1">
        <f t="array" ref="K21">_xlfn.IFS(G21&lt;10000, "Low", G21&lt;=25000, "Medium", G21&gt;25000, "High")</f>
        <v>Low</v>
      </c>
    </row>
    <row r="22" spans="1:11" x14ac:dyDescent="0.3">
      <c r="A22">
        <v>18</v>
      </c>
      <c r="B22" s="1" t="s">
        <v>7</v>
      </c>
      <c r="C22">
        <v>18.5</v>
      </c>
      <c r="D22">
        <v>0</v>
      </c>
      <c r="E22" t="s">
        <v>10</v>
      </c>
      <c r="F22" t="s">
        <v>14</v>
      </c>
      <c r="G22" s="2">
        <v>1515.3449000000001</v>
      </c>
      <c r="H22" t="str" cm="1">
        <f t="array" ref="H22">_xlfn.IFS(A22&lt;=30, "Youth", A22&lt;=50, "Adult", A22&gt;50, "Older")</f>
        <v>Youth</v>
      </c>
      <c r="I22" t="str" cm="1">
        <f t="array" ref="I22">_xlfn.IFS(A22&lt;=25,"18-25",A22&lt;=35,"26-35",A22&lt;=45,"36-45",A22&lt;=60,"46-60",A22&gt;60,"60+")</f>
        <v>18-25</v>
      </c>
      <c r="J22" t="str" cm="1">
        <f t="array" ref="J22">_xlfn.IFS(C22&lt;18.5,"Underweight",C22&lt;25,"Normal",C22&lt;30,"Overweight",C22&gt;=30,"Obese")</f>
        <v>Normal</v>
      </c>
      <c r="K22" t="str" cm="1">
        <f t="array" ref="K22">_xlfn.IFS(G22&lt;10000, "Low", G22&lt;=25000, "Medium", G22&gt;25000, "High")</f>
        <v>Low</v>
      </c>
    </row>
    <row r="23" spans="1:11" x14ac:dyDescent="0.3">
      <c r="A23">
        <v>18</v>
      </c>
      <c r="B23" s="1" t="s">
        <v>7</v>
      </c>
      <c r="C23">
        <v>18.600000000000001</v>
      </c>
      <c r="D23">
        <v>0</v>
      </c>
      <c r="E23" t="s">
        <v>10</v>
      </c>
      <c r="F23" t="s">
        <v>11</v>
      </c>
      <c r="G23" s="2">
        <v>1526.3119999999999</v>
      </c>
      <c r="H23" t="str" cm="1">
        <f t="array" ref="H23">_xlfn.IFS(A23&lt;=30, "Youth", A23&lt;=50, "Adult", A23&gt;50, "Older")</f>
        <v>Youth</v>
      </c>
      <c r="I23" t="str" cm="1">
        <f t="array" ref="I23">_xlfn.IFS(A23&lt;=25,"18-25",A23&lt;=35,"26-35",A23&lt;=45,"36-45",A23&lt;=60,"46-60",A23&gt;60,"60+")</f>
        <v>18-25</v>
      </c>
      <c r="J23" t="str" cm="1">
        <f t="array" ref="J23">_xlfn.IFS(C23&lt;18.5,"Underweight",C23&lt;25,"Normal",C23&lt;30,"Overweight",C23&gt;=30,"Obese")</f>
        <v>Normal</v>
      </c>
      <c r="K23" t="str" cm="1">
        <f t="array" ref="K23">_xlfn.IFS(G23&lt;10000, "Low", G23&lt;=25000, "Medium", G23&gt;25000, "High")</f>
        <v>Low</v>
      </c>
    </row>
    <row r="24" spans="1:11" x14ac:dyDescent="0.3">
      <c r="A24">
        <v>18</v>
      </c>
      <c r="B24" s="1" t="s">
        <v>8</v>
      </c>
      <c r="C24">
        <v>18.715</v>
      </c>
      <c r="D24">
        <v>0</v>
      </c>
      <c r="E24" t="s">
        <v>10</v>
      </c>
      <c r="F24" t="s">
        <v>12</v>
      </c>
      <c r="G24" s="2">
        <v>1532.4697000000001</v>
      </c>
      <c r="H24" t="str" cm="1">
        <f t="array" ref="H24">_xlfn.IFS(A24&lt;=30, "Youth", A24&lt;=50, "Adult", A24&gt;50, "Older")</f>
        <v>Youth</v>
      </c>
      <c r="I24" t="str" cm="1">
        <f t="array" ref="I24">_xlfn.IFS(A24&lt;=25,"18-25",A24&lt;=35,"26-35",A24&lt;=45,"36-45",A24&lt;=60,"46-60",A24&gt;60,"60+")</f>
        <v>18-25</v>
      </c>
      <c r="J24" t="str" cm="1">
        <f t="array" ref="J24">_xlfn.IFS(C24&lt;18.5,"Underweight",C24&lt;25,"Normal",C24&lt;30,"Overweight",C24&gt;=30,"Obese")</f>
        <v>Normal</v>
      </c>
      <c r="K24" t="str" cm="1">
        <f t="array" ref="K24">_xlfn.IFS(G24&lt;10000, "Low", G24&lt;=25000, "Medium", G24&gt;25000, "High")</f>
        <v>Low</v>
      </c>
    </row>
    <row r="25" spans="1:11" x14ac:dyDescent="0.3">
      <c r="A25">
        <v>18</v>
      </c>
      <c r="B25" s="1" t="s">
        <v>7</v>
      </c>
      <c r="C25">
        <v>18.905000000000001</v>
      </c>
      <c r="D25">
        <v>0</v>
      </c>
      <c r="E25" t="s">
        <v>9</v>
      </c>
      <c r="F25" t="s">
        <v>14</v>
      </c>
      <c r="G25" s="2">
        <v>1534.3045</v>
      </c>
      <c r="H25" t="str" cm="1">
        <f t="array" ref="H25">_xlfn.IFS(A25&lt;=30, "Youth", A25&lt;=50, "Adult", A25&gt;50, "Older")</f>
        <v>Youth</v>
      </c>
      <c r="I25" t="str" cm="1">
        <f t="array" ref="I25">_xlfn.IFS(A25&lt;=25,"18-25",A25&lt;=35,"26-35",A25&lt;=45,"36-45",A25&lt;=60,"46-60",A25&gt;60,"60+")</f>
        <v>18-25</v>
      </c>
      <c r="J25" t="str" cm="1">
        <f t="array" ref="J25">_xlfn.IFS(C25&lt;18.5,"Underweight",C25&lt;25,"Normal",C25&lt;30,"Overweight",C25&gt;=30,"Obese")</f>
        <v>Normal</v>
      </c>
      <c r="K25" t="str" cm="1">
        <f t="array" ref="K25">_xlfn.IFS(G25&lt;10000, "Low", G25&lt;=25000, "Medium", G25&gt;25000, "High")</f>
        <v>Low</v>
      </c>
    </row>
    <row r="26" spans="1:11" x14ac:dyDescent="0.3">
      <c r="A26">
        <v>18</v>
      </c>
      <c r="B26" s="1" t="s">
        <v>8</v>
      </c>
      <c r="C26">
        <v>19</v>
      </c>
      <c r="D26">
        <v>0</v>
      </c>
      <c r="E26" t="s">
        <v>10</v>
      </c>
      <c r="F26" t="s">
        <v>13</v>
      </c>
      <c r="G26" s="2">
        <v>1607.5101</v>
      </c>
      <c r="H26" t="str" cm="1">
        <f t="array" ref="H26">_xlfn.IFS(A26&lt;=30, "Youth", A26&lt;=50, "Adult", A26&gt;50, "Older")</f>
        <v>Youth</v>
      </c>
      <c r="I26" t="str" cm="1">
        <f t="array" ref="I26">_xlfn.IFS(A26&lt;=25,"18-25",A26&lt;=35,"26-35",A26&lt;=45,"36-45",A26&lt;=60,"46-60",A26&gt;60,"60+")</f>
        <v>18-25</v>
      </c>
      <c r="J26" t="str" cm="1">
        <f t="array" ref="J26">_xlfn.IFS(C26&lt;18.5,"Underweight",C26&lt;25,"Normal",C26&lt;30,"Overweight",C26&gt;=30,"Obese")</f>
        <v>Normal</v>
      </c>
      <c r="K26" t="str" cm="1">
        <f t="array" ref="K26">_xlfn.IFS(G26&lt;10000, "Low", G26&lt;=25000, "Medium", G26&gt;25000, "High")</f>
        <v>Low</v>
      </c>
    </row>
    <row r="27" spans="1:11" x14ac:dyDescent="0.3">
      <c r="A27">
        <v>18</v>
      </c>
      <c r="B27" s="1" t="s">
        <v>7</v>
      </c>
      <c r="C27">
        <v>19.094999999999999</v>
      </c>
      <c r="D27">
        <v>0</v>
      </c>
      <c r="E27" t="s">
        <v>10</v>
      </c>
      <c r="F27" t="s">
        <v>12</v>
      </c>
      <c r="G27" s="2">
        <v>1615.7666999999999</v>
      </c>
      <c r="H27" t="str" cm="1">
        <f t="array" ref="H27">_xlfn.IFS(A27&lt;=30, "Youth", A27&lt;=50, "Adult", A27&gt;50, "Older")</f>
        <v>Youth</v>
      </c>
      <c r="I27" t="str" cm="1">
        <f t="array" ref="I27">_xlfn.IFS(A27&lt;=25,"18-25",A27&lt;=35,"26-35",A27&lt;=45,"36-45",A27&lt;=60,"46-60",A27&gt;60,"60+")</f>
        <v>18-25</v>
      </c>
      <c r="J27" t="str" cm="1">
        <f t="array" ref="J27">_xlfn.IFS(C27&lt;18.5,"Underweight",C27&lt;25,"Normal",C27&lt;30,"Overweight",C27&gt;=30,"Obese")</f>
        <v>Normal</v>
      </c>
      <c r="K27" t="str" cm="1">
        <f t="array" ref="K27">_xlfn.IFS(G27&lt;10000, "Low", G27&lt;=25000, "Medium", G27&gt;25000, "High")</f>
        <v>Low</v>
      </c>
    </row>
    <row r="28" spans="1:11" x14ac:dyDescent="0.3">
      <c r="A28">
        <v>18</v>
      </c>
      <c r="B28" s="1" t="s">
        <v>7</v>
      </c>
      <c r="C28">
        <v>19.190000000000001</v>
      </c>
      <c r="D28">
        <v>0</v>
      </c>
      <c r="E28" t="s">
        <v>10</v>
      </c>
      <c r="F28" t="s">
        <v>14</v>
      </c>
      <c r="G28" s="2">
        <v>1621.3402000000001</v>
      </c>
      <c r="H28" t="str" cm="1">
        <f t="array" ref="H28">_xlfn.IFS(A28&lt;=30, "Youth", A28&lt;=50, "Adult", A28&gt;50, "Older")</f>
        <v>Youth</v>
      </c>
      <c r="I28" t="str" cm="1">
        <f t="array" ref="I28">_xlfn.IFS(A28&lt;=25,"18-25",A28&lt;=35,"26-35",A28&lt;=45,"36-45",A28&lt;=60,"46-60",A28&gt;60,"60+")</f>
        <v>18-25</v>
      </c>
      <c r="J28" t="str" cm="1">
        <f t="array" ref="J28">_xlfn.IFS(C28&lt;18.5,"Underweight",C28&lt;25,"Normal",C28&lt;30,"Overweight",C28&gt;=30,"Obese")</f>
        <v>Normal</v>
      </c>
      <c r="K28" t="str" cm="1">
        <f t="array" ref="K28">_xlfn.IFS(G28&lt;10000, "Low", G28&lt;=25000, "Medium", G28&gt;25000, "High")</f>
        <v>Low</v>
      </c>
    </row>
    <row r="29" spans="1:11" x14ac:dyDescent="0.3">
      <c r="A29">
        <v>18</v>
      </c>
      <c r="B29" s="1" t="s">
        <v>7</v>
      </c>
      <c r="C29">
        <v>19.3</v>
      </c>
      <c r="D29">
        <v>0</v>
      </c>
      <c r="E29" t="s">
        <v>10</v>
      </c>
      <c r="F29" t="s">
        <v>13</v>
      </c>
      <c r="G29" s="2">
        <v>1621.8827000000001</v>
      </c>
      <c r="H29" t="str" cm="1">
        <f t="array" ref="H29">_xlfn.IFS(A29&lt;=30, "Youth", A29&lt;=50, "Adult", A29&gt;50, "Older")</f>
        <v>Youth</v>
      </c>
      <c r="I29" t="str" cm="1">
        <f t="array" ref="I29">_xlfn.IFS(A29&lt;=25,"18-25",A29&lt;=35,"26-35",A29&lt;=45,"36-45",A29&lt;=60,"46-60",A29&gt;60,"60+")</f>
        <v>18-25</v>
      </c>
      <c r="J29" t="str" cm="1">
        <f t="array" ref="J29">_xlfn.IFS(C29&lt;18.5,"Underweight",C29&lt;25,"Normal",C29&lt;30,"Overweight",C29&gt;=30,"Obese")</f>
        <v>Normal</v>
      </c>
      <c r="K29" t="str" cm="1">
        <f t="array" ref="K29">_xlfn.IFS(G29&lt;10000, "Low", G29&lt;=25000, "Medium", G29&gt;25000, "High")</f>
        <v>Low</v>
      </c>
    </row>
    <row r="30" spans="1:11" x14ac:dyDescent="0.3">
      <c r="A30">
        <v>18</v>
      </c>
      <c r="B30" s="1" t="s">
        <v>8</v>
      </c>
      <c r="C30">
        <v>19.475000000000001</v>
      </c>
      <c r="D30">
        <v>0</v>
      </c>
      <c r="E30" t="s">
        <v>10</v>
      </c>
      <c r="F30" t="s">
        <v>13</v>
      </c>
      <c r="G30" s="2">
        <v>1622.1885</v>
      </c>
      <c r="H30" t="str" cm="1">
        <f t="array" ref="H30">_xlfn.IFS(A30&lt;=30, "Youth", A30&lt;=50, "Adult", A30&gt;50, "Older")</f>
        <v>Youth</v>
      </c>
      <c r="I30" t="str" cm="1">
        <f t="array" ref="I30">_xlfn.IFS(A30&lt;=25,"18-25",A30&lt;=35,"26-35",A30&lt;=45,"36-45",A30&lt;=60,"46-60",A30&gt;60,"60+")</f>
        <v>18-25</v>
      </c>
      <c r="J30" t="str" cm="1">
        <f t="array" ref="J30">_xlfn.IFS(C30&lt;18.5,"Underweight",C30&lt;25,"Normal",C30&lt;30,"Overweight",C30&gt;=30,"Obese")</f>
        <v>Normal</v>
      </c>
      <c r="K30" t="str" cm="1">
        <f t="array" ref="K30">_xlfn.IFS(G30&lt;10000, "Low", G30&lt;=25000, "Medium", G30&gt;25000, "High")</f>
        <v>Low</v>
      </c>
    </row>
    <row r="31" spans="1:11" x14ac:dyDescent="0.3">
      <c r="A31">
        <v>18</v>
      </c>
      <c r="B31" s="1" t="s">
        <v>8</v>
      </c>
      <c r="C31">
        <v>19.57</v>
      </c>
      <c r="D31">
        <v>0</v>
      </c>
      <c r="E31" t="s">
        <v>9</v>
      </c>
      <c r="F31" t="s">
        <v>11</v>
      </c>
      <c r="G31" s="2">
        <v>1625.4337499999999</v>
      </c>
      <c r="H31" t="str" cm="1">
        <f t="array" ref="H31">_xlfn.IFS(A31&lt;=30, "Youth", A31&lt;=50, "Adult", A31&gt;50, "Older")</f>
        <v>Youth</v>
      </c>
      <c r="I31" t="str" cm="1">
        <f t="array" ref="I31">_xlfn.IFS(A31&lt;=25,"18-25",A31&lt;=35,"26-35",A31&lt;=45,"36-45",A31&lt;=60,"46-60",A31&gt;60,"60+")</f>
        <v>18-25</v>
      </c>
      <c r="J31" t="str" cm="1">
        <f t="array" ref="J31">_xlfn.IFS(C31&lt;18.5,"Underweight",C31&lt;25,"Normal",C31&lt;30,"Overweight",C31&gt;=30,"Obese")</f>
        <v>Normal</v>
      </c>
      <c r="K31" t="str" cm="1">
        <f t="array" ref="K31">_xlfn.IFS(G31&lt;10000, "Low", G31&lt;=25000, "Medium", G31&gt;25000, "High")</f>
        <v>Low</v>
      </c>
    </row>
    <row r="32" spans="1:11" x14ac:dyDescent="0.3">
      <c r="A32">
        <v>18</v>
      </c>
      <c r="B32" s="1" t="s">
        <v>8</v>
      </c>
      <c r="C32">
        <v>19.8</v>
      </c>
      <c r="D32">
        <v>0</v>
      </c>
      <c r="E32" t="s">
        <v>9</v>
      </c>
      <c r="F32" t="s">
        <v>11</v>
      </c>
      <c r="G32" s="2">
        <v>1627.2824499999999</v>
      </c>
      <c r="H32" t="str" cm="1">
        <f t="array" ref="H32">_xlfn.IFS(A32&lt;=30, "Youth", A32&lt;=50, "Adult", A32&gt;50, "Older")</f>
        <v>Youth</v>
      </c>
      <c r="I32" t="str" cm="1">
        <f t="array" ref="I32">_xlfn.IFS(A32&lt;=25,"18-25",A32&lt;=35,"26-35",A32&lt;=45,"36-45",A32&lt;=60,"46-60",A32&gt;60,"60+")</f>
        <v>18-25</v>
      </c>
      <c r="J32" t="str" cm="1">
        <f t="array" ref="J32">_xlfn.IFS(C32&lt;18.5,"Underweight",C32&lt;25,"Normal",C32&lt;30,"Overweight",C32&gt;=30,"Obese")</f>
        <v>Normal</v>
      </c>
      <c r="K32" t="str" cm="1">
        <f t="array" ref="K32">_xlfn.IFS(G32&lt;10000, "Low", G32&lt;=25000, "Medium", G32&gt;25000, "High")</f>
        <v>Low</v>
      </c>
    </row>
    <row r="33" spans="1:11" x14ac:dyDescent="0.3">
      <c r="A33">
        <v>18</v>
      </c>
      <c r="B33" s="1" t="s">
        <v>7</v>
      </c>
      <c r="C33">
        <v>19.8</v>
      </c>
      <c r="D33">
        <v>0</v>
      </c>
      <c r="E33" t="s">
        <v>10</v>
      </c>
      <c r="F33" t="s">
        <v>14</v>
      </c>
      <c r="G33" s="2">
        <v>1628.4709</v>
      </c>
      <c r="H33" t="str" cm="1">
        <f t="array" ref="H33">_xlfn.IFS(A33&lt;=30, "Youth", A33&lt;=50, "Adult", A33&gt;50, "Older")</f>
        <v>Youth</v>
      </c>
      <c r="I33" t="str" cm="1">
        <f t="array" ref="I33">_xlfn.IFS(A33&lt;=25,"18-25",A33&lt;=35,"26-35",A33&lt;=45,"36-45",A33&lt;=60,"46-60",A33&gt;60,"60+")</f>
        <v>18-25</v>
      </c>
      <c r="J33" t="str" cm="1">
        <f t="array" ref="J33">_xlfn.IFS(C33&lt;18.5,"Underweight",C33&lt;25,"Normal",C33&lt;30,"Overweight",C33&gt;=30,"Obese")</f>
        <v>Normal</v>
      </c>
      <c r="K33" t="str" cm="1">
        <f t="array" ref="K33">_xlfn.IFS(G33&lt;10000, "Low", G33&lt;=25000, "Medium", G33&gt;25000, "High")</f>
        <v>Low</v>
      </c>
    </row>
    <row r="34" spans="1:11" x14ac:dyDescent="0.3">
      <c r="A34">
        <v>18</v>
      </c>
      <c r="B34" s="1" t="s">
        <v>7</v>
      </c>
      <c r="C34">
        <v>19.8</v>
      </c>
      <c r="D34">
        <v>0</v>
      </c>
      <c r="E34" t="s">
        <v>10</v>
      </c>
      <c r="F34" t="s">
        <v>11</v>
      </c>
      <c r="G34" s="2">
        <v>1629.8335</v>
      </c>
      <c r="H34" t="str" cm="1">
        <f t="array" ref="H34">_xlfn.IFS(A34&lt;=30, "Youth", A34&lt;=50, "Adult", A34&gt;50, "Older")</f>
        <v>Youth</v>
      </c>
      <c r="I34" t="str" cm="1">
        <f t="array" ref="I34">_xlfn.IFS(A34&lt;=25,"18-25",A34&lt;=35,"26-35",A34&lt;=45,"36-45",A34&lt;=60,"46-60",A34&gt;60,"60+")</f>
        <v>18-25</v>
      </c>
      <c r="J34" t="str" cm="1">
        <f t="array" ref="J34">_xlfn.IFS(C34&lt;18.5,"Underweight",C34&lt;25,"Normal",C34&lt;30,"Overweight",C34&gt;=30,"Obese")</f>
        <v>Normal</v>
      </c>
      <c r="K34" t="str" cm="1">
        <f t="array" ref="K34">_xlfn.IFS(G34&lt;10000, "Low", G34&lt;=25000, "Medium", G34&gt;25000, "High")</f>
        <v>Low</v>
      </c>
    </row>
    <row r="35" spans="1:11" x14ac:dyDescent="0.3">
      <c r="A35">
        <v>18</v>
      </c>
      <c r="B35" s="1" t="s">
        <v>8</v>
      </c>
      <c r="C35">
        <v>19.855</v>
      </c>
      <c r="D35">
        <v>0</v>
      </c>
      <c r="E35" t="s">
        <v>10</v>
      </c>
      <c r="F35" t="s">
        <v>13</v>
      </c>
      <c r="G35" s="2">
        <v>1631.6683</v>
      </c>
      <c r="H35" t="str" cm="1">
        <f t="array" ref="H35">_xlfn.IFS(A35&lt;=30, "Youth", A35&lt;=50, "Adult", A35&gt;50, "Older")</f>
        <v>Youth</v>
      </c>
      <c r="I35" t="str" cm="1">
        <f t="array" ref="I35">_xlfn.IFS(A35&lt;=25,"18-25",A35&lt;=35,"26-35",A35&lt;=45,"36-45",A35&lt;=60,"46-60",A35&gt;60,"60+")</f>
        <v>18-25</v>
      </c>
      <c r="J35" t="str" cm="1">
        <f t="array" ref="J35">_xlfn.IFS(C35&lt;18.5,"Underweight",C35&lt;25,"Normal",C35&lt;30,"Overweight",C35&gt;=30,"Obese")</f>
        <v>Normal</v>
      </c>
      <c r="K35" t="str" cm="1">
        <f t="array" ref="K35">_xlfn.IFS(G35&lt;10000, "Low", G35&lt;=25000, "Medium", G35&gt;25000, "High")</f>
        <v>Low</v>
      </c>
    </row>
    <row r="36" spans="1:11" x14ac:dyDescent="0.3">
      <c r="A36">
        <v>18</v>
      </c>
      <c r="B36" s="1" t="s">
        <v>8</v>
      </c>
      <c r="C36">
        <v>19.855</v>
      </c>
      <c r="D36">
        <v>0</v>
      </c>
      <c r="E36" t="s">
        <v>9</v>
      </c>
      <c r="F36" t="s">
        <v>11</v>
      </c>
      <c r="G36" s="2">
        <v>1631.8212000000001</v>
      </c>
      <c r="H36" t="str" cm="1">
        <f t="array" ref="H36">_xlfn.IFS(A36&lt;=30, "Youth", A36&lt;=50, "Adult", A36&gt;50, "Older")</f>
        <v>Youth</v>
      </c>
      <c r="I36" t="str" cm="1">
        <f t="array" ref="I36">_xlfn.IFS(A36&lt;=25,"18-25",A36&lt;=35,"26-35",A36&lt;=45,"36-45",A36&lt;=60,"46-60",A36&gt;60,"60+")</f>
        <v>18-25</v>
      </c>
      <c r="J36" t="str" cm="1">
        <f t="array" ref="J36">_xlfn.IFS(C36&lt;18.5,"Underweight",C36&lt;25,"Normal",C36&lt;30,"Overweight",C36&gt;=30,"Obese")</f>
        <v>Normal</v>
      </c>
      <c r="K36" t="str" cm="1">
        <f t="array" ref="K36">_xlfn.IFS(G36&lt;10000, "Low", G36&lt;=25000, "Medium", G36&gt;25000, "High")</f>
        <v>Low</v>
      </c>
    </row>
    <row r="37" spans="1:11" x14ac:dyDescent="0.3">
      <c r="A37">
        <v>18</v>
      </c>
      <c r="B37" s="1" t="s">
        <v>8</v>
      </c>
      <c r="C37">
        <v>19.95</v>
      </c>
      <c r="D37">
        <v>0</v>
      </c>
      <c r="E37" t="s">
        <v>10</v>
      </c>
      <c r="F37" t="s">
        <v>13</v>
      </c>
      <c r="G37" s="2">
        <v>1632.0362500000001</v>
      </c>
      <c r="H37" t="str" cm="1">
        <f t="array" ref="H37">_xlfn.IFS(A37&lt;=30, "Youth", A37&lt;=50, "Adult", A37&gt;50, "Older")</f>
        <v>Youth</v>
      </c>
      <c r="I37" t="str" cm="1">
        <f t="array" ref="I37">_xlfn.IFS(A37&lt;=25,"18-25",A37&lt;=35,"26-35",A37&lt;=45,"36-45",A37&lt;=60,"46-60",A37&gt;60,"60+")</f>
        <v>18-25</v>
      </c>
      <c r="J37" t="str" cm="1">
        <f t="array" ref="J37">_xlfn.IFS(C37&lt;18.5,"Underweight",C37&lt;25,"Normal",C37&lt;30,"Overweight",C37&gt;=30,"Obese")</f>
        <v>Normal</v>
      </c>
      <c r="K37" t="str" cm="1">
        <f t="array" ref="K37">_xlfn.IFS(G37&lt;10000, "Low", G37&lt;=25000, "Medium", G37&gt;25000, "High")</f>
        <v>Low</v>
      </c>
    </row>
    <row r="38" spans="1:11" x14ac:dyDescent="0.3">
      <c r="A38">
        <v>18</v>
      </c>
      <c r="B38" s="1" t="s">
        <v>7</v>
      </c>
      <c r="C38">
        <v>19.95</v>
      </c>
      <c r="D38">
        <v>0</v>
      </c>
      <c r="E38" t="s">
        <v>10</v>
      </c>
      <c r="F38" t="s">
        <v>13</v>
      </c>
      <c r="G38" s="2">
        <v>1632.5644500000001</v>
      </c>
      <c r="H38" t="str" cm="1">
        <f t="array" ref="H38">_xlfn.IFS(A38&lt;=30, "Youth", A38&lt;=50, "Adult", A38&gt;50, "Older")</f>
        <v>Youth</v>
      </c>
      <c r="I38" t="str" cm="1">
        <f t="array" ref="I38">_xlfn.IFS(A38&lt;=25,"18-25",A38&lt;=35,"26-35",A38&lt;=45,"36-45",A38&lt;=60,"46-60",A38&gt;60,"60+")</f>
        <v>18-25</v>
      </c>
      <c r="J38" t="str" cm="1">
        <f t="array" ref="J38">_xlfn.IFS(C38&lt;18.5,"Underweight",C38&lt;25,"Normal",C38&lt;30,"Overweight",C38&gt;=30,"Obese")</f>
        <v>Normal</v>
      </c>
      <c r="K38" t="str" cm="1">
        <f t="array" ref="K38">_xlfn.IFS(G38&lt;10000, "Low", G38&lt;=25000, "Medium", G38&gt;25000, "High")</f>
        <v>Low</v>
      </c>
    </row>
    <row r="39" spans="1:11" x14ac:dyDescent="0.3">
      <c r="A39">
        <v>18</v>
      </c>
      <c r="B39" s="1" t="s">
        <v>8</v>
      </c>
      <c r="C39">
        <v>19.95</v>
      </c>
      <c r="D39">
        <v>0</v>
      </c>
      <c r="E39" t="s">
        <v>10</v>
      </c>
      <c r="F39" t="s">
        <v>11</v>
      </c>
      <c r="G39" s="2">
        <v>1633.0444</v>
      </c>
      <c r="H39" t="str" cm="1">
        <f t="array" ref="H39">_xlfn.IFS(A39&lt;=30, "Youth", A39&lt;=50, "Adult", A39&gt;50, "Older")</f>
        <v>Youth</v>
      </c>
      <c r="I39" t="str" cm="1">
        <f t="array" ref="I39">_xlfn.IFS(A39&lt;=25,"18-25",A39&lt;=35,"26-35",A39&lt;=45,"36-45",A39&lt;=60,"46-60",A39&gt;60,"60+")</f>
        <v>18-25</v>
      </c>
      <c r="J39" t="str" cm="1">
        <f t="array" ref="J39">_xlfn.IFS(C39&lt;18.5,"Underweight",C39&lt;25,"Normal",C39&lt;30,"Overweight",C39&gt;=30,"Obese")</f>
        <v>Normal</v>
      </c>
      <c r="K39" t="str" cm="1">
        <f t="array" ref="K39">_xlfn.IFS(G39&lt;10000, "Low", G39&lt;=25000, "Medium", G39&gt;25000, "High")</f>
        <v>Low</v>
      </c>
    </row>
    <row r="40" spans="1:11" x14ac:dyDescent="0.3">
      <c r="A40">
        <v>18</v>
      </c>
      <c r="B40" s="1" t="s">
        <v>8</v>
      </c>
      <c r="C40">
        <v>19.95</v>
      </c>
      <c r="D40">
        <v>0</v>
      </c>
      <c r="E40" t="s">
        <v>9</v>
      </c>
      <c r="F40" t="s">
        <v>14</v>
      </c>
      <c r="G40" s="2">
        <v>1633.9618</v>
      </c>
      <c r="H40" t="str" cm="1">
        <f t="array" ref="H40">_xlfn.IFS(A40&lt;=30, "Youth", A40&lt;=50, "Adult", A40&gt;50, "Older")</f>
        <v>Youth</v>
      </c>
      <c r="I40" t="str" cm="1">
        <f t="array" ref="I40">_xlfn.IFS(A40&lt;=25,"18-25",A40&lt;=35,"26-35",A40&lt;=45,"36-45",A40&lt;=60,"46-60",A40&gt;60,"60+")</f>
        <v>18-25</v>
      </c>
      <c r="J40" t="str" cm="1">
        <f t="array" ref="J40">_xlfn.IFS(C40&lt;18.5,"Underweight",C40&lt;25,"Normal",C40&lt;30,"Overweight",C40&gt;=30,"Obese")</f>
        <v>Normal</v>
      </c>
      <c r="K40" t="str" cm="1">
        <f t="array" ref="K40">_xlfn.IFS(G40&lt;10000, "Low", G40&lt;=25000, "Medium", G40&gt;25000, "High")</f>
        <v>Low</v>
      </c>
    </row>
    <row r="41" spans="1:11" x14ac:dyDescent="0.3">
      <c r="A41">
        <v>18</v>
      </c>
      <c r="B41" s="1" t="s">
        <v>8</v>
      </c>
      <c r="C41">
        <v>19.95</v>
      </c>
      <c r="D41">
        <v>0</v>
      </c>
      <c r="E41" t="s">
        <v>9</v>
      </c>
      <c r="F41" t="s">
        <v>11</v>
      </c>
      <c r="G41" s="2">
        <v>1634.5734</v>
      </c>
      <c r="H41" t="str" cm="1">
        <f t="array" ref="H41">_xlfn.IFS(A41&lt;=30, "Youth", A41&lt;=50, "Adult", A41&gt;50, "Older")</f>
        <v>Youth</v>
      </c>
      <c r="I41" t="str" cm="1">
        <f t="array" ref="I41">_xlfn.IFS(A41&lt;=25,"18-25",A41&lt;=35,"26-35",A41&lt;=45,"36-45",A41&lt;=60,"46-60",A41&gt;60,"60+")</f>
        <v>18-25</v>
      </c>
      <c r="J41" t="str" cm="1">
        <f t="array" ref="J41">_xlfn.IFS(C41&lt;18.5,"Underweight",C41&lt;25,"Normal",C41&lt;30,"Overweight",C41&gt;=30,"Obese")</f>
        <v>Normal</v>
      </c>
      <c r="K41" t="str" cm="1">
        <f t="array" ref="K41">_xlfn.IFS(G41&lt;10000, "Low", G41&lt;=25000, "Medium", G41&gt;25000, "High")</f>
        <v>Low</v>
      </c>
    </row>
    <row r="42" spans="1:11" x14ac:dyDescent="0.3">
      <c r="A42">
        <v>18</v>
      </c>
      <c r="B42" s="1" t="s">
        <v>7</v>
      </c>
      <c r="C42">
        <v>19.95</v>
      </c>
      <c r="D42">
        <v>0</v>
      </c>
      <c r="E42" t="s">
        <v>10</v>
      </c>
      <c r="F42" t="s">
        <v>14</v>
      </c>
      <c r="G42" s="2">
        <v>1635.7336499999999</v>
      </c>
      <c r="H42" t="str" cm="1">
        <f t="array" ref="H42">_xlfn.IFS(A42&lt;=30, "Youth", A42&lt;=50, "Adult", A42&gt;50, "Older")</f>
        <v>Youth</v>
      </c>
      <c r="I42" t="str" cm="1">
        <f t="array" ref="I42">_xlfn.IFS(A42&lt;=25,"18-25",A42&lt;=35,"26-35",A42&lt;=45,"36-45",A42&lt;=60,"46-60",A42&gt;60,"60+")</f>
        <v>18-25</v>
      </c>
      <c r="J42" t="str" cm="1">
        <f t="array" ref="J42">_xlfn.IFS(C42&lt;18.5,"Underweight",C42&lt;25,"Normal",C42&lt;30,"Overweight",C42&gt;=30,"Obese")</f>
        <v>Normal</v>
      </c>
      <c r="K42" t="str" cm="1">
        <f t="array" ref="K42">_xlfn.IFS(G42&lt;10000, "Low", G42&lt;=25000, "Medium", G42&gt;25000, "High")</f>
        <v>Low</v>
      </c>
    </row>
    <row r="43" spans="1:11" x14ac:dyDescent="0.3">
      <c r="A43">
        <v>18</v>
      </c>
      <c r="B43" s="1" t="s">
        <v>7</v>
      </c>
      <c r="C43">
        <v>20.045000000000002</v>
      </c>
      <c r="D43">
        <v>0</v>
      </c>
      <c r="E43" t="s">
        <v>10</v>
      </c>
      <c r="F43" t="s">
        <v>12</v>
      </c>
      <c r="G43" s="2">
        <v>1639.5631000000001</v>
      </c>
      <c r="H43" t="str" cm="1">
        <f t="array" ref="H43">_xlfn.IFS(A43&lt;=30, "Youth", A43&lt;=50, "Adult", A43&gt;50, "Older")</f>
        <v>Youth</v>
      </c>
      <c r="I43" t="str" cm="1">
        <f t="array" ref="I43">_xlfn.IFS(A43&lt;=25,"18-25",A43&lt;=35,"26-35",A43&lt;=45,"36-45",A43&lt;=60,"46-60",A43&gt;60,"60+")</f>
        <v>18-25</v>
      </c>
      <c r="J43" t="str" cm="1">
        <f t="array" ref="J43">_xlfn.IFS(C43&lt;18.5,"Underweight",C43&lt;25,"Normal",C43&lt;30,"Overweight",C43&gt;=30,"Obese")</f>
        <v>Normal</v>
      </c>
      <c r="K43" t="str" cm="1">
        <f t="array" ref="K43">_xlfn.IFS(G43&lt;10000, "Low", G43&lt;=25000, "Medium", G43&gt;25000, "High")</f>
        <v>Low</v>
      </c>
    </row>
    <row r="44" spans="1:11" x14ac:dyDescent="0.3">
      <c r="A44">
        <v>18</v>
      </c>
      <c r="B44" s="1" t="s">
        <v>8</v>
      </c>
      <c r="C44">
        <v>20.045000000000002</v>
      </c>
      <c r="D44">
        <v>0</v>
      </c>
      <c r="E44" t="s">
        <v>10</v>
      </c>
      <c r="F44" t="s">
        <v>12</v>
      </c>
      <c r="G44" s="2">
        <v>1646.4296999999999</v>
      </c>
      <c r="H44" t="str" cm="1">
        <f t="array" ref="H44">_xlfn.IFS(A44&lt;=30, "Youth", A44&lt;=50, "Adult", A44&gt;50, "Older")</f>
        <v>Youth</v>
      </c>
      <c r="I44" t="str" cm="1">
        <f t="array" ref="I44">_xlfn.IFS(A44&lt;=25,"18-25",A44&lt;=35,"26-35",A44&lt;=45,"36-45",A44&lt;=60,"46-60",A44&gt;60,"60+")</f>
        <v>18-25</v>
      </c>
      <c r="J44" t="str" cm="1">
        <f t="array" ref="J44">_xlfn.IFS(C44&lt;18.5,"Underweight",C44&lt;25,"Normal",C44&lt;30,"Overweight",C44&gt;=30,"Obese")</f>
        <v>Normal</v>
      </c>
      <c r="K44" t="str" cm="1">
        <f t="array" ref="K44">_xlfn.IFS(G44&lt;10000, "Low", G44&lt;=25000, "Medium", G44&gt;25000, "High")</f>
        <v>Low</v>
      </c>
    </row>
    <row r="45" spans="1:11" x14ac:dyDescent="0.3">
      <c r="A45">
        <v>18</v>
      </c>
      <c r="B45" s="1" t="s">
        <v>7</v>
      </c>
      <c r="C45">
        <v>20.100000000000001</v>
      </c>
      <c r="D45">
        <v>0</v>
      </c>
      <c r="E45" t="s">
        <v>10</v>
      </c>
      <c r="F45" t="s">
        <v>12</v>
      </c>
      <c r="G45" s="2">
        <v>1664.9996000000001</v>
      </c>
      <c r="H45" t="str" cm="1">
        <f t="array" ref="H45">_xlfn.IFS(A45&lt;=30, "Youth", A45&lt;=50, "Adult", A45&gt;50, "Older")</f>
        <v>Youth</v>
      </c>
      <c r="I45" t="str" cm="1">
        <f t="array" ref="I45">_xlfn.IFS(A45&lt;=25,"18-25",A45&lt;=35,"26-35",A45&lt;=45,"36-45",A45&lt;=60,"46-60",A45&gt;60,"60+")</f>
        <v>18-25</v>
      </c>
      <c r="J45" t="str" cm="1">
        <f t="array" ref="J45">_xlfn.IFS(C45&lt;18.5,"Underweight",C45&lt;25,"Normal",C45&lt;30,"Overweight",C45&gt;=30,"Obese")</f>
        <v>Normal</v>
      </c>
      <c r="K45" t="str" cm="1">
        <f t="array" ref="K45">_xlfn.IFS(G45&lt;10000, "Low", G45&lt;=25000, "Medium", G45&gt;25000, "High")</f>
        <v>Low</v>
      </c>
    </row>
    <row r="46" spans="1:11" x14ac:dyDescent="0.3">
      <c r="A46">
        <v>18</v>
      </c>
      <c r="B46" s="1" t="s">
        <v>8</v>
      </c>
      <c r="C46">
        <v>20.13</v>
      </c>
      <c r="D46">
        <v>0</v>
      </c>
      <c r="E46" t="s">
        <v>10</v>
      </c>
      <c r="F46" t="s">
        <v>14</v>
      </c>
      <c r="G46" s="2">
        <v>1674.6323</v>
      </c>
      <c r="H46" t="str" cm="1">
        <f t="array" ref="H46">_xlfn.IFS(A46&lt;=30, "Youth", A46&lt;=50, "Adult", A46&gt;50, "Older")</f>
        <v>Youth</v>
      </c>
      <c r="I46" t="str" cm="1">
        <f t="array" ref="I46">_xlfn.IFS(A46&lt;=25,"18-25",A46&lt;=35,"26-35",A46&lt;=45,"36-45",A46&lt;=60,"46-60",A46&gt;60,"60+")</f>
        <v>18-25</v>
      </c>
      <c r="J46" t="str" cm="1">
        <f t="array" ref="J46">_xlfn.IFS(C46&lt;18.5,"Underweight",C46&lt;25,"Normal",C46&lt;30,"Overweight",C46&gt;=30,"Obese")</f>
        <v>Normal</v>
      </c>
      <c r="K46" t="str" cm="1">
        <f t="array" ref="K46">_xlfn.IFS(G46&lt;10000, "Low", G46&lt;=25000, "Medium", G46&gt;25000, "High")</f>
        <v>Low</v>
      </c>
    </row>
    <row r="47" spans="1:11" x14ac:dyDescent="0.3">
      <c r="A47">
        <v>18</v>
      </c>
      <c r="B47" s="1" t="s">
        <v>8</v>
      </c>
      <c r="C47">
        <v>20.234999999999999</v>
      </c>
      <c r="D47">
        <v>0</v>
      </c>
      <c r="E47" t="s">
        <v>10</v>
      </c>
      <c r="F47" t="s">
        <v>11</v>
      </c>
      <c r="G47" s="2">
        <v>1682.597</v>
      </c>
      <c r="H47" t="str" cm="1">
        <f t="array" ref="H47">_xlfn.IFS(A47&lt;=30, "Youth", A47&lt;=50, "Adult", A47&gt;50, "Older")</f>
        <v>Youth</v>
      </c>
      <c r="I47" t="str" cm="1">
        <f t="array" ref="I47">_xlfn.IFS(A47&lt;=25,"18-25",A47&lt;=35,"26-35",A47&lt;=45,"36-45",A47&lt;=60,"46-60",A47&gt;60,"60+")</f>
        <v>18-25</v>
      </c>
      <c r="J47" t="str" cm="1">
        <f t="array" ref="J47">_xlfn.IFS(C47&lt;18.5,"Underweight",C47&lt;25,"Normal",C47&lt;30,"Overweight",C47&gt;=30,"Obese")</f>
        <v>Normal</v>
      </c>
      <c r="K47" t="str" cm="1">
        <f t="array" ref="K47">_xlfn.IFS(G47&lt;10000, "Low", G47&lt;=25000, "Medium", G47&gt;25000, "High")</f>
        <v>Low</v>
      </c>
    </row>
    <row r="48" spans="1:11" x14ac:dyDescent="0.3">
      <c r="A48">
        <v>18</v>
      </c>
      <c r="B48" s="1" t="s">
        <v>7</v>
      </c>
      <c r="C48">
        <v>20.234999999999999</v>
      </c>
      <c r="D48">
        <v>0</v>
      </c>
      <c r="E48" t="s">
        <v>10</v>
      </c>
      <c r="F48" t="s">
        <v>14</v>
      </c>
      <c r="G48" s="2">
        <v>1694.7963999999999</v>
      </c>
      <c r="H48" t="str" cm="1">
        <f t="array" ref="H48">_xlfn.IFS(A48&lt;=30, "Youth", A48&lt;=50, "Adult", A48&gt;50, "Older")</f>
        <v>Youth</v>
      </c>
      <c r="I48" t="str" cm="1">
        <f t="array" ref="I48">_xlfn.IFS(A48&lt;=25,"18-25",A48&lt;=35,"26-35",A48&lt;=45,"36-45",A48&lt;=60,"46-60",A48&gt;60,"60+")</f>
        <v>18-25</v>
      </c>
      <c r="J48" t="str" cm="1">
        <f t="array" ref="J48">_xlfn.IFS(C48&lt;18.5,"Underweight",C48&lt;25,"Normal",C48&lt;30,"Overweight",C48&gt;=30,"Obese")</f>
        <v>Normal</v>
      </c>
      <c r="K48" t="str" cm="1">
        <f t="array" ref="K48">_xlfn.IFS(G48&lt;10000, "Low", G48&lt;=25000, "Medium", G48&gt;25000, "High")</f>
        <v>Low</v>
      </c>
    </row>
    <row r="49" spans="1:11" x14ac:dyDescent="0.3">
      <c r="A49">
        <v>18</v>
      </c>
      <c r="B49" s="1" t="s">
        <v>7</v>
      </c>
      <c r="C49">
        <v>20.234999999999999</v>
      </c>
      <c r="D49">
        <v>0</v>
      </c>
      <c r="E49" t="s">
        <v>10</v>
      </c>
      <c r="F49" t="s">
        <v>13</v>
      </c>
      <c r="G49" s="2">
        <v>1702.4553000000001</v>
      </c>
      <c r="H49" t="str" cm="1">
        <f t="array" ref="H49">_xlfn.IFS(A49&lt;=30, "Youth", A49&lt;=50, "Adult", A49&gt;50, "Older")</f>
        <v>Youth</v>
      </c>
      <c r="I49" t="str" cm="1">
        <f t="array" ref="I49">_xlfn.IFS(A49&lt;=25,"18-25",A49&lt;=35,"26-35",A49&lt;=45,"36-45",A49&lt;=60,"46-60",A49&gt;60,"60+")</f>
        <v>18-25</v>
      </c>
      <c r="J49" t="str" cm="1">
        <f t="array" ref="J49">_xlfn.IFS(C49&lt;18.5,"Underweight",C49&lt;25,"Normal",C49&lt;30,"Overweight",C49&gt;=30,"Obese")</f>
        <v>Normal</v>
      </c>
      <c r="K49" t="str" cm="1">
        <f t="array" ref="K49">_xlfn.IFS(G49&lt;10000, "Low", G49&lt;=25000, "Medium", G49&gt;25000, "High")</f>
        <v>Low</v>
      </c>
    </row>
    <row r="50" spans="1:11" x14ac:dyDescent="0.3">
      <c r="A50">
        <v>18</v>
      </c>
      <c r="B50" s="1" t="s">
        <v>7</v>
      </c>
      <c r="C50">
        <v>20.234999999999999</v>
      </c>
      <c r="D50">
        <v>0</v>
      </c>
      <c r="E50" t="s">
        <v>10</v>
      </c>
      <c r="F50" t="s">
        <v>12</v>
      </c>
      <c r="G50" s="2">
        <v>1704.5681</v>
      </c>
      <c r="H50" t="str" cm="1">
        <f t="array" ref="H50">_xlfn.IFS(A50&lt;=30, "Youth", A50&lt;=50, "Adult", A50&gt;50, "Older")</f>
        <v>Youth</v>
      </c>
      <c r="I50" t="str" cm="1">
        <f t="array" ref="I50">_xlfn.IFS(A50&lt;=25,"18-25",A50&lt;=35,"26-35",A50&lt;=45,"36-45",A50&lt;=60,"46-60",A50&gt;60,"60+")</f>
        <v>18-25</v>
      </c>
      <c r="J50" t="str" cm="1">
        <f t="array" ref="J50">_xlfn.IFS(C50&lt;18.5,"Underweight",C50&lt;25,"Normal",C50&lt;30,"Overweight",C50&gt;=30,"Obese")</f>
        <v>Normal</v>
      </c>
      <c r="K50" t="str" cm="1">
        <f t="array" ref="K50">_xlfn.IFS(G50&lt;10000, "Low", G50&lt;=25000, "Medium", G50&gt;25000, "High")</f>
        <v>Low</v>
      </c>
    </row>
    <row r="51" spans="1:11" x14ac:dyDescent="0.3">
      <c r="A51">
        <v>18</v>
      </c>
      <c r="B51" s="1" t="s">
        <v>8</v>
      </c>
      <c r="C51">
        <v>20.3</v>
      </c>
      <c r="D51">
        <v>0</v>
      </c>
      <c r="E51" t="s">
        <v>9</v>
      </c>
      <c r="F51" t="s">
        <v>12</v>
      </c>
      <c r="G51" s="2">
        <v>1704.7001499999999</v>
      </c>
      <c r="H51" t="str" cm="1">
        <f t="array" ref="H51">_xlfn.IFS(A51&lt;=30, "Youth", A51&lt;=50, "Adult", A51&gt;50, "Older")</f>
        <v>Youth</v>
      </c>
      <c r="I51" t="str" cm="1">
        <f t="array" ref="I51">_xlfn.IFS(A51&lt;=25,"18-25",A51&lt;=35,"26-35",A51&lt;=45,"36-45",A51&lt;=60,"46-60",A51&gt;60,"60+")</f>
        <v>18-25</v>
      </c>
      <c r="J51" t="str" cm="1">
        <f t="array" ref="J51">_xlfn.IFS(C51&lt;18.5,"Underweight",C51&lt;25,"Normal",C51&lt;30,"Overweight",C51&gt;=30,"Obese")</f>
        <v>Normal</v>
      </c>
      <c r="K51" t="str" cm="1">
        <f t="array" ref="K51">_xlfn.IFS(G51&lt;10000, "Low", G51&lt;=25000, "Medium", G51&gt;25000, "High")</f>
        <v>Low</v>
      </c>
    </row>
    <row r="52" spans="1:11" x14ac:dyDescent="0.3">
      <c r="A52">
        <v>18</v>
      </c>
      <c r="B52" s="1" t="s">
        <v>7</v>
      </c>
      <c r="C52">
        <v>20.350000000000001</v>
      </c>
      <c r="D52">
        <v>0</v>
      </c>
      <c r="E52" t="s">
        <v>10</v>
      </c>
      <c r="F52" t="s">
        <v>14</v>
      </c>
      <c r="G52" s="2">
        <v>1705.6244999999999</v>
      </c>
      <c r="H52" t="str" cm="1">
        <f t="array" ref="H52">_xlfn.IFS(A52&lt;=30, "Youth", A52&lt;=50, "Adult", A52&gt;50, "Older")</f>
        <v>Youth</v>
      </c>
      <c r="I52" t="str" cm="1">
        <f t="array" ref="I52">_xlfn.IFS(A52&lt;=25,"18-25",A52&lt;=35,"26-35",A52&lt;=45,"36-45",A52&lt;=60,"46-60",A52&gt;60,"60+")</f>
        <v>18-25</v>
      </c>
      <c r="J52" t="str" cm="1">
        <f t="array" ref="J52">_xlfn.IFS(C52&lt;18.5,"Underweight",C52&lt;25,"Normal",C52&lt;30,"Overweight",C52&gt;=30,"Obese")</f>
        <v>Normal</v>
      </c>
      <c r="K52" t="str" cm="1">
        <f t="array" ref="K52">_xlfn.IFS(G52&lt;10000, "Low", G52&lt;=25000, "Medium", G52&gt;25000, "High")</f>
        <v>Low</v>
      </c>
    </row>
    <row r="53" spans="1:11" x14ac:dyDescent="0.3">
      <c r="A53">
        <v>18</v>
      </c>
      <c r="B53" s="1" t="s">
        <v>7</v>
      </c>
      <c r="C53">
        <v>20.399999999999999</v>
      </c>
      <c r="D53">
        <v>0</v>
      </c>
      <c r="E53" t="s">
        <v>10</v>
      </c>
      <c r="F53" t="s">
        <v>13</v>
      </c>
      <c r="G53" s="2">
        <v>1708.0014000000001</v>
      </c>
      <c r="H53" t="str" cm="1">
        <f t="array" ref="H53">_xlfn.IFS(A53&lt;=30, "Youth", A53&lt;=50, "Adult", A53&gt;50, "Older")</f>
        <v>Youth</v>
      </c>
      <c r="I53" t="str" cm="1">
        <f t="array" ref="I53">_xlfn.IFS(A53&lt;=25,"18-25",A53&lt;=35,"26-35",A53&lt;=45,"36-45",A53&lt;=60,"46-60",A53&gt;60,"60+")</f>
        <v>18-25</v>
      </c>
      <c r="J53" t="str" cm="1">
        <f t="array" ref="J53">_xlfn.IFS(C53&lt;18.5,"Underweight",C53&lt;25,"Normal",C53&lt;30,"Overweight",C53&gt;=30,"Obese")</f>
        <v>Normal</v>
      </c>
      <c r="K53" t="str" cm="1">
        <f t="array" ref="K53">_xlfn.IFS(G53&lt;10000, "Low", G53&lt;=25000, "Medium", G53&gt;25000, "High")</f>
        <v>Low</v>
      </c>
    </row>
    <row r="54" spans="1:11" x14ac:dyDescent="0.3">
      <c r="A54">
        <v>18</v>
      </c>
      <c r="B54" s="1" t="s">
        <v>8</v>
      </c>
      <c r="C54">
        <v>20.425000000000001</v>
      </c>
      <c r="D54">
        <v>0</v>
      </c>
      <c r="E54" t="s">
        <v>9</v>
      </c>
      <c r="F54" t="s">
        <v>11</v>
      </c>
      <c r="G54" s="2">
        <v>1708.9257500000001</v>
      </c>
      <c r="H54" t="str" cm="1">
        <f t="array" ref="H54">_xlfn.IFS(A54&lt;=30, "Youth", A54&lt;=50, "Adult", A54&gt;50, "Older")</f>
        <v>Youth</v>
      </c>
      <c r="I54" t="str" cm="1">
        <f t="array" ref="I54">_xlfn.IFS(A54&lt;=25,"18-25",A54&lt;=35,"26-35",A54&lt;=45,"36-45",A54&lt;=60,"46-60",A54&gt;60,"60+")</f>
        <v>18-25</v>
      </c>
      <c r="J54" t="str" cm="1">
        <f t="array" ref="J54">_xlfn.IFS(C54&lt;18.5,"Underweight",C54&lt;25,"Normal",C54&lt;30,"Overweight",C54&gt;=30,"Obese")</f>
        <v>Normal</v>
      </c>
      <c r="K54" t="str" cm="1">
        <f t="array" ref="K54">_xlfn.IFS(G54&lt;10000, "Low", G54&lt;=25000, "Medium", G54&gt;25000, "High")</f>
        <v>Low</v>
      </c>
    </row>
    <row r="55" spans="1:11" x14ac:dyDescent="0.3">
      <c r="A55">
        <v>18</v>
      </c>
      <c r="B55" s="1" t="s">
        <v>8</v>
      </c>
      <c r="C55">
        <v>20.52</v>
      </c>
      <c r="D55">
        <v>0</v>
      </c>
      <c r="E55" t="s">
        <v>9</v>
      </c>
      <c r="F55" t="s">
        <v>12</v>
      </c>
      <c r="G55" s="2">
        <v>1711.0268000000001</v>
      </c>
      <c r="H55" t="str" cm="1">
        <f t="array" ref="H55">_xlfn.IFS(A55&lt;=30, "Youth", A55&lt;=50, "Adult", A55&gt;50, "Older")</f>
        <v>Youth</v>
      </c>
      <c r="I55" t="str" cm="1">
        <f t="array" ref="I55">_xlfn.IFS(A55&lt;=25,"18-25",A55&lt;=35,"26-35",A55&lt;=45,"36-45",A55&lt;=60,"46-60",A55&gt;60,"60+")</f>
        <v>18-25</v>
      </c>
      <c r="J55" t="str" cm="1">
        <f t="array" ref="J55">_xlfn.IFS(C55&lt;18.5,"Underweight",C55&lt;25,"Normal",C55&lt;30,"Overweight",C55&gt;=30,"Obese")</f>
        <v>Normal</v>
      </c>
      <c r="K55" t="str" cm="1">
        <f t="array" ref="K55">_xlfn.IFS(G55&lt;10000, "Low", G55&lt;=25000, "Medium", G55&gt;25000, "High")</f>
        <v>Low</v>
      </c>
    </row>
    <row r="56" spans="1:11" x14ac:dyDescent="0.3">
      <c r="A56">
        <v>18</v>
      </c>
      <c r="B56" s="1" t="s">
        <v>7</v>
      </c>
      <c r="C56">
        <v>20.52</v>
      </c>
      <c r="D56">
        <v>0</v>
      </c>
      <c r="E56" t="s">
        <v>10</v>
      </c>
      <c r="F56" t="s">
        <v>13</v>
      </c>
      <c r="G56" s="2">
        <v>1712.2270000000001</v>
      </c>
      <c r="H56" t="str" cm="1">
        <f t="array" ref="H56">_xlfn.IFS(A56&lt;=30, "Youth", A56&lt;=50, "Adult", A56&gt;50, "Older")</f>
        <v>Youth</v>
      </c>
      <c r="I56" t="str" cm="1">
        <f t="array" ref="I56">_xlfn.IFS(A56&lt;=25,"18-25",A56&lt;=35,"26-35",A56&lt;=45,"36-45",A56&lt;=60,"46-60",A56&gt;60,"60+")</f>
        <v>18-25</v>
      </c>
      <c r="J56" t="str" cm="1">
        <f t="array" ref="J56">_xlfn.IFS(C56&lt;18.5,"Underweight",C56&lt;25,"Normal",C56&lt;30,"Overweight",C56&gt;=30,"Obese")</f>
        <v>Normal</v>
      </c>
      <c r="K56" t="str" cm="1">
        <f t="array" ref="K56">_xlfn.IFS(G56&lt;10000, "Low", G56&lt;=25000, "Medium", G56&gt;25000, "High")</f>
        <v>Low</v>
      </c>
    </row>
    <row r="57" spans="1:11" x14ac:dyDescent="0.3">
      <c r="A57">
        <v>18</v>
      </c>
      <c r="B57" s="1" t="s">
        <v>8</v>
      </c>
      <c r="C57">
        <v>20.6</v>
      </c>
      <c r="D57">
        <v>0</v>
      </c>
      <c r="E57" t="s">
        <v>9</v>
      </c>
      <c r="F57" t="s">
        <v>13</v>
      </c>
      <c r="G57" s="2">
        <v>1719.4363000000001</v>
      </c>
      <c r="H57" t="str" cm="1">
        <f t="array" ref="H57">_xlfn.IFS(A57&lt;=30, "Youth", A57&lt;=50, "Adult", A57&gt;50, "Older")</f>
        <v>Youth</v>
      </c>
      <c r="I57" t="str" cm="1">
        <f t="array" ref="I57">_xlfn.IFS(A57&lt;=25,"18-25",A57&lt;=35,"26-35",A57&lt;=45,"36-45",A57&lt;=60,"46-60",A57&gt;60,"60+")</f>
        <v>18-25</v>
      </c>
      <c r="J57" t="str" cm="1">
        <f t="array" ref="J57">_xlfn.IFS(C57&lt;18.5,"Underweight",C57&lt;25,"Normal",C57&lt;30,"Overweight",C57&gt;=30,"Obese")</f>
        <v>Normal</v>
      </c>
      <c r="K57" t="str" cm="1">
        <f t="array" ref="K57">_xlfn.IFS(G57&lt;10000, "Low", G57&lt;=25000, "Medium", G57&gt;25000, "High")</f>
        <v>Low</v>
      </c>
    </row>
    <row r="58" spans="1:11" x14ac:dyDescent="0.3">
      <c r="A58">
        <v>18</v>
      </c>
      <c r="B58" s="1" t="s">
        <v>7</v>
      </c>
      <c r="C58">
        <v>20.6</v>
      </c>
      <c r="D58">
        <v>0</v>
      </c>
      <c r="E58" t="s">
        <v>10</v>
      </c>
      <c r="F58" t="s">
        <v>14</v>
      </c>
      <c r="G58" s="2">
        <v>1720.3536999999999</v>
      </c>
      <c r="H58" t="str" cm="1">
        <f t="array" ref="H58">_xlfn.IFS(A58&lt;=30, "Youth", A58&lt;=50, "Adult", A58&gt;50, "Older")</f>
        <v>Youth</v>
      </c>
      <c r="I58" t="str" cm="1">
        <f t="array" ref="I58">_xlfn.IFS(A58&lt;=25,"18-25",A58&lt;=35,"26-35",A58&lt;=45,"36-45",A58&lt;=60,"46-60",A58&gt;60,"60+")</f>
        <v>18-25</v>
      </c>
      <c r="J58" t="str" cm="1">
        <f t="array" ref="J58">_xlfn.IFS(C58&lt;18.5,"Underweight",C58&lt;25,"Normal",C58&lt;30,"Overweight",C58&gt;=30,"Obese")</f>
        <v>Normal</v>
      </c>
      <c r="K58" t="str" cm="1">
        <f t="array" ref="K58">_xlfn.IFS(G58&lt;10000, "Low", G58&lt;=25000, "Medium", G58&gt;25000, "High")</f>
        <v>Low</v>
      </c>
    </row>
    <row r="59" spans="1:11" x14ac:dyDescent="0.3">
      <c r="A59">
        <v>18</v>
      </c>
      <c r="B59" s="1" t="s">
        <v>8</v>
      </c>
      <c r="C59">
        <v>20.614999999999998</v>
      </c>
      <c r="D59">
        <v>0</v>
      </c>
      <c r="E59" t="s">
        <v>9</v>
      </c>
      <c r="F59" t="s">
        <v>12</v>
      </c>
      <c r="G59" s="2">
        <v>1725.5523000000001</v>
      </c>
      <c r="H59" t="str" cm="1">
        <f t="array" ref="H59">_xlfn.IFS(A59&lt;=30, "Youth", A59&lt;=50, "Adult", A59&gt;50, "Older")</f>
        <v>Youth</v>
      </c>
      <c r="I59" t="str" cm="1">
        <f t="array" ref="I59">_xlfn.IFS(A59&lt;=25,"18-25",A59&lt;=35,"26-35",A59&lt;=45,"36-45",A59&lt;=60,"46-60",A59&gt;60,"60+")</f>
        <v>18-25</v>
      </c>
      <c r="J59" t="str" cm="1">
        <f t="array" ref="J59">_xlfn.IFS(C59&lt;18.5,"Underweight",C59&lt;25,"Normal",C59&lt;30,"Overweight",C59&gt;=30,"Obese")</f>
        <v>Normal</v>
      </c>
      <c r="K59" t="str" cm="1">
        <f t="array" ref="K59">_xlfn.IFS(G59&lt;10000, "Low", G59&lt;=25000, "Medium", G59&gt;25000, "High")</f>
        <v>Low</v>
      </c>
    </row>
    <row r="60" spans="1:11" x14ac:dyDescent="0.3">
      <c r="A60">
        <v>18</v>
      </c>
      <c r="B60" s="1" t="s">
        <v>7</v>
      </c>
      <c r="C60">
        <v>20.7</v>
      </c>
      <c r="D60">
        <v>0</v>
      </c>
      <c r="E60" t="s">
        <v>9</v>
      </c>
      <c r="F60" t="s">
        <v>12</v>
      </c>
      <c r="G60" s="2">
        <v>1727.54</v>
      </c>
      <c r="H60" t="str" cm="1">
        <f t="array" ref="H60">_xlfn.IFS(A60&lt;=30, "Youth", A60&lt;=50, "Adult", A60&gt;50, "Older")</f>
        <v>Youth</v>
      </c>
      <c r="I60" t="str" cm="1">
        <f t="array" ref="I60">_xlfn.IFS(A60&lt;=25,"18-25",A60&lt;=35,"26-35",A60&lt;=45,"36-45",A60&lt;=60,"46-60",A60&gt;60,"60+")</f>
        <v>18-25</v>
      </c>
      <c r="J60" t="str" cm="1">
        <f t="array" ref="J60">_xlfn.IFS(C60&lt;18.5,"Underweight",C60&lt;25,"Normal",C60&lt;30,"Overweight",C60&gt;=30,"Obese")</f>
        <v>Normal</v>
      </c>
      <c r="K60" t="str" cm="1">
        <f t="array" ref="K60">_xlfn.IFS(G60&lt;10000, "Low", G60&lt;=25000, "Medium", G60&gt;25000, "High")</f>
        <v>Low</v>
      </c>
    </row>
    <row r="61" spans="1:11" x14ac:dyDescent="0.3">
      <c r="A61">
        <v>18</v>
      </c>
      <c r="B61" s="1" t="s">
        <v>7</v>
      </c>
      <c r="C61">
        <v>20.79</v>
      </c>
      <c r="D61">
        <v>0</v>
      </c>
      <c r="E61" t="s">
        <v>10</v>
      </c>
      <c r="F61" t="s">
        <v>13</v>
      </c>
      <c r="G61" s="2">
        <v>1727.7850000000001</v>
      </c>
      <c r="H61" t="str" cm="1">
        <f t="array" ref="H61">_xlfn.IFS(A61&lt;=30, "Youth", A61&lt;=50, "Adult", A61&gt;50, "Older")</f>
        <v>Youth</v>
      </c>
      <c r="I61" t="str" cm="1">
        <f t="array" ref="I61">_xlfn.IFS(A61&lt;=25,"18-25",A61&lt;=35,"26-35",A61&lt;=45,"36-45",A61&lt;=60,"46-60",A61&gt;60,"60+")</f>
        <v>18-25</v>
      </c>
      <c r="J61" t="str" cm="1">
        <f t="array" ref="J61">_xlfn.IFS(C61&lt;18.5,"Underweight",C61&lt;25,"Normal",C61&lt;30,"Overweight",C61&gt;=30,"Obese")</f>
        <v>Normal</v>
      </c>
      <c r="K61" t="str" cm="1">
        <f t="array" ref="K61">_xlfn.IFS(G61&lt;10000, "Low", G61&lt;=25000, "Medium", G61&gt;25000, "High")</f>
        <v>Low</v>
      </c>
    </row>
    <row r="62" spans="1:11" x14ac:dyDescent="0.3">
      <c r="A62">
        <v>18</v>
      </c>
      <c r="B62" s="1" t="s">
        <v>8</v>
      </c>
      <c r="C62">
        <v>20.8</v>
      </c>
      <c r="D62">
        <v>0</v>
      </c>
      <c r="E62" t="s">
        <v>10</v>
      </c>
      <c r="F62" t="s">
        <v>14</v>
      </c>
      <c r="G62" s="2">
        <v>1728.8969999999999</v>
      </c>
      <c r="H62" t="str" cm="1">
        <f t="array" ref="H62">_xlfn.IFS(A62&lt;=30, "Youth", A62&lt;=50, "Adult", A62&gt;50, "Older")</f>
        <v>Youth</v>
      </c>
      <c r="I62" t="str" cm="1">
        <f t="array" ref="I62">_xlfn.IFS(A62&lt;=25,"18-25",A62&lt;=35,"26-35",A62&lt;=45,"36-45",A62&lt;=60,"46-60",A62&gt;60,"60+")</f>
        <v>18-25</v>
      </c>
      <c r="J62" t="str" cm="1">
        <f t="array" ref="J62">_xlfn.IFS(C62&lt;18.5,"Underweight",C62&lt;25,"Normal",C62&lt;30,"Overweight",C62&gt;=30,"Obese")</f>
        <v>Normal</v>
      </c>
      <c r="K62" t="str" cm="1">
        <f t="array" ref="K62">_xlfn.IFS(G62&lt;10000, "Low", G62&lt;=25000, "Medium", G62&gt;25000, "High")</f>
        <v>Low</v>
      </c>
    </row>
    <row r="63" spans="1:11" x14ac:dyDescent="0.3">
      <c r="A63">
        <v>18</v>
      </c>
      <c r="B63" s="1" t="s">
        <v>8</v>
      </c>
      <c r="C63">
        <v>20.8</v>
      </c>
      <c r="D63">
        <v>0</v>
      </c>
      <c r="E63" t="s">
        <v>10</v>
      </c>
      <c r="F63" t="s">
        <v>12</v>
      </c>
      <c r="G63" s="2">
        <v>1731.6769999999999</v>
      </c>
      <c r="H63" t="str" cm="1">
        <f t="array" ref="H63">_xlfn.IFS(A63&lt;=30, "Youth", A63&lt;=50, "Adult", A63&gt;50, "Older")</f>
        <v>Youth</v>
      </c>
      <c r="I63" t="str" cm="1">
        <f t="array" ref="I63">_xlfn.IFS(A63&lt;=25,"18-25",A63&lt;=35,"26-35",A63&lt;=45,"36-45",A63&lt;=60,"46-60",A63&gt;60,"60+")</f>
        <v>18-25</v>
      </c>
      <c r="J63" t="str" cm="1">
        <f t="array" ref="J63">_xlfn.IFS(C63&lt;18.5,"Underweight",C63&lt;25,"Normal",C63&lt;30,"Overweight",C63&gt;=30,"Obese")</f>
        <v>Normal</v>
      </c>
      <c r="K63" t="str" cm="1">
        <f t="array" ref="K63">_xlfn.IFS(G63&lt;10000, "Low", G63&lt;=25000, "Medium", G63&gt;25000, "High")</f>
        <v>Low</v>
      </c>
    </row>
    <row r="64" spans="1:11" x14ac:dyDescent="0.3">
      <c r="A64">
        <v>18</v>
      </c>
      <c r="B64" s="1" t="s">
        <v>8</v>
      </c>
      <c r="C64">
        <v>20.9</v>
      </c>
      <c r="D64">
        <v>0</v>
      </c>
      <c r="E64" t="s">
        <v>10</v>
      </c>
      <c r="F64" t="s">
        <v>13</v>
      </c>
      <c r="G64" s="2">
        <v>1737.376</v>
      </c>
      <c r="H64" t="str" cm="1">
        <f t="array" ref="H64">_xlfn.IFS(A64&lt;=30, "Youth", A64&lt;=50, "Adult", A64&gt;50, "Older")</f>
        <v>Youth</v>
      </c>
      <c r="I64" t="str" cm="1">
        <f t="array" ref="I64">_xlfn.IFS(A64&lt;=25,"18-25",A64&lt;=35,"26-35",A64&lt;=45,"36-45",A64&lt;=60,"46-60",A64&gt;60,"60+")</f>
        <v>18-25</v>
      </c>
      <c r="J64" t="str" cm="1">
        <f t="array" ref="J64">_xlfn.IFS(C64&lt;18.5,"Underweight",C64&lt;25,"Normal",C64&lt;30,"Overweight",C64&gt;=30,"Obese")</f>
        <v>Normal</v>
      </c>
      <c r="K64" t="str" cm="1">
        <f t="array" ref="K64">_xlfn.IFS(G64&lt;10000, "Low", G64&lt;=25000, "Medium", G64&gt;25000, "High")</f>
        <v>Low</v>
      </c>
    </row>
    <row r="65" spans="1:11" x14ac:dyDescent="0.3">
      <c r="A65">
        <v>18</v>
      </c>
      <c r="B65" s="1" t="s">
        <v>7</v>
      </c>
      <c r="C65">
        <v>20.9</v>
      </c>
      <c r="D65">
        <v>0</v>
      </c>
      <c r="E65" t="s">
        <v>10</v>
      </c>
      <c r="F65" t="s">
        <v>13</v>
      </c>
      <c r="G65" s="2">
        <v>1743.2139999999999</v>
      </c>
      <c r="H65" t="str" cm="1">
        <f t="array" ref="H65">_xlfn.IFS(A65&lt;=30, "Youth", A65&lt;=50, "Adult", A65&gt;50, "Older")</f>
        <v>Youth</v>
      </c>
      <c r="I65" t="str" cm="1">
        <f t="array" ref="I65">_xlfn.IFS(A65&lt;=25,"18-25",A65&lt;=35,"26-35",A65&lt;=45,"36-45",A65&lt;=60,"46-60",A65&gt;60,"60+")</f>
        <v>18-25</v>
      </c>
      <c r="J65" t="str" cm="1">
        <f t="array" ref="J65">_xlfn.IFS(C65&lt;18.5,"Underweight",C65&lt;25,"Normal",C65&lt;30,"Overweight",C65&gt;=30,"Obese")</f>
        <v>Normal</v>
      </c>
      <c r="K65" t="str" cm="1">
        <f t="array" ref="K65">_xlfn.IFS(G65&lt;10000, "Low", G65&lt;=25000, "Medium", G65&gt;25000, "High")</f>
        <v>Low</v>
      </c>
    </row>
    <row r="66" spans="1:11" x14ac:dyDescent="0.3">
      <c r="A66">
        <v>18</v>
      </c>
      <c r="B66" s="1" t="s">
        <v>7</v>
      </c>
      <c r="C66">
        <v>21.01</v>
      </c>
      <c r="D66">
        <v>0</v>
      </c>
      <c r="E66" t="s">
        <v>9</v>
      </c>
      <c r="F66" t="s">
        <v>13</v>
      </c>
      <c r="G66" s="2">
        <v>1744.4649999999999</v>
      </c>
      <c r="H66" t="str" cm="1">
        <f t="array" ref="H66">_xlfn.IFS(A66&lt;=30, "Youth", A66&lt;=50, "Adult", A66&gt;50, "Older")</f>
        <v>Youth</v>
      </c>
      <c r="I66" t="str" cm="1">
        <f t="array" ref="I66">_xlfn.IFS(A66&lt;=25,"18-25",A66&lt;=35,"26-35",A66&lt;=45,"36-45",A66&lt;=60,"46-60",A66&gt;60,"60+")</f>
        <v>18-25</v>
      </c>
      <c r="J66" t="str" cm="1">
        <f t="array" ref="J66">_xlfn.IFS(C66&lt;18.5,"Underweight",C66&lt;25,"Normal",C66&lt;30,"Overweight",C66&gt;=30,"Obese")</f>
        <v>Normal</v>
      </c>
      <c r="K66" t="str" cm="1">
        <f t="array" ref="K66">_xlfn.IFS(G66&lt;10000, "Low", G66&lt;=25000, "Medium", G66&gt;25000, "High")</f>
        <v>Low</v>
      </c>
    </row>
    <row r="67" spans="1:11" x14ac:dyDescent="0.3">
      <c r="A67">
        <v>18</v>
      </c>
      <c r="B67" s="1" t="s">
        <v>7</v>
      </c>
      <c r="C67">
        <v>21.09</v>
      </c>
      <c r="D67">
        <v>0</v>
      </c>
      <c r="E67" t="s">
        <v>10</v>
      </c>
      <c r="F67" t="s">
        <v>11</v>
      </c>
      <c r="G67" s="2">
        <v>1748.7739999999999</v>
      </c>
      <c r="H67" t="str" cm="1">
        <f t="array" ref="H67">_xlfn.IFS(A67&lt;=30, "Youth", A67&lt;=50, "Adult", A67&gt;50, "Older")</f>
        <v>Youth</v>
      </c>
      <c r="I67" t="str" cm="1">
        <f t="array" ref="I67">_xlfn.IFS(A67&lt;=25,"18-25",A67&lt;=35,"26-35",A67&lt;=45,"36-45",A67&lt;=60,"46-60",A67&gt;60,"60+")</f>
        <v>18-25</v>
      </c>
      <c r="J67" t="str" cm="1">
        <f t="array" ref="J67">_xlfn.IFS(C67&lt;18.5,"Underweight",C67&lt;25,"Normal",C67&lt;30,"Overweight",C67&gt;=30,"Obese")</f>
        <v>Normal</v>
      </c>
      <c r="K67" t="str" cm="1">
        <f t="array" ref="K67">_xlfn.IFS(G67&lt;10000, "Low", G67&lt;=25000, "Medium", G67&gt;25000, "High")</f>
        <v>Low</v>
      </c>
    </row>
    <row r="68" spans="1:11" x14ac:dyDescent="0.3">
      <c r="A68">
        <v>18</v>
      </c>
      <c r="B68" s="1" t="s">
        <v>7</v>
      </c>
      <c r="C68">
        <v>21.12</v>
      </c>
      <c r="D68">
        <v>0</v>
      </c>
      <c r="E68" t="s">
        <v>10</v>
      </c>
      <c r="F68" t="s">
        <v>11</v>
      </c>
      <c r="G68" s="2">
        <v>1759.338</v>
      </c>
      <c r="H68" t="str" cm="1">
        <f t="array" ref="H68">_xlfn.IFS(A68&lt;=30, "Youth", A68&lt;=50, "Adult", A68&gt;50, "Older")</f>
        <v>Youth</v>
      </c>
      <c r="I68" t="str" cm="1">
        <f t="array" ref="I68">_xlfn.IFS(A68&lt;=25,"18-25",A68&lt;=35,"26-35",A68&lt;=45,"36-45",A68&lt;=60,"46-60",A68&gt;60,"60+")</f>
        <v>18-25</v>
      </c>
      <c r="J68" t="str" cm="1">
        <f t="array" ref="J68">_xlfn.IFS(C68&lt;18.5,"Underweight",C68&lt;25,"Normal",C68&lt;30,"Overweight",C68&gt;=30,"Obese")</f>
        <v>Normal</v>
      </c>
      <c r="K68" t="str" cm="1">
        <f t="array" ref="K68">_xlfn.IFS(G68&lt;10000, "Low", G68&lt;=25000, "Medium", G68&gt;25000, "High")</f>
        <v>Low</v>
      </c>
    </row>
    <row r="69" spans="1:11" x14ac:dyDescent="0.3">
      <c r="A69">
        <v>18</v>
      </c>
      <c r="B69" s="1" t="s">
        <v>8</v>
      </c>
      <c r="C69">
        <v>21.28</v>
      </c>
      <c r="D69">
        <v>0</v>
      </c>
      <c r="E69" t="s">
        <v>10</v>
      </c>
      <c r="F69" t="s">
        <v>13</v>
      </c>
      <c r="G69" s="2">
        <v>1769.5316499999999</v>
      </c>
      <c r="H69" t="str" cm="1">
        <f t="array" ref="H69">_xlfn.IFS(A69&lt;=30, "Youth", A69&lt;=50, "Adult", A69&gt;50, "Older")</f>
        <v>Youth</v>
      </c>
      <c r="I69" t="str" cm="1">
        <f t="array" ref="I69">_xlfn.IFS(A69&lt;=25,"18-25",A69&lt;=35,"26-35",A69&lt;=45,"36-45",A69&lt;=60,"46-60",A69&gt;60,"60+")</f>
        <v>18-25</v>
      </c>
      <c r="J69" t="str" cm="1">
        <f t="array" ref="J69">_xlfn.IFS(C69&lt;18.5,"Underweight",C69&lt;25,"Normal",C69&lt;30,"Overweight",C69&gt;=30,"Obese")</f>
        <v>Normal</v>
      </c>
      <c r="K69" t="str" cm="1">
        <f t="array" ref="K69">_xlfn.IFS(G69&lt;10000, "Low", G69&lt;=25000, "Medium", G69&gt;25000, "High")</f>
        <v>Low</v>
      </c>
    </row>
    <row r="70" spans="1:11" x14ac:dyDescent="0.3">
      <c r="A70">
        <v>18</v>
      </c>
      <c r="B70" s="1" t="s">
        <v>7</v>
      </c>
      <c r="C70">
        <v>21.3</v>
      </c>
      <c r="D70">
        <v>0</v>
      </c>
      <c r="E70" t="s">
        <v>10</v>
      </c>
      <c r="F70" t="s">
        <v>12</v>
      </c>
      <c r="G70" s="2">
        <v>1815.8759</v>
      </c>
      <c r="H70" t="str" cm="1">
        <f t="array" ref="H70">_xlfn.IFS(A70&lt;=30, "Youth", A70&lt;=50, "Adult", A70&gt;50, "Older")</f>
        <v>Youth</v>
      </c>
      <c r="I70" t="str" cm="1">
        <f t="array" ref="I70">_xlfn.IFS(A70&lt;=25,"18-25",A70&lt;=35,"26-35",A70&lt;=45,"36-45",A70&lt;=60,"46-60",A70&gt;60,"60+")</f>
        <v>18-25</v>
      </c>
      <c r="J70" t="str" cm="1">
        <f t="array" ref="J70">_xlfn.IFS(C70&lt;18.5,"Underweight",C70&lt;25,"Normal",C70&lt;30,"Overweight",C70&gt;=30,"Obese")</f>
        <v>Normal</v>
      </c>
      <c r="K70" t="str" cm="1">
        <f t="array" ref="K70">_xlfn.IFS(G70&lt;10000, "Low", G70&lt;=25000, "Medium", G70&gt;25000, "High")</f>
        <v>Low</v>
      </c>
    </row>
    <row r="71" spans="1:11" x14ac:dyDescent="0.3">
      <c r="A71">
        <v>19</v>
      </c>
      <c r="B71" s="1" t="s">
        <v>8</v>
      </c>
      <c r="C71">
        <v>21.375</v>
      </c>
      <c r="D71">
        <v>0</v>
      </c>
      <c r="E71" t="s">
        <v>9</v>
      </c>
      <c r="F71" t="s">
        <v>12</v>
      </c>
      <c r="G71" s="2">
        <v>1824.2854</v>
      </c>
      <c r="H71" t="str" cm="1">
        <f t="array" ref="H71">_xlfn.IFS(A71&lt;=30, "Youth", A71&lt;=50, "Adult", A71&gt;50, "Older")</f>
        <v>Youth</v>
      </c>
      <c r="I71" t="str" cm="1">
        <f t="array" ref="I71">_xlfn.IFS(A71&lt;=25,"18-25",A71&lt;=35,"26-35",A71&lt;=45,"36-45",A71&lt;=60,"46-60",A71&gt;60,"60+")</f>
        <v>18-25</v>
      </c>
      <c r="J71" t="str" cm="1">
        <f t="array" ref="J71">_xlfn.IFS(C71&lt;18.5,"Underweight",C71&lt;25,"Normal",C71&lt;30,"Overweight",C71&gt;=30,"Obese")</f>
        <v>Normal</v>
      </c>
      <c r="K71" t="str" cm="1">
        <f t="array" ref="K71">_xlfn.IFS(G71&lt;10000, "Low", G71&lt;=25000, "Medium", G71&gt;25000, "High")</f>
        <v>Low</v>
      </c>
    </row>
    <row r="72" spans="1:11" x14ac:dyDescent="0.3">
      <c r="A72">
        <v>19</v>
      </c>
      <c r="B72" s="1" t="s">
        <v>7</v>
      </c>
      <c r="C72">
        <v>21.375</v>
      </c>
      <c r="D72">
        <v>0</v>
      </c>
      <c r="E72" t="s">
        <v>9</v>
      </c>
      <c r="F72" t="s">
        <v>12</v>
      </c>
      <c r="G72" s="2">
        <v>1826.8430000000001</v>
      </c>
      <c r="H72" t="str" cm="1">
        <f t="array" ref="H72">_xlfn.IFS(A72&lt;=30, "Youth", A72&lt;=50, "Adult", A72&gt;50, "Older")</f>
        <v>Youth</v>
      </c>
      <c r="I72" t="str" cm="1">
        <f t="array" ref="I72">_xlfn.IFS(A72&lt;=25,"18-25",A72&lt;=35,"26-35",A72&lt;=45,"36-45",A72&lt;=60,"46-60",A72&gt;60,"60+")</f>
        <v>18-25</v>
      </c>
      <c r="J72" t="str" cm="1">
        <f t="array" ref="J72">_xlfn.IFS(C72&lt;18.5,"Underweight",C72&lt;25,"Normal",C72&lt;30,"Overweight",C72&gt;=30,"Obese")</f>
        <v>Normal</v>
      </c>
      <c r="K72" t="str" cm="1">
        <f t="array" ref="K72">_xlfn.IFS(G72&lt;10000, "Low", G72&lt;=25000, "Medium", G72&gt;25000, "High")</f>
        <v>Low</v>
      </c>
    </row>
    <row r="73" spans="1:11" x14ac:dyDescent="0.3">
      <c r="A73">
        <v>19</v>
      </c>
      <c r="B73" s="1" t="s">
        <v>8</v>
      </c>
      <c r="C73">
        <v>21.4</v>
      </c>
      <c r="D73">
        <v>0</v>
      </c>
      <c r="E73" t="s">
        <v>10</v>
      </c>
      <c r="F73" t="s">
        <v>14</v>
      </c>
      <c r="G73" s="2">
        <v>1832.0940000000001</v>
      </c>
      <c r="H73" t="str" cm="1">
        <f t="array" ref="H73">_xlfn.IFS(A73&lt;=30, "Youth", A73&lt;=50, "Adult", A73&gt;50, "Older")</f>
        <v>Youth</v>
      </c>
      <c r="I73" t="str" cm="1">
        <f t="array" ref="I73">_xlfn.IFS(A73&lt;=25,"18-25",A73&lt;=35,"26-35",A73&lt;=45,"36-45",A73&lt;=60,"46-60",A73&gt;60,"60+")</f>
        <v>18-25</v>
      </c>
      <c r="J73" t="str" cm="1">
        <f t="array" ref="J73">_xlfn.IFS(C73&lt;18.5,"Underweight",C73&lt;25,"Normal",C73&lt;30,"Overweight",C73&gt;=30,"Obese")</f>
        <v>Normal</v>
      </c>
      <c r="K73" t="str" cm="1">
        <f t="array" ref="K73">_xlfn.IFS(G73&lt;10000, "Low", G73&lt;=25000, "Medium", G73&gt;25000, "High")</f>
        <v>Low</v>
      </c>
    </row>
    <row r="74" spans="1:11" x14ac:dyDescent="0.3">
      <c r="A74">
        <v>19</v>
      </c>
      <c r="B74" s="1" t="s">
        <v>7</v>
      </c>
      <c r="C74">
        <v>21.4</v>
      </c>
      <c r="D74">
        <v>0</v>
      </c>
      <c r="E74" t="s">
        <v>10</v>
      </c>
      <c r="F74" t="s">
        <v>11</v>
      </c>
      <c r="G74" s="2">
        <v>1837.2370000000001</v>
      </c>
      <c r="H74" t="str" cm="1">
        <f t="array" ref="H74">_xlfn.IFS(A74&lt;=30, "Youth", A74&lt;=50, "Adult", A74&gt;50, "Older")</f>
        <v>Youth</v>
      </c>
      <c r="I74" t="str" cm="1">
        <f t="array" ref="I74">_xlfn.IFS(A74&lt;=25,"18-25",A74&lt;=35,"26-35",A74&lt;=45,"36-45",A74&lt;=60,"46-60",A74&gt;60,"60+")</f>
        <v>18-25</v>
      </c>
      <c r="J74" t="str" cm="1">
        <f t="array" ref="J74">_xlfn.IFS(C74&lt;18.5,"Underweight",C74&lt;25,"Normal",C74&lt;30,"Overweight",C74&gt;=30,"Obese")</f>
        <v>Normal</v>
      </c>
      <c r="K74" t="str" cm="1">
        <f t="array" ref="K74">_xlfn.IFS(G74&lt;10000, "Low", G74&lt;=25000, "Medium", G74&gt;25000, "High")</f>
        <v>Low</v>
      </c>
    </row>
    <row r="75" spans="1:11" x14ac:dyDescent="0.3">
      <c r="A75">
        <v>19</v>
      </c>
      <c r="B75" s="1" t="s">
        <v>8</v>
      </c>
      <c r="C75">
        <v>21.47</v>
      </c>
      <c r="D75">
        <v>0</v>
      </c>
      <c r="E75" t="s">
        <v>10</v>
      </c>
      <c r="F75" t="s">
        <v>12</v>
      </c>
      <c r="G75" s="2">
        <v>1837.2819</v>
      </c>
      <c r="H75" t="str" cm="1">
        <f t="array" ref="H75">_xlfn.IFS(A75&lt;=30, "Youth", A75&lt;=50, "Adult", A75&gt;50, "Older")</f>
        <v>Youth</v>
      </c>
      <c r="I75" t="str" cm="1">
        <f t="array" ref="I75">_xlfn.IFS(A75&lt;=25,"18-25",A75&lt;=35,"26-35",A75&lt;=45,"36-45",A75&lt;=60,"46-60",A75&gt;60,"60+")</f>
        <v>18-25</v>
      </c>
      <c r="J75" t="str" cm="1">
        <f t="array" ref="J75">_xlfn.IFS(C75&lt;18.5,"Underweight",C75&lt;25,"Normal",C75&lt;30,"Overweight",C75&gt;=30,"Obese")</f>
        <v>Normal</v>
      </c>
      <c r="K75" t="str" cm="1">
        <f t="array" ref="K75">_xlfn.IFS(G75&lt;10000, "Low", G75&lt;=25000, "Medium", G75&gt;25000, "High")</f>
        <v>Low</v>
      </c>
    </row>
    <row r="76" spans="1:11" x14ac:dyDescent="0.3">
      <c r="A76">
        <v>19</v>
      </c>
      <c r="B76" s="1" t="s">
        <v>8</v>
      </c>
      <c r="C76">
        <v>21.47</v>
      </c>
      <c r="D76">
        <v>0</v>
      </c>
      <c r="E76" t="s">
        <v>10</v>
      </c>
      <c r="F76" t="s">
        <v>11</v>
      </c>
      <c r="G76" s="2">
        <v>1842.519</v>
      </c>
      <c r="H76" t="str" cm="1">
        <f t="array" ref="H76">_xlfn.IFS(A76&lt;=30, "Youth", A76&lt;=50, "Adult", A76&gt;50, "Older")</f>
        <v>Youth</v>
      </c>
      <c r="I76" t="str" cm="1">
        <f t="array" ref="I76">_xlfn.IFS(A76&lt;=25,"18-25",A76&lt;=35,"26-35",A76&lt;=45,"36-45",A76&lt;=60,"46-60",A76&gt;60,"60+")</f>
        <v>18-25</v>
      </c>
      <c r="J76" t="str" cm="1">
        <f t="array" ref="J76">_xlfn.IFS(C76&lt;18.5,"Underweight",C76&lt;25,"Normal",C76&lt;30,"Overweight",C76&gt;=30,"Obese")</f>
        <v>Normal</v>
      </c>
      <c r="K76" t="str" cm="1">
        <f t="array" ref="K76">_xlfn.IFS(G76&lt;10000, "Low", G76&lt;=25000, "Medium", G76&gt;25000, "High")</f>
        <v>Low</v>
      </c>
    </row>
    <row r="77" spans="1:11" x14ac:dyDescent="0.3">
      <c r="A77">
        <v>19</v>
      </c>
      <c r="B77" s="1" t="s">
        <v>8</v>
      </c>
      <c r="C77">
        <v>21.47</v>
      </c>
      <c r="D77">
        <v>0</v>
      </c>
      <c r="E77" t="s">
        <v>10</v>
      </c>
      <c r="F77" t="s">
        <v>13</v>
      </c>
      <c r="G77" s="2">
        <v>1875.3440000000001</v>
      </c>
      <c r="H77" t="str" cm="1">
        <f t="array" ref="H77">_xlfn.IFS(A77&lt;=30, "Youth", A77&lt;=50, "Adult", A77&gt;50, "Older")</f>
        <v>Youth</v>
      </c>
      <c r="I77" t="str" cm="1">
        <f t="array" ref="I77">_xlfn.IFS(A77&lt;=25,"18-25",A77&lt;=35,"26-35",A77&lt;=45,"36-45",A77&lt;=60,"46-60",A77&gt;60,"60+")</f>
        <v>18-25</v>
      </c>
      <c r="J77" t="str" cm="1">
        <f t="array" ref="J77">_xlfn.IFS(C77&lt;18.5,"Underweight",C77&lt;25,"Normal",C77&lt;30,"Overweight",C77&gt;=30,"Obese")</f>
        <v>Normal</v>
      </c>
      <c r="K77" t="str" cm="1">
        <f t="array" ref="K77">_xlfn.IFS(G77&lt;10000, "Low", G77&lt;=25000, "Medium", G77&gt;25000, "High")</f>
        <v>Low</v>
      </c>
    </row>
    <row r="78" spans="1:11" x14ac:dyDescent="0.3">
      <c r="A78">
        <v>19</v>
      </c>
      <c r="B78" s="1" t="s">
        <v>7</v>
      </c>
      <c r="C78">
        <v>21.5</v>
      </c>
      <c r="D78">
        <v>0</v>
      </c>
      <c r="E78" t="s">
        <v>10</v>
      </c>
      <c r="F78" t="s">
        <v>12</v>
      </c>
      <c r="G78" s="2">
        <v>1877.9294</v>
      </c>
      <c r="H78" t="str" cm="1">
        <f t="array" ref="H78">_xlfn.IFS(A78&lt;=30, "Youth", A78&lt;=50, "Adult", A78&gt;50, "Older")</f>
        <v>Youth</v>
      </c>
      <c r="I78" t="str" cm="1">
        <f t="array" ref="I78">_xlfn.IFS(A78&lt;=25,"18-25",A78&lt;=35,"26-35",A78&lt;=45,"36-45",A78&lt;=60,"46-60",A78&gt;60,"60+")</f>
        <v>18-25</v>
      </c>
      <c r="J78" t="str" cm="1">
        <f t="array" ref="J78">_xlfn.IFS(C78&lt;18.5,"Underweight",C78&lt;25,"Normal",C78&lt;30,"Overweight",C78&gt;=30,"Obese")</f>
        <v>Normal</v>
      </c>
      <c r="K78" t="str" cm="1">
        <f t="array" ref="K78">_xlfn.IFS(G78&lt;10000, "Low", G78&lt;=25000, "Medium", G78&gt;25000, "High")</f>
        <v>Low</v>
      </c>
    </row>
    <row r="79" spans="1:11" x14ac:dyDescent="0.3">
      <c r="A79">
        <v>19</v>
      </c>
      <c r="B79" s="1" t="s">
        <v>8</v>
      </c>
      <c r="C79">
        <v>21.56</v>
      </c>
      <c r="D79">
        <v>0</v>
      </c>
      <c r="E79" t="s">
        <v>10</v>
      </c>
      <c r="F79" t="s">
        <v>12</v>
      </c>
      <c r="G79" s="2">
        <v>1880.07</v>
      </c>
      <c r="H79" t="str" cm="1">
        <f t="array" ref="H79">_xlfn.IFS(A79&lt;=30, "Youth", A79&lt;=50, "Adult", A79&gt;50, "Older")</f>
        <v>Youth</v>
      </c>
      <c r="I79" t="str" cm="1">
        <f t="array" ref="I79">_xlfn.IFS(A79&lt;=25,"18-25",A79&lt;=35,"26-35",A79&lt;=45,"36-45",A79&lt;=60,"46-60",A79&gt;60,"60+")</f>
        <v>18-25</v>
      </c>
      <c r="J79" t="str" cm="1">
        <f t="array" ref="J79">_xlfn.IFS(C79&lt;18.5,"Underweight",C79&lt;25,"Normal",C79&lt;30,"Overweight",C79&gt;=30,"Obese")</f>
        <v>Normal</v>
      </c>
      <c r="K79" t="str" cm="1">
        <f t="array" ref="K79">_xlfn.IFS(G79&lt;10000, "Low", G79&lt;=25000, "Medium", G79&gt;25000, "High")</f>
        <v>Low</v>
      </c>
    </row>
    <row r="80" spans="1:11" x14ac:dyDescent="0.3">
      <c r="A80">
        <v>19</v>
      </c>
      <c r="B80" s="1" t="s">
        <v>7</v>
      </c>
      <c r="C80">
        <v>21.565000000000001</v>
      </c>
      <c r="D80">
        <v>0</v>
      </c>
      <c r="E80" t="s">
        <v>10</v>
      </c>
      <c r="F80" t="s">
        <v>14</v>
      </c>
      <c r="G80" s="2">
        <v>1880.4870000000001</v>
      </c>
      <c r="H80" t="str" cm="1">
        <f t="array" ref="H80">_xlfn.IFS(A80&lt;=30, "Youth", A80&lt;=50, "Adult", A80&gt;50, "Older")</f>
        <v>Youth</v>
      </c>
      <c r="I80" t="str" cm="1">
        <f t="array" ref="I80">_xlfn.IFS(A80&lt;=25,"18-25",A80&lt;=35,"26-35",A80&lt;=45,"36-45",A80&lt;=60,"46-60",A80&gt;60,"60+")</f>
        <v>18-25</v>
      </c>
      <c r="J80" t="str" cm="1">
        <f t="array" ref="J80">_xlfn.IFS(C80&lt;18.5,"Underweight",C80&lt;25,"Normal",C80&lt;30,"Overweight",C80&gt;=30,"Obese")</f>
        <v>Normal</v>
      </c>
      <c r="K80" t="str" cm="1">
        <f t="array" ref="K80">_xlfn.IFS(G80&lt;10000, "Low", G80&lt;=25000, "Medium", G80&gt;25000, "High")</f>
        <v>Low</v>
      </c>
    </row>
    <row r="81" spans="1:11" x14ac:dyDescent="0.3">
      <c r="A81">
        <v>19</v>
      </c>
      <c r="B81" s="1" t="s">
        <v>7</v>
      </c>
      <c r="C81">
        <v>21.66</v>
      </c>
      <c r="D81">
        <v>0</v>
      </c>
      <c r="E81" t="s">
        <v>10</v>
      </c>
      <c r="F81" t="s">
        <v>13</v>
      </c>
      <c r="G81" s="2">
        <v>1906.35825</v>
      </c>
      <c r="H81" t="str" cm="1">
        <f t="array" ref="H81">_xlfn.IFS(A81&lt;=30, "Youth", A81&lt;=50, "Adult", A81&gt;50, "Older")</f>
        <v>Youth</v>
      </c>
      <c r="I81" t="str" cm="1">
        <f t="array" ref="I81">_xlfn.IFS(A81&lt;=25,"18-25",A81&lt;=35,"26-35",A81&lt;=45,"36-45",A81&lt;=60,"46-60",A81&gt;60,"60+")</f>
        <v>18-25</v>
      </c>
      <c r="J81" t="str" cm="1">
        <f t="array" ref="J81">_xlfn.IFS(C81&lt;18.5,"Underweight",C81&lt;25,"Normal",C81&lt;30,"Overweight",C81&gt;=30,"Obese")</f>
        <v>Normal</v>
      </c>
      <c r="K81" t="str" cm="1">
        <f t="array" ref="K81">_xlfn.IFS(G81&lt;10000, "Low", G81&lt;=25000, "Medium", G81&gt;25000, "High")</f>
        <v>Low</v>
      </c>
    </row>
    <row r="82" spans="1:11" x14ac:dyDescent="0.3">
      <c r="A82">
        <v>19</v>
      </c>
      <c r="B82" s="1" t="s">
        <v>8</v>
      </c>
      <c r="C82">
        <v>21.66</v>
      </c>
      <c r="D82">
        <v>0</v>
      </c>
      <c r="E82" t="s">
        <v>10</v>
      </c>
      <c r="F82" t="s">
        <v>14</v>
      </c>
      <c r="G82" s="2">
        <v>1909.52745</v>
      </c>
      <c r="H82" t="str" cm="1">
        <f t="array" ref="H82">_xlfn.IFS(A82&lt;=30, "Youth", A82&lt;=50, "Adult", A82&gt;50, "Older")</f>
        <v>Youth</v>
      </c>
      <c r="I82" t="str" cm="1">
        <f t="array" ref="I82">_xlfn.IFS(A82&lt;=25,"18-25",A82&lt;=35,"26-35",A82&lt;=45,"36-45",A82&lt;=60,"46-60",A82&gt;60,"60+")</f>
        <v>18-25</v>
      </c>
      <c r="J82" t="str" cm="1">
        <f t="array" ref="J82">_xlfn.IFS(C82&lt;18.5,"Underweight",C82&lt;25,"Normal",C82&lt;30,"Overweight",C82&gt;=30,"Obese")</f>
        <v>Normal</v>
      </c>
      <c r="K82" t="str" cm="1">
        <f t="array" ref="K82">_xlfn.IFS(G82&lt;10000, "Low", G82&lt;=25000, "Medium", G82&gt;25000, "High")</f>
        <v>Low</v>
      </c>
    </row>
    <row r="83" spans="1:11" x14ac:dyDescent="0.3">
      <c r="A83">
        <v>19</v>
      </c>
      <c r="B83" s="1" t="s">
        <v>7</v>
      </c>
      <c r="C83">
        <v>21.66</v>
      </c>
      <c r="D83">
        <v>0</v>
      </c>
      <c r="E83" t="s">
        <v>10</v>
      </c>
      <c r="F83" t="s">
        <v>14</v>
      </c>
      <c r="G83" s="2">
        <v>1917.3184000000001</v>
      </c>
      <c r="H83" t="str" cm="1">
        <f t="array" ref="H83">_xlfn.IFS(A83&lt;=30, "Youth", A83&lt;=50, "Adult", A83&gt;50, "Older")</f>
        <v>Youth</v>
      </c>
      <c r="I83" t="str" cm="1">
        <f t="array" ref="I83">_xlfn.IFS(A83&lt;=25,"18-25",A83&lt;=35,"26-35",A83&lt;=45,"36-45",A83&lt;=60,"46-60",A83&gt;60,"60+")</f>
        <v>18-25</v>
      </c>
      <c r="J83" t="str" cm="1">
        <f t="array" ref="J83">_xlfn.IFS(C83&lt;18.5,"Underweight",C83&lt;25,"Normal",C83&lt;30,"Overweight",C83&gt;=30,"Obese")</f>
        <v>Normal</v>
      </c>
      <c r="K83" t="str" cm="1">
        <f t="array" ref="K83">_xlfn.IFS(G83&lt;10000, "Low", G83&lt;=25000, "Medium", G83&gt;25000, "High")</f>
        <v>Low</v>
      </c>
    </row>
    <row r="84" spans="1:11" x14ac:dyDescent="0.3">
      <c r="A84">
        <v>19</v>
      </c>
      <c r="B84" s="1" t="s">
        <v>8</v>
      </c>
      <c r="C84">
        <v>21.7</v>
      </c>
      <c r="D84">
        <v>0</v>
      </c>
      <c r="E84" t="s">
        <v>9</v>
      </c>
      <c r="F84" t="s">
        <v>12</v>
      </c>
      <c r="G84" s="2">
        <v>1964.78</v>
      </c>
      <c r="H84" t="str" cm="1">
        <f t="array" ref="H84">_xlfn.IFS(A84&lt;=30, "Youth", A84&lt;=50, "Adult", A84&gt;50, "Older")</f>
        <v>Youth</v>
      </c>
      <c r="I84" t="str" cm="1">
        <f t="array" ref="I84">_xlfn.IFS(A84&lt;=25,"18-25",A84&lt;=35,"26-35",A84&lt;=45,"36-45",A84&lt;=60,"46-60",A84&gt;60,"60+")</f>
        <v>18-25</v>
      </c>
      <c r="J84" t="str" cm="1">
        <f t="array" ref="J84">_xlfn.IFS(C84&lt;18.5,"Underweight",C84&lt;25,"Normal",C84&lt;30,"Overweight",C84&gt;=30,"Obese")</f>
        <v>Normal</v>
      </c>
      <c r="K84" t="str" cm="1">
        <f t="array" ref="K84">_xlfn.IFS(G84&lt;10000, "Low", G84&lt;=25000, "Medium", G84&gt;25000, "High")</f>
        <v>Low</v>
      </c>
    </row>
    <row r="85" spans="1:11" x14ac:dyDescent="0.3">
      <c r="A85">
        <v>19</v>
      </c>
      <c r="B85" s="1" t="s">
        <v>7</v>
      </c>
      <c r="C85">
        <v>21.754999999999999</v>
      </c>
      <c r="D85">
        <v>0</v>
      </c>
      <c r="E85" t="s">
        <v>10</v>
      </c>
      <c r="F85" t="s">
        <v>13</v>
      </c>
      <c r="G85" s="2">
        <v>1967.0227</v>
      </c>
      <c r="H85" t="str" cm="1">
        <f t="array" ref="H85">_xlfn.IFS(A85&lt;=30, "Youth", A85&lt;=50, "Adult", A85&gt;50, "Older")</f>
        <v>Youth</v>
      </c>
      <c r="I85" t="str" cm="1">
        <f t="array" ref="I85">_xlfn.IFS(A85&lt;=25,"18-25",A85&lt;=35,"26-35",A85&lt;=45,"36-45",A85&lt;=60,"46-60",A85&gt;60,"60+")</f>
        <v>18-25</v>
      </c>
      <c r="J85" t="str" cm="1">
        <f t="array" ref="J85">_xlfn.IFS(C85&lt;18.5,"Underweight",C85&lt;25,"Normal",C85&lt;30,"Overweight",C85&gt;=30,"Obese")</f>
        <v>Normal</v>
      </c>
      <c r="K85" t="str" cm="1">
        <f t="array" ref="K85">_xlfn.IFS(G85&lt;10000, "Low", G85&lt;=25000, "Medium", G85&gt;25000, "High")</f>
        <v>Low</v>
      </c>
    </row>
    <row r="86" spans="1:11" x14ac:dyDescent="0.3">
      <c r="A86">
        <v>19</v>
      </c>
      <c r="B86" s="1" t="s">
        <v>7</v>
      </c>
      <c r="C86">
        <v>21.754999999999999</v>
      </c>
      <c r="D86">
        <v>0</v>
      </c>
      <c r="E86" t="s">
        <v>9</v>
      </c>
      <c r="F86" t="s">
        <v>11</v>
      </c>
      <c r="G86" s="2">
        <v>1969.614</v>
      </c>
      <c r="H86" t="str" cm="1">
        <f t="array" ref="H86">_xlfn.IFS(A86&lt;=30, "Youth", A86&lt;=50, "Adult", A86&gt;50, "Older")</f>
        <v>Youth</v>
      </c>
      <c r="I86" t="str" cm="1">
        <f t="array" ref="I86">_xlfn.IFS(A86&lt;=25,"18-25",A86&lt;=35,"26-35",A86&lt;=45,"36-45",A86&lt;=60,"46-60",A86&gt;60,"60+")</f>
        <v>18-25</v>
      </c>
      <c r="J86" t="str" cm="1">
        <f t="array" ref="J86">_xlfn.IFS(C86&lt;18.5,"Underweight",C86&lt;25,"Normal",C86&lt;30,"Overweight",C86&gt;=30,"Obese")</f>
        <v>Normal</v>
      </c>
      <c r="K86" t="str" cm="1">
        <f t="array" ref="K86">_xlfn.IFS(G86&lt;10000, "Low", G86&lt;=25000, "Medium", G86&gt;25000, "High")</f>
        <v>Low</v>
      </c>
    </row>
    <row r="87" spans="1:11" x14ac:dyDescent="0.3">
      <c r="A87">
        <v>19</v>
      </c>
      <c r="B87" s="1" t="s">
        <v>8</v>
      </c>
      <c r="C87">
        <v>21.754999999999999</v>
      </c>
      <c r="D87">
        <v>0</v>
      </c>
      <c r="E87" t="s">
        <v>9</v>
      </c>
      <c r="F87" t="s">
        <v>13</v>
      </c>
      <c r="G87" s="2">
        <v>1972.95</v>
      </c>
      <c r="H87" t="str" cm="1">
        <f t="array" ref="H87">_xlfn.IFS(A87&lt;=30, "Youth", A87&lt;=50, "Adult", A87&gt;50, "Older")</f>
        <v>Youth</v>
      </c>
      <c r="I87" t="str" cm="1">
        <f t="array" ref="I87">_xlfn.IFS(A87&lt;=25,"18-25",A87&lt;=35,"26-35",A87&lt;=45,"36-45",A87&lt;=60,"46-60",A87&gt;60,"60+")</f>
        <v>18-25</v>
      </c>
      <c r="J87" t="str" cm="1">
        <f t="array" ref="J87">_xlfn.IFS(C87&lt;18.5,"Underweight",C87&lt;25,"Normal",C87&lt;30,"Overweight",C87&gt;=30,"Obese")</f>
        <v>Normal</v>
      </c>
      <c r="K87" t="str" cm="1">
        <f t="array" ref="K87">_xlfn.IFS(G87&lt;10000, "Low", G87&lt;=25000, "Medium", G87&gt;25000, "High")</f>
        <v>Low</v>
      </c>
    </row>
    <row r="88" spans="1:11" x14ac:dyDescent="0.3">
      <c r="A88">
        <v>19</v>
      </c>
      <c r="B88" s="1" t="s">
        <v>7</v>
      </c>
      <c r="C88">
        <v>21.754999999999999</v>
      </c>
      <c r="D88">
        <v>0</v>
      </c>
      <c r="E88" t="s">
        <v>9</v>
      </c>
      <c r="F88" t="s">
        <v>13</v>
      </c>
      <c r="G88" s="2">
        <v>1977.8150000000001</v>
      </c>
      <c r="H88" t="str" cm="1">
        <f t="array" ref="H88">_xlfn.IFS(A88&lt;=30, "Youth", A88&lt;=50, "Adult", A88&gt;50, "Older")</f>
        <v>Youth</v>
      </c>
      <c r="I88" t="str" cm="1">
        <f t="array" ref="I88">_xlfn.IFS(A88&lt;=25,"18-25",A88&lt;=35,"26-35",A88&lt;=45,"36-45",A88&lt;=60,"46-60",A88&gt;60,"60+")</f>
        <v>18-25</v>
      </c>
      <c r="J88" t="str" cm="1">
        <f t="array" ref="J88">_xlfn.IFS(C88&lt;18.5,"Underweight",C88&lt;25,"Normal",C88&lt;30,"Overweight",C88&gt;=30,"Obese")</f>
        <v>Normal</v>
      </c>
      <c r="K88" t="str" cm="1">
        <f t="array" ref="K88">_xlfn.IFS(G88&lt;10000, "Low", G88&lt;=25000, "Medium", G88&gt;25000, "High")</f>
        <v>Low</v>
      </c>
    </row>
    <row r="89" spans="1:11" x14ac:dyDescent="0.3">
      <c r="A89">
        <v>19</v>
      </c>
      <c r="B89" s="1" t="s">
        <v>7</v>
      </c>
      <c r="C89">
        <v>21.78</v>
      </c>
      <c r="D89">
        <v>0</v>
      </c>
      <c r="E89" t="s">
        <v>10</v>
      </c>
      <c r="F89" t="s">
        <v>11</v>
      </c>
      <c r="G89" s="2">
        <v>1980.07</v>
      </c>
      <c r="H89" t="str" cm="1">
        <f t="array" ref="H89">_xlfn.IFS(A89&lt;=30, "Youth", A89&lt;=50, "Adult", A89&gt;50, "Older")</f>
        <v>Youth</v>
      </c>
      <c r="I89" t="str" cm="1">
        <f t="array" ref="I89">_xlfn.IFS(A89&lt;=25,"18-25",A89&lt;=35,"26-35",A89&lt;=45,"36-45",A89&lt;=60,"46-60",A89&gt;60,"60+")</f>
        <v>18-25</v>
      </c>
      <c r="J89" t="str" cm="1">
        <f t="array" ref="J89">_xlfn.IFS(C89&lt;18.5,"Underweight",C89&lt;25,"Normal",C89&lt;30,"Overweight",C89&gt;=30,"Obese")</f>
        <v>Normal</v>
      </c>
      <c r="K89" t="str" cm="1">
        <f t="array" ref="K89">_xlfn.IFS(G89&lt;10000, "Low", G89&lt;=25000, "Medium", G89&gt;25000, "High")</f>
        <v>Low</v>
      </c>
    </row>
    <row r="90" spans="1:11" x14ac:dyDescent="0.3">
      <c r="A90">
        <v>19</v>
      </c>
      <c r="B90" s="1" t="s">
        <v>7</v>
      </c>
      <c r="C90">
        <v>21.78</v>
      </c>
      <c r="D90">
        <v>0</v>
      </c>
      <c r="E90" t="s">
        <v>10</v>
      </c>
      <c r="F90" t="s">
        <v>13</v>
      </c>
      <c r="G90" s="2">
        <v>1981.5818999999999</v>
      </c>
      <c r="H90" t="str" cm="1">
        <f t="array" ref="H90">_xlfn.IFS(A90&lt;=30, "Youth", A90&lt;=50, "Adult", A90&gt;50, "Older")</f>
        <v>Youth</v>
      </c>
      <c r="I90" t="str" cm="1">
        <f t="array" ref="I90">_xlfn.IFS(A90&lt;=25,"18-25",A90&lt;=35,"26-35",A90&lt;=45,"36-45",A90&lt;=60,"46-60",A90&gt;60,"60+")</f>
        <v>18-25</v>
      </c>
      <c r="J90" t="str" cm="1">
        <f t="array" ref="J90">_xlfn.IFS(C90&lt;18.5,"Underweight",C90&lt;25,"Normal",C90&lt;30,"Overweight",C90&gt;=30,"Obese")</f>
        <v>Normal</v>
      </c>
      <c r="K90" t="str" cm="1">
        <f t="array" ref="K90">_xlfn.IFS(G90&lt;10000, "Low", G90&lt;=25000, "Medium", G90&gt;25000, "High")</f>
        <v>Low</v>
      </c>
    </row>
    <row r="91" spans="1:11" x14ac:dyDescent="0.3">
      <c r="A91">
        <v>19</v>
      </c>
      <c r="B91" s="1" t="s">
        <v>7</v>
      </c>
      <c r="C91">
        <v>21.8</v>
      </c>
      <c r="D91">
        <v>0</v>
      </c>
      <c r="E91" t="s">
        <v>10</v>
      </c>
      <c r="F91" t="s">
        <v>13</v>
      </c>
      <c r="G91" s="2">
        <v>1984.4532999999999</v>
      </c>
      <c r="H91" t="str" cm="1">
        <f t="array" ref="H91">_xlfn.IFS(A91&lt;=30, "Youth", A91&lt;=50, "Adult", A91&gt;50, "Older")</f>
        <v>Youth</v>
      </c>
      <c r="I91" t="str" cm="1">
        <f t="array" ref="I91">_xlfn.IFS(A91&lt;=25,"18-25",A91&lt;=35,"26-35",A91&lt;=45,"36-45",A91&lt;=60,"46-60",A91&gt;60,"60+")</f>
        <v>18-25</v>
      </c>
      <c r="J91" t="str" cm="1">
        <f t="array" ref="J91">_xlfn.IFS(C91&lt;18.5,"Underweight",C91&lt;25,"Normal",C91&lt;30,"Overweight",C91&gt;=30,"Obese")</f>
        <v>Normal</v>
      </c>
      <c r="K91" t="str" cm="1">
        <f t="array" ref="K91">_xlfn.IFS(G91&lt;10000, "Low", G91&lt;=25000, "Medium", G91&gt;25000, "High")</f>
        <v>Low</v>
      </c>
    </row>
    <row r="92" spans="1:11" x14ac:dyDescent="0.3">
      <c r="A92">
        <v>19</v>
      </c>
      <c r="B92" s="1" t="s">
        <v>7</v>
      </c>
      <c r="C92">
        <v>21.85</v>
      </c>
      <c r="D92">
        <v>0</v>
      </c>
      <c r="E92" t="s">
        <v>10</v>
      </c>
      <c r="F92" t="s">
        <v>12</v>
      </c>
      <c r="G92" s="2">
        <v>1986.9333999999999</v>
      </c>
      <c r="H92" t="str" cm="1">
        <f t="array" ref="H92">_xlfn.IFS(A92&lt;=30, "Youth", A92&lt;=50, "Adult", A92&gt;50, "Older")</f>
        <v>Youth</v>
      </c>
      <c r="I92" t="str" cm="1">
        <f t="array" ref="I92">_xlfn.IFS(A92&lt;=25,"18-25",A92&lt;=35,"26-35",A92&lt;=45,"36-45",A92&lt;=60,"46-60",A92&gt;60,"60+")</f>
        <v>18-25</v>
      </c>
      <c r="J92" t="str" cm="1">
        <f t="array" ref="J92">_xlfn.IFS(C92&lt;18.5,"Underweight",C92&lt;25,"Normal",C92&lt;30,"Overweight",C92&gt;=30,"Obese")</f>
        <v>Normal</v>
      </c>
      <c r="K92" t="str" cm="1">
        <f t="array" ref="K92">_xlfn.IFS(G92&lt;10000, "Low", G92&lt;=25000, "Medium", G92&gt;25000, "High")</f>
        <v>Low</v>
      </c>
    </row>
    <row r="93" spans="1:11" x14ac:dyDescent="0.3">
      <c r="A93">
        <v>19</v>
      </c>
      <c r="B93" s="1" t="s">
        <v>7</v>
      </c>
      <c r="C93">
        <v>21.85</v>
      </c>
      <c r="D93">
        <v>0</v>
      </c>
      <c r="E93" t="s">
        <v>10</v>
      </c>
      <c r="F93" t="s">
        <v>13</v>
      </c>
      <c r="G93" s="2">
        <v>2007.9449999999999</v>
      </c>
      <c r="H93" t="str" cm="1">
        <f t="array" ref="H93">_xlfn.IFS(A93&lt;=30, "Youth", A93&lt;=50, "Adult", A93&gt;50, "Older")</f>
        <v>Youth</v>
      </c>
      <c r="I93" t="str" cm="1">
        <f t="array" ref="I93">_xlfn.IFS(A93&lt;=25,"18-25",A93&lt;=35,"26-35",A93&lt;=45,"36-45",A93&lt;=60,"46-60",A93&gt;60,"60+")</f>
        <v>18-25</v>
      </c>
      <c r="J93" t="str" cm="1">
        <f t="array" ref="J93">_xlfn.IFS(C93&lt;18.5,"Underweight",C93&lt;25,"Normal",C93&lt;30,"Overweight",C93&gt;=30,"Obese")</f>
        <v>Normal</v>
      </c>
      <c r="K93" t="str" cm="1">
        <f t="array" ref="K93">_xlfn.IFS(G93&lt;10000, "Low", G93&lt;=25000, "Medium", G93&gt;25000, "High")</f>
        <v>Low</v>
      </c>
    </row>
    <row r="94" spans="1:11" x14ac:dyDescent="0.3">
      <c r="A94">
        <v>19</v>
      </c>
      <c r="B94" s="1" t="s">
        <v>8</v>
      </c>
      <c r="C94">
        <v>21.85</v>
      </c>
      <c r="D94">
        <v>0</v>
      </c>
      <c r="E94" t="s">
        <v>9</v>
      </c>
      <c r="F94" t="s">
        <v>14</v>
      </c>
      <c r="G94" s="2">
        <v>2020.1769999999999</v>
      </c>
      <c r="H94" t="str" cm="1">
        <f t="array" ref="H94">_xlfn.IFS(A94&lt;=30, "Youth", A94&lt;=50, "Adult", A94&gt;50, "Older")</f>
        <v>Youth</v>
      </c>
      <c r="I94" t="str" cm="1">
        <f t="array" ref="I94">_xlfn.IFS(A94&lt;=25,"18-25",A94&lt;=35,"26-35",A94&lt;=45,"36-45",A94&lt;=60,"46-60",A94&gt;60,"60+")</f>
        <v>18-25</v>
      </c>
      <c r="J94" t="str" cm="1">
        <f t="array" ref="J94">_xlfn.IFS(C94&lt;18.5,"Underweight",C94&lt;25,"Normal",C94&lt;30,"Overweight",C94&gt;=30,"Obese")</f>
        <v>Normal</v>
      </c>
      <c r="K94" t="str" cm="1">
        <f t="array" ref="K94">_xlfn.IFS(G94&lt;10000, "Low", G94&lt;=25000, "Medium", G94&gt;25000, "High")</f>
        <v>Low</v>
      </c>
    </row>
    <row r="95" spans="1:11" x14ac:dyDescent="0.3">
      <c r="A95">
        <v>19</v>
      </c>
      <c r="B95" s="1" t="s">
        <v>8</v>
      </c>
      <c r="C95">
        <v>21.85</v>
      </c>
      <c r="D95">
        <v>0</v>
      </c>
      <c r="E95" t="s">
        <v>10</v>
      </c>
      <c r="F95" t="s">
        <v>13</v>
      </c>
      <c r="G95" s="2">
        <v>2020.5523000000001</v>
      </c>
      <c r="H95" t="str" cm="1">
        <f t="array" ref="H95">_xlfn.IFS(A95&lt;=30, "Youth", A95&lt;=50, "Adult", A95&gt;50, "Older")</f>
        <v>Youth</v>
      </c>
      <c r="I95" t="str" cm="1">
        <f t="array" ref="I95">_xlfn.IFS(A95&lt;=25,"18-25",A95&lt;=35,"26-35",A95&lt;=45,"36-45",A95&lt;=60,"46-60",A95&gt;60,"60+")</f>
        <v>18-25</v>
      </c>
      <c r="J95" t="str" cm="1">
        <f t="array" ref="J95">_xlfn.IFS(C95&lt;18.5,"Underweight",C95&lt;25,"Normal",C95&lt;30,"Overweight",C95&gt;=30,"Obese")</f>
        <v>Normal</v>
      </c>
      <c r="K95" t="str" cm="1">
        <f t="array" ref="K95">_xlfn.IFS(G95&lt;10000, "Low", G95&lt;=25000, "Medium", G95&gt;25000, "High")</f>
        <v>Low</v>
      </c>
    </row>
    <row r="96" spans="1:11" x14ac:dyDescent="0.3">
      <c r="A96">
        <v>19</v>
      </c>
      <c r="B96" s="1" t="s">
        <v>7</v>
      </c>
      <c r="C96">
        <v>21.89</v>
      </c>
      <c r="D96">
        <v>0</v>
      </c>
      <c r="E96" t="s">
        <v>9</v>
      </c>
      <c r="F96" t="s">
        <v>11</v>
      </c>
      <c r="G96" s="2">
        <v>2026.9740999999999</v>
      </c>
      <c r="H96" t="str" cm="1">
        <f t="array" ref="H96">_xlfn.IFS(A96&lt;=30, "Youth", A96&lt;=50, "Adult", A96&gt;50, "Older")</f>
        <v>Youth</v>
      </c>
      <c r="I96" t="str" cm="1">
        <f t="array" ref="I96">_xlfn.IFS(A96&lt;=25,"18-25",A96&lt;=35,"26-35",A96&lt;=45,"36-45",A96&lt;=60,"46-60",A96&gt;60,"60+")</f>
        <v>18-25</v>
      </c>
      <c r="J96" t="str" cm="1">
        <f t="array" ref="J96">_xlfn.IFS(C96&lt;18.5,"Underweight",C96&lt;25,"Normal",C96&lt;30,"Overweight",C96&gt;=30,"Obese")</f>
        <v>Normal</v>
      </c>
      <c r="K96" t="str" cm="1">
        <f t="array" ref="K96">_xlfn.IFS(G96&lt;10000, "Low", G96&lt;=25000, "Medium", G96&gt;25000, "High")</f>
        <v>Low</v>
      </c>
    </row>
    <row r="97" spans="1:11" x14ac:dyDescent="0.3">
      <c r="A97">
        <v>19</v>
      </c>
      <c r="B97" s="1" t="s">
        <v>7</v>
      </c>
      <c r="C97">
        <v>21.945</v>
      </c>
      <c r="D97">
        <v>0</v>
      </c>
      <c r="E97" t="s">
        <v>10</v>
      </c>
      <c r="F97" t="s">
        <v>12</v>
      </c>
      <c r="G97" s="2">
        <v>2045.68525</v>
      </c>
      <c r="H97" t="str" cm="1">
        <f t="array" ref="H97">_xlfn.IFS(A97&lt;=30, "Youth", A97&lt;=50, "Adult", A97&gt;50, "Older")</f>
        <v>Youth</v>
      </c>
      <c r="I97" t="str" cm="1">
        <f t="array" ref="I97">_xlfn.IFS(A97&lt;=25,"18-25",A97&lt;=35,"26-35",A97&lt;=45,"36-45",A97&lt;=60,"46-60",A97&gt;60,"60+")</f>
        <v>18-25</v>
      </c>
      <c r="J97" t="str" cm="1">
        <f t="array" ref="J97">_xlfn.IFS(C97&lt;18.5,"Underweight",C97&lt;25,"Normal",C97&lt;30,"Overweight",C97&gt;=30,"Obese")</f>
        <v>Normal</v>
      </c>
      <c r="K97" t="str" cm="1">
        <f t="array" ref="K97">_xlfn.IFS(G97&lt;10000, "Low", G97&lt;=25000, "Medium", G97&gt;25000, "High")</f>
        <v>Low</v>
      </c>
    </row>
    <row r="98" spans="1:11" x14ac:dyDescent="0.3">
      <c r="A98">
        <v>19</v>
      </c>
      <c r="B98" s="1" t="s">
        <v>7</v>
      </c>
      <c r="C98">
        <v>22</v>
      </c>
      <c r="D98">
        <v>0</v>
      </c>
      <c r="E98" t="s">
        <v>10</v>
      </c>
      <c r="F98" t="s">
        <v>11</v>
      </c>
      <c r="G98" s="2">
        <v>2055.3249000000001</v>
      </c>
      <c r="H98" t="str" cm="1">
        <f t="array" ref="H98">_xlfn.IFS(A98&lt;=30, "Youth", A98&lt;=50, "Adult", A98&gt;50, "Older")</f>
        <v>Youth</v>
      </c>
      <c r="I98" t="str" cm="1">
        <f t="array" ref="I98">_xlfn.IFS(A98&lt;=25,"18-25",A98&lt;=35,"26-35",A98&lt;=45,"36-45",A98&lt;=60,"46-60",A98&gt;60,"60+")</f>
        <v>18-25</v>
      </c>
      <c r="J98" t="str" cm="1">
        <f t="array" ref="J98">_xlfn.IFS(C98&lt;18.5,"Underweight",C98&lt;25,"Normal",C98&lt;30,"Overweight",C98&gt;=30,"Obese")</f>
        <v>Normal</v>
      </c>
      <c r="K98" t="str" cm="1">
        <f t="array" ref="K98">_xlfn.IFS(G98&lt;10000, "Low", G98&lt;=25000, "Medium", G98&gt;25000, "High")</f>
        <v>Low</v>
      </c>
    </row>
    <row r="99" spans="1:11" x14ac:dyDescent="0.3">
      <c r="A99">
        <v>19</v>
      </c>
      <c r="B99" s="1" t="s">
        <v>8</v>
      </c>
      <c r="C99">
        <v>22.04</v>
      </c>
      <c r="D99">
        <v>0</v>
      </c>
      <c r="E99" t="s">
        <v>10</v>
      </c>
      <c r="F99" t="s">
        <v>12</v>
      </c>
      <c r="G99" s="2">
        <v>2102.2647000000002</v>
      </c>
      <c r="H99" t="str" cm="1">
        <f t="array" ref="H99">_xlfn.IFS(A99&lt;=30, "Youth", A99&lt;=50, "Adult", A99&gt;50, "Older")</f>
        <v>Youth</v>
      </c>
      <c r="I99" t="str" cm="1">
        <f t="array" ref="I99">_xlfn.IFS(A99&lt;=25,"18-25",A99&lt;=35,"26-35",A99&lt;=45,"36-45",A99&lt;=60,"46-60",A99&gt;60,"60+")</f>
        <v>18-25</v>
      </c>
      <c r="J99" t="str" cm="1">
        <f t="array" ref="J99">_xlfn.IFS(C99&lt;18.5,"Underweight",C99&lt;25,"Normal",C99&lt;30,"Overweight",C99&gt;=30,"Obese")</f>
        <v>Normal</v>
      </c>
      <c r="K99" t="str" cm="1">
        <f t="array" ref="K99">_xlfn.IFS(G99&lt;10000, "Low", G99&lt;=25000, "Medium", G99&gt;25000, "High")</f>
        <v>Low</v>
      </c>
    </row>
    <row r="100" spans="1:11" x14ac:dyDescent="0.3">
      <c r="A100">
        <v>19</v>
      </c>
      <c r="B100" s="1" t="s">
        <v>8</v>
      </c>
      <c r="C100">
        <v>22.1</v>
      </c>
      <c r="D100">
        <v>0</v>
      </c>
      <c r="E100" t="s">
        <v>9</v>
      </c>
      <c r="F100" t="s">
        <v>14</v>
      </c>
      <c r="G100" s="2">
        <v>2103.08</v>
      </c>
      <c r="H100" t="str" cm="1">
        <f t="array" ref="H100">_xlfn.IFS(A100&lt;=30, "Youth", A100&lt;=50, "Adult", A100&gt;50, "Older")</f>
        <v>Youth</v>
      </c>
      <c r="I100" t="str" cm="1">
        <f t="array" ref="I100">_xlfn.IFS(A100&lt;=25,"18-25",A100&lt;=35,"26-35",A100&lt;=45,"36-45",A100&lt;=60,"46-60",A100&gt;60,"60+")</f>
        <v>18-25</v>
      </c>
      <c r="J100" t="str" cm="1">
        <f t="array" ref="J100">_xlfn.IFS(C100&lt;18.5,"Underweight",C100&lt;25,"Normal",C100&lt;30,"Overweight",C100&gt;=30,"Obese")</f>
        <v>Normal</v>
      </c>
      <c r="K100" t="str" cm="1">
        <f t="array" ref="K100">_xlfn.IFS(G100&lt;10000, "Low", G100&lt;=25000, "Medium", G100&gt;25000, "High")</f>
        <v>Low</v>
      </c>
    </row>
    <row r="101" spans="1:11" x14ac:dyDescent="0.3">
      <c r="A101">
        <v>19</v>
      </c>
      <c r="B101" s="1" t="s">
        <v>8</v>
      </c>
      <c r="C101">
        <v>22.135000000000002</v>
      </c>
      <c r="D101">
        <v>0</v>
      </c>
      <c r="E101" t="s">
        <v>9</v>
      </c>
      <c r="F101" t="s">
        <v>11</v>
      </c>
      <c r="G101" s="2">
        <v>2104.1134000000002</v>
      </c>
      <c r="H101" t="str" cm="1">
        <f t="array" ref="H101">_xlfn.IFS(A101&lt;=30, "Youth", A101&lt;=50, "Adult", A101&gt;50, "Older")</f>
        <v>Youth</v>
      </c>
      <c r="I101" t="str" cm="1">
        <f t="array" ref="I101">_xlfn.IFS(A101&lt;=25,"18-25",A101&lt;=35,"26-35",A101&lt;=45,"36-45",A101&lt;=60,"46-60",A101&gt;60,"60+")</f>
        <v>18-25</v>
      </c>
      <c r="J101" t="str" cm="1">
        <f t="array" ref="J101">_xlfn.IFS(C101&lt;18.5,"Underweight",C101&lt;25,"Normal",C101&lt;30,"Overweight",C101&gt;=30,"Obese")</f>
        <v>Normal</v>
      </c>
      <c r="K101" t="str" cm="1">
        <f t="array" ref="K101">_xlfn.IFS(G101&lt;10000, "Low", G101&lt;=25000, "Medium", G101&gt;25000, "High")</f>
        <v>Low</v>
      </c>
    </row>
    <row r="102" spans="1:11" x14ac:dyDescent="0.3">
      <c r="A102">
        <v>19</v>
      </c>
      <c r="B102" s="1" t="s">
        <v>7</v>
      </c>
      <c r="C102">
        <v>22.135000000000002</v>
      </c>
      <c r="D102">
        <v>0</v>
      </c>
      <c r="E102" t="s">
        <v>10</v>
      </c>
      <c r="F102" t="s">
        <v>11</v>
      </c>
      <c r="G102" s="2">
        <v>2117.3388500000001</v>
      </c>
      <c r="H102" t="str" cm="1">
        <f t="array" ref="H102">_xlfn.IFS(A102&lt;=30, "Youth", A102&lt;=50, "Adult", A102&gt;50, "Older")</f>
        <v>Youth</v>
      </c>
      <c r="I102" t="str" cm="1">
        <f t="array" ref="I102">_xlfn.IFS(A102&lt;=25,"18-25",A102&lt;=35,"26-35",A102&lt;=45,"36-45",A102&lt;=60,"46-60",A102&gt;60,"60+")</f>
        <v>18-25</v>
      </c>
      <c r="J102" t="str" cm="1">
        <f t="array" ref="J102">_xlfn.IFS(C102&lt;18.5,"Underweight",C102&lt;25,"Normal",C102&lt;30,"Overweight",C102&gt;=30,"Obese")</f>
        <v>Normal</v>
      </c>
      <c r="K102" t="str" cm="1">
        <f t="array" ref="K102">_xlfn.IFS(G102&lt;10000, "Low", G102&lt;=25000, "Medium", G102&gt;25000, "High")</f>
        <v>Low</v>
      </c>
    </row>
    <row r="103" spans="1:11" x14ac:dyDescent="0.3">
      <c r="A103">
        <v>19</v>
      </c>
      <c r="B103" s="1" t="s">
        <v>8</v>
      </c>
      <c r="C103">
        <v>22.135000000000002</v>
      </c>
      <c r="D103">
        <v>0</v>
      </c>
      <c r="E103" t="s">
        <v>10</v>
      </c>
      <c r="F103" t="s">
        <v>14</v>
      </c>
      <c r="G103" s="2">
        <v>2128.4310500000001</v>
      </c>
      <c r="H103" t="str" cm="1">
        <f t="array" ref="H103">_xlfn.IFS(A103&lt;=30, "Youth", A103&lt;=50, "Adult", A103&gt;50, "Older")</f>
        <v>Youth</v>
      </c>
      <c r="I103" t="str" cm="1">
        <f t="array" ref="I103">_xlfn.IFS(A103&lt;=25,"18-25",A103&lt;=35,"26-35",A103&lt;=45,"36-45",A103&lt;=60,"46-60",A103&gt;60,"60+")</f>
        <v>18-25</v>
      </c>
      <c r="J103" t="str" cm="1">
        <f t="array" ref="J103">_xlfn.IFS(C103&lt;18.5,"Underweight",C103&lt;25,"Normal",C103&lt;30,"Overweight",C103&gt;=30,"Obese")</f>
        <v>Normal</v>
      </c>
      <c r="K103" t="str" cm="1">
        <f t="array" ref="K103">_xlfn.IFS(G103&lt;10000, "Low", G103&lt;=25000, "Medium", G103&gt;25000, "High")</f>
        <v>Low</v>
      </c>
    </row>
    <row r="104" spans="1:11" x14ac:dyDescent="0.3">
      <c r="A104">
        <v>19</v>
      </c>
      <c r="B104" s="1" t="s">
        <v>7</v>
      </c>
      <c r="C104">
        <v>22.135000000000002</v>
      </c>
      <c r="D104">
        <v>0</v>
      </c>
      <c r="E104" t="s">
        <v>10</v>
      </c>
      <c r="F104" t="s">
        <v>14</v>
      </c>
      <c r="G104" s="2">
        <v>2130.6759000000002</v>
      </c>
      <c r="H104" t="str" cm="1">
        <f t="array" ref="H104">_xlfn.IFS(A104&lt;=30, "Youth", A104&lt;=50, "Adult", A104&gt;50, "Older")</f>
        <v>Youth</v>
      </c>
      <c r="I104" t="str" cm="1">
        <f t="array" ref="I104">_xlfn.IFS(A104&lt;=25,"18-25",A104&lt;=35,"26-35",A104&lt;=45,"36-45",A104&lt;=60,"46-60",A104&gt;60,"60+")</f>
        <v>18-25</v>
      </c>
      <c r="J104" t="str" cm="1">
        <f t="array" ref="J104">_xlfn.IFS(C104&lt;18.5,"Underweight",C104&lt;25,"Normal",C104&lt;30,"Overweight",C104&gt;=30,"Obese")</f>
        <v>Normal</v>
      </c>
      <c r="K104" t="str" cm="1">
        <f t="array" ref="K104">_xlfn.IFS(G104&lt;10000, "Low", G104&lt;=25000, "Medium", G104&gt;25000, "High")</f>
        <v>Low</v>
      </c>
    </row>
    <row r="105" spans="1:11" x14ac:dyDescent="0.3">
      <c r="A105">
        <v>19</v>
      </c>
      <c r="B105" s="1" t="s">
        <v>7</v>
      </c>
      <c r="C105">
        <v>22.22</v>
      </c>
      <c r="D105">
        <v>0</v>
      </c>
      <c r="E105" t="s">
        <v>9</v>
      </c>
      <c r="F105" t="s">
        <v>12</v>
      </c>
      <c r="G105" s="2">
        <v>2134.9014999999999</v>
      </c>
      <c r="H105" t="str" cm="1">
        <f t="array" ref="H105">_xlfn.IFS(A105&lt;=30, "Youth", A105&lt;=50, "Adult", A105&gt;50, "Older")</f>
        <v>Youth</v>
      </c>
      <c r="I105" t="str" cm="1">
        <f t="array" ref="I105">_xlfn.IFS(A105&lt;=25,"18-25",A105&lt;=35,"26-35",A105&lt;=45,"36-45",A105&lt;=60,"46-60",A105&gt;60,"60+")</f>
        <v>18-25</v>
      </c>
      <c r="J105" t="str" cm="1">
        <f t="array" ref="J105">_xlfn.IFS(C105&lt;18.5,"Underweight",C105&lt;25,"Normal",C105&lt;30,"Overweight",C105&gt;=30,"Obese")</f>
        <v>Normal</v>
      </c>
      <c r="K105" t="str" cm="1">
        <f t="array" ref="K105">_xlfn.IFS(G105&lt;10000, "Low", G105&lt;=25000, "Medium", G105&gt;25000, "High")</f>
        <v>Low</v>
      </c>
    </row>
    <row r="106" spans="1:11" x14ac:dyDescent="0.3">
      <c r="A106">
        <v>19</v>
      </c>
      <c r="B106" s="1" t="s">
        <v>7</v>
      </c>
      <c r="C106">
        <v>22.23</v>
      </c>
      <c r="D106">
        <v>0</v>
      </c>
      <c r="E106" t="s">
        <v>10</v>
      </c>
      <c r="F106" t="s">
        <v>11</v>
      </c>
      <c r="G106" s="2">
        <v>2136.8822500000001</v>
      </c>
      <c r="H106" t="str" cm="1">
        <f t="array" ref="H106">_xlfn.IFS(A106&lt;=30, "Youth", A106&lt;=50, "Adult", A106&gt;50, "Older")</f>
        <v>Youth</v>
      </c>
      <c r="I106" t="str" cm="1">
        <f t="array" ref="I106">_xlfn.IFS(A106&lt;=25,"18-25",A106&lt;=35,"26-35",A106&lt;=45,"36-45",A106&lt;=60,"46-60",A106&gt;60,"60+")</f>
        <v>18-25</v>
      </c>
      <c r="J106" t="str" cm="1">
        <f t="array" ref="J106">_xlfn.IFS(C106&lt;18.5,"Underweight",C106&lt;25,"Normal",C106&lt;30,"Overweight",C106&gt;=30,"Obese")</f>
        <v>Normal</v>
      </c>
      <c r="K106" t="str" cm="1">
        <f t="array" ref="K106">_xlfn.IFS(G106&lt;10000, "Low", G106&lt;=25000, "Medium", G106&gt;25000, "High")</f>
        <v>Low</v>
      </c>
    </row>
    <row r="107" spans="1:11" x14ac:dyDescent="0.3">
      <c r="A107">
        <v>19</v>
      </c>
      <c r="B107" s="1" t="s">
        <v>8</v>
      </c>
      <c r="C107">
        <v>22.23</v>
      </c>
      <c r="D107">
        <v>0</v>
      </c>
      <c r="E107" t="s">
        <v>9</v>
      </c>
      <c r="F107" t="s">
        <v>13</v>
      </c>
      <c r="G107" s="2">
        <v>2137.6536000000001</v>
      </c>
      <c r="H107" t="str" cm="1">
        <f t="array" ref="H107">_xlfn.IFS(A107&lt;=30, "Youth", A107&lt;=50, "Adult", A107&gt;50, "Older")</f>
        <v>Youth</v>
      </c>
      <c r="I107" t="str" cm="1">
        <f t="array" ref="I107">_xlfn.IFS(A107&lt;=25,"18-25",A107&lt;=35,"26-35",A107&lt;=45,"36-45",A107&lt;=60,"46-60",A107&gt;60,"60+")</f>
        <v>18-25</v>
      </c>
      <c r="J107" t="str" cm="1">
        <f t="array" ref="J107">_xlfn.IFS(C107&lt;18.5,"Underweight",C107&lt;25,"Normal",C107&lt;30,"Overweight",C107&gt;=30,"Obese")</f>
        <v>Normal</v>
      </c>
      <c r="K107" t="str" cm="1">
        <f t="array" ref="K107">_xlfn.IFS(G107&lt;10000, "Low", G107&lt;=25000, "Medium", G107&gt;25000, "High")</f>
        <v>Low</v>
      </c>
    </row>
    <row r="108" spans="1:11" x14ac:dyDescent="0.3">
      <c r="A108">
        <v>19</v>
      </c>
      <c r="B108" s="1" t="s">
        <v>7</v>
      </c>
      <c r="C108">
        <v>22.3</v>
      </c>
      <c r="D108">
        <v>0</v>
      </c>
      <c r="E108" t="s">
        <v>10</v>
      </c>
      <c r="F108" t="s">
        <v>11</v>
      </c>
      <c r="G108" s="2">
        <v>2138.0707000000002</v>
      </c>
      <c r="H108" t="str" cm="1">
        <f t="array" ref="H108">_xlfn.IFS(A108&lt;=30, "Youth", A108&lt;=50, "Adult", A108&gt;50, "Older")</f>
        <v>Youth</v>
      </c>
      <c r="I108" t="str" cm="1">
        <f t="array" ref="I108">_xlfn.IFS(A108&lt;=25,"18-25",A108&lt;=35,"26-35",A108&lt;=45,"36-45",A108&lt;=60,"46-60",A108&gt;60,"60+")</f>
        <v>18-25</v>
      </c>
      <c r="J108" t="str" cm="1">
        <f t="array" ref="J108">_xlfn.IFS(C108&lt;18.5,"Underweight",C108&lt;25,"Normal",C108&lt;30,"Overweight",C108&gt;=30,"Obese")</f>
        <v>Normal</v>
      </c>
      <c r="K108" t="str" cm="1">
        <f t="array" ref="K108">_xlfn.IFS(G108&lt;10000, "Low", G108&lt;=25000, "Medium", G108&gt;25000, "High")</f>
        <v>Low</v>
      </c>
    </row>
    <row r="109" spans="1:11" x14ac:dyDescent="0.3">
      <c r="A109">
        <v>19</v>
      </c>
      <c r="B109" s="1" t="s">
        <v>8</v>
      </c>
      <c r="C109">
        <v>22.3</v>
      </c>
      <c r="D109">
        <v>0</v>
      </c>
      <c r="E109" t="s">
        <v>10</v>
      </c>
      <c r="F109" t="s">
        <v>13</v>
      </c>
      <c r="G109" s="2">
        <v>2150.4690000000001</v>
      </c>
      <c r="H109" t="str" cm="1">
        <f t="array" ref="H109">_xlfn.IFS(A109&lt;=30, "Youth", A109&lt;=50, "Adult", A109&gt;50, "Older")</f>
        <v>Youth</v>
      </c>
      <c r="I109" t="str" cm="1">
        <f t="array" ref="I109">_xlfn.IFS(A109&lt;=25,"18-25",A109&lt;=35,"26-35",A109&lt;=45,"36-45",A109&lt;=60,"46-60",A109&gt;60,"60+")</f>
        <v>18-25</v>
      </c>
      <c r="J109" t="str" cm="1">
        <f t="array" ref="J109">_xlfn.IFS(C109&lt;18.5,"Underweight",C109&lt;25,"Normal",C109&lt;30,"Overweight",C109&gt;=30,"Obese")</f>
        <v>Normal</v>
      </c>
      <c r="K109" t="str" cm="1">
        <f t="array" ref="K109">_xlfn.IFS(G109&lt;10000, "Low", G109&lt;=25000, "Medium", G109&gt;25000, "High")</f>
        <v>Low</v>
      </c>
    </row>
    <row r="110" spans="1:11" x14ac:dyDescent="0.3">
      <c r="A110">
        <v>19</v>
      </c>
      <c r="B110" s="1" t="s">
        <v>8</v>
      </c>
      <c r="C110">
        <v>22.42</v>
      </c>
      <c r="D110">
        <v>0</v>
      </c>
      <c r="E110" t="s">
        <v>10</v>
      </c>
      <c r="F110" t="s">
        <v>12</v>
      </c>
      <c r="G110" s="2">
        <v>2154.3609999999999</v>
      </c>
      <c r="H110" t="str" cm="1">
        <f t="array" ref="H110">_xlfn.IFS(A110&lt;=30, "Youth", A110&lt;=50, "Adult", A110&gt;50, "Older")</f>
        <v>Youth</v>
      </c>
      <c r="I110" t="str" cm="1">
        <f t="array" ref="I110">_xlfn.IFS(A110&lt;=25,"18-25",A110&lt;=35,"26-35",A110&lt;=45,"36-45",A110&lt;=60,"46-60",A110&gt;60,"60+")</f>
        <v>18-25</v>
      </c>
      <c r="J110" t="str" cm="1">
        <f t="array" ref="J110">_xlfn.IFS(C110&lt;18.5,"Underweight",C110&lt;25,"Normal",C110&lt;30,"Overweight",C110&gt;=30,"Obese")</f>
        <v>Normal</v>
      </c>
      <c r="K110" t="str" cm="1">
        <f t="array" ref="K110">_xlfn.IFS(G110&lt;10000, "Low", G110&lt;=25000, "Medium", G110&gt;25000, "High")</f>
        <v>Low</v>
      </c>
    </row>
    <row r="111" spans="1:11" x14ac:dyDescent="0.3">
      <c r="A111">
        <v>19</v>
      </c>
      <c r="B111" s="1" t="s">
        <v>8</v>
      </c>
      <c r="C111">
        <v>22.42</v>
      </c>
      <c r="D111">
        <v>0</v>
      </c>
      <c r="E111" t="s">
        <v>9</v>
      </c>
      <c r="F111" t="s">
        <v>12</v>
      </c>
      <c r="G111" s="2">
        <v>2155.6815000000001</v>
      </c>
      <c r="H111" t="str" cm="1">
        <f t="array" ref="H111">_xlfn.IFS(A111&lt;=30, "Youth", A111&lt;=50, "Adult", A111&gt;50, "Older")</f>
        <v>Youth</v>
      </c>
      <c r="I111" t="str" cm="1">
        <f t="array" ref="I111">_xlfn.IFS(A111&lt;=25,"18-25",A111&lt;=35,"26-35",A111&lt;=45,"36-45",A111&lt;=60,"46-60",A111&gt;60,"60+")</f>
        <v>18-25</v>
      </c>
      <c r="J111" t="str" cm="1">
        <f t="array" ref="J111">_xlfn.IFS(C111&lt;18.5,"Underweight",C111&lt;25,"Normal",C111&lt;30,"Overweight",C111&gt;=30,"Obese")</f>
        <v>Normal</v>
      </c>
      <c r="K111" t="str" cm="1">
        <f t="array" ref="K111">_xlfn.IFS(G111&lt;10000, "Low", G111&lt;=25000, "Medium", G111&gt;25000, "High")</f>
        <v>Low</v>
      </c>
    </row>
    <row r="112" spans="1:11" x14ac:dyDescent="0.3">
      <c r="A112">
        <v>19</v>
      </c>
      <c r="B112" s="1" t="s">
        <v>8</v>
      </c>
      <c r="C112">
        <v>22.42</v>
      </c>
      <c r="D112">
        <v>0</v>
      </c>
      <c r="E112" t="s">
        <v>10</v>
      </c>
      <c r="F112" t="s">
        <v>13</v>
      </c>
      <c r="G112" s="2">
        <v>2156.7518</v>
      </c>
      <c r="H112" t="str" cm="1">
        <f t="array" ref="H112">_xlfn.IFS(A112&lt;=30, "Youth", A112&lt;=50, "Adult", A112&gt;50, "Older")</f>
        <v>Youth</v>
      </c>
      <c r="I112" t="str" cm="1">
        <f t="array" ref="I112">_xlfn.IFS(A112&lt;=25,"18-25",A112&lt;=35,"26-35",A112&lt;=45,"36-45",A112&lt;=60,"46-60",A112&gt;60,"60+")</f>
        <v>18-25</v>
      </c>
      <c r="J112" t="str" cm="1">
        <f t="array" ref="J112">_xlfn.IFS(C112&lt;18.5,"Underweight",C112&lt;25,"Normal",C112&lt;30,"Overweight",C112&gt;=30,"Obese")</f>
        <v>Normal</v>
      </c>
      <c r="K112" t="str" cm="1">
        <f t="array" ref="K112">_xlfn.IFS(G112&lt;10000, "Low", G112&lt;=25000, "Medium", G112&gt;25000, "High")</f>
        <v>Low</v>
      </c>
    </row>
    <row r="113" spans="1:11" x14ac:dyDescent="0.3">
      <c r="A113">
        <v>19</v>
      </c>
      <c r="B113" s="1" t="s">
        <v>7</v>
      </c>
      <c r="C113">
        <v>22.515000000000001</v>
      </c>
      <c r="D113">
        <v>0</v>
      </c>
      <c r="E113" t="s">
        <v>10</v>
      </c>
      <c r="F113" t="s">
        <v>11</v>
      </c>
      <c r="G113" s="2">
        <v>2166.732</v>
      </c>
      <c r="H113" t="str" cm="1">
        <f t="array" ref="H113">_xlfn.IFS(A113&lt;=30, "Youth", A113&lt;=50, "Adult", A113&gt;50, "Older")</f>
        <v>Youth</v>
      </c>
      <c r="I113" t="str" cm="1">
        <f t="array" ref="I113">_xlfn.IFS(A113&lt;=25,"18-25",A113&lt;=35,"26-35",A113&lt;=45,"36-45",A113&lt;=60,"46-60",A113&gt;60,"60+")</f>
        <v>18-25</v>
      </c>
      <c r="J113" t="str" cm="1">
        <f t="array" ref="J113">_xlfn.IFS(C113&lt;18.5,"Underweight",C113&lt;25,"Normal",C113&lt;30,"Overweight",C113&gt;=30,"Obese")</f>
        <v>Normal</v>
      </c>
      <c r="K113" t="str" cm="1">
        <f t="array" ref="K113">_xlfn.IFS(G113&lt;10000, "Low", G113&lt;=25000, "Medium", G113&gt;25000, "High")</f>
        <v>Low</v>
      </c>
    </row>
    <row r="114" spans="1:11" x14ac:dyDescent="0.3">
      <c r="A114">
        <v>19</v>
      </c>
      <c r="B114" s="1" t="s">
        <v>8</v>
      </c>
      <c r="C114">
        <v>22.515000000000001</v>
      </c>
      <c r="D114">
        <v>0</v>
      </c>
      <c r="E114" t="s">
        <v>10</v>
      </c>
      <c r="F114" t="s">
        <v>11</v>
      </c>
      <c r="G114" s="2">
        <v>2196.4731999999999</v>
      </c>
      <c r="H114" t="str" cm="1">
        <f t="array" ref="H114">_xlfn.IFS(A114&lt;=30, "Youth", A114&lt;=50, "Adult", A114&gt;50, "Older")</f>
        <v>Youth</v>
      </c>
      <c r="I114" t="str" cm="1">
        <f t="array" ref="I114">_xlfn.IFS(A114&lt;=25,"18-25",A114&lt;=35,"26-35",A114&lt;=45,"36-45",A114&lt;=60,"46-60",A114&gt;60,"60+")</f>
        <v>18-25</v>
      </c>
      <c r="J114" t="str" cm="1">
        <f t="array" ref="J114">_xlfn.IFS(C114&lt;18.5,"Underweight",C114&lt;25,"Normal",C114&lt;30,"Overweight",C114&gt;=30,"Obese")</f>
        <v>Normal</v>
      </c>
      <c r="K114" t="str" cm="1">
        <f t="array" ref="K114">_xlfn.IFS(G114&lt;10000, "Low", G114&lt;=25000, "Medium", G114&gt;25000, "High")</f>
        <v>Low</v>
      </c>
    </row>
    <row r="115" spans="1:11" x14ac:dyDescent="0.3">
      <c r="A115">
        <v>19</v>
      </c>
      <c r="B115" s="1" t="s">
        <v>7</v>
      </c>
      <c r="C115">
        <v>22.515000000000001</v>
      </c>
      <c r="D115">
        <v>0</v>
      </c>
      <c r="E115" t="s">
        <v>10</v>
      </c>
      <c r="F115" t="s">
        <v>13</v>
      </c>
      <c r="G115" s="2">
        <v>2198.1898500000002</v>
      </c>
      <c r="H115" t="str" cm="1">
        <f t="array" ref="H115">_xlfn.IFS(A115&lt;=30, "Youth", A115&lt;=50, "Adult", A115&gt;50, "Older")</f>
        <v>Youth</v>
      </c>
      <c r="I115" t="str" cm="1">
        <f t="array" ref="I115">_xlfn.IFS(A115&lt;=25,"18-25",A115&lt;=35,"26-35",A115&lt;=45,"36-45",A115&lt;=60,"46-60",A115&gt;60,"60+")</f>
        <v>18-25</v>
      </c>
      <c r="J115" t="str" cm="1">
        <f t="array" ref="J115">_xlfn.IFS(C115&lt;18.5,"Underweight",C115&lt;25,"Normal",C115&lt;30,"Overweight",C115&gt;=30,"Obese")</f>
        <v>Normal</v>
      </c>
      <c r="K115" t="str" cm="1">
        <f t="array" ref="K115">_xlfn.IFS(G115&lt;10000, "Low", G115&lt;=25000, "Medium", G115&gt;25000, "High")</f>
        <v>Low</v>
      </c>
    </row>
    <row r="116" spans="1:11" x14ac:dyDescent="0.3">
      <c r="A116">
        <v>19</v>
      </c>
      <c r="B116" s="1" t="s">
        <v>8</v>
      </c>
      <c r="C116">
        <v>22.515000000000001</v>
      </c>
      <c r="D116">
        <v>0</v>
      </c>
      <c r="E116" t="s">
        <v>10</v>
      </c>
      <c r="F116" t="s">
        <v>14</v>
      </c>
      <c r="G116" s="2">
        <v>2200.8308499999998</v>
      </c>
      <c r="H116" t="str" cm="1">
        <f t="array" ref="H116">_xlfn.IFS(A116&lt;=30, "Youth", A116&lt;=50, "Adult", A116&gt;50, "Older")</f>
        <v>Youth</v>
      </c>
      <c r="I116" t="str" cm="1">
        <f t="array" ref="I116">_xlfn.IFS(A116&lt;=25,"18-25",A116&lt;=35,"26-35",A116&lt;=45,"36-45",A116&lt;=60,"46-60",A116&gt;60,"60+")</f>
        <v>18-25</v>
      </c>
      <c r="J116" t="str" cm="1">
        <f t="array" ref="J116">_xlfn.IFS(C116&lt;18.5,"Underweight",C116&lt;25,"Normal",C116&lt;30,"Overweight",C116&gt;=30,"Obese")</f>
        <v>Normal</v>
      </c>
      <c r="K116" t="str" cm="1">
        <f t="array" ref="K116">_xlfn.IFS(G116&lt;10000, "Low", G116&lt;=25000, "Medium", G116&gt;25000, "High")</f>
        <v>Low</v>
      </c>
    </row>
    <row r="117" spans="1:11" x14ac:dyDescent="0.3">
      <c r="A117">
        <v>19</v>
      </c>
      <c r="B117" s="1" t="s">
        <v>8</v>
      </c>
      <c r="C117">
        <v>22.515000000000001</v>
      </c>
      <c r="D117">
        <v>0</v>
      </c>
      <c r="E117" t="s">
        <v>10</v>
      </c>
      <c r="F117" t="s">
        <v>14</v>
      </c>
      <c r="G117" s="2">
        <v>2201.0971</v>
      </c>
      <c r="H117" t="str" cm="1">
        <f t="array" ref="H117">_xlfn.IFS(A117&lt;=30, "Youth", A117&lt;=50, "Adult", A117&gt;50, "Older")</f>
        <v>Youth</v>
      </c>
      <c r="I117" t="str" cm="1">
        <f t="array" ref="I117">_xlfn.IFS(A117&lt;=25,"18-25",A117&lt;=35,"26-35",A117&lt;=45,"36-45",A117&lt;=60,"46-60",A117&gt;60,"60+")</f>
        <v>18-25</v>
      </c>
      <c r="J117" t="str" cm="1">
        <f t="array" ref="J117">_xlfn.IFS(C117&lt;18.5,"Underweight",C117&lt;25,"Normal",C117&lt;30,"Overweight",C117&gt;=30,"Obese")</f>
        <v>Normal</v>
      </c>
      <c r="K117" t="str" cm="1">
        <f t="array" ref="K117">_xlfn.IFS(G117&lt;10000, "Low", G117&lt;=25000, "Medium", G117&gt;25000, "High")</f>
        <v>Low</v>
      </c>
    </row>
    <row r="118" spans="1:11" x14ac:dyDescent="0.3">
      <c r="A118">
        <v>19</v>
      </c>
      <c r="B118" s="1" t="s">
        <v>8</v>
      </c>
      <c r="C118">
        <v>22.6</v>
      </c>
      <c r="D118">
        <v>0</v>
      </c>
      <c r="E118" t="s">
        <v>10</v>
      </c>
      <c r="F118" t="s">
        <v>12</v>
      </c>
      <c r="G118" s="2">
        <v>2203.4718499999999</v>
      </c>
      <c r="H118" t="str" cm="1">
        <f t="array" ref="H118">_xlfn.IFS(A118&lt;=30, "Youth", A118&lt;=50, "Adult", A118&gt;50, "Older")</f>
        <v>Youth</v>
      </c>
      <c r="I118" t="str" cm="1">
        <f t="array" ref="I118">_xlfn.IFS(A118&lt;=25,"18-25",A118&lt;=35,"26-35",A118&lt;=45,"36-45",A118&lt;=60,"46-60",A118&gt;60,"60+")</f>
        <v>18-25</v>
      </c>
      <c r="J118" t="str" cm="1">
        <f t="array" ref="J118">_xlfn.IFS(C118&lt;18.5,"Underweight",C118&lt;25,"Normal",C118&lt;30,"Overweight",C118&gt;=30,"Obese")</f>
        <v>Normal</v>
      </c>
      <c r="K118" t="str" cm="1">
        <f t="array" ref="K118">_xlfn.IFS(G118&lt;10000, "Low", G118&lt;=25000, "Medium", G118&gt;25000, "High")</f>
        <v>Low</v>
      </c>
    </row>
    <row r="119" spans="1:11" x14ac:dyDescent="0.3">
      <c r="A119">
        <v>19</v>
      </c>
      <c r="B119" s="1" t="s">
        <v>7</v>
      </c>
      <c r="C119">
        <v>22.6</v>
      </c>
      <c r="D119">
        <v>0</v>
      </c>
      <c r="E119" t="s">
        <v>9</v>
      </c>
      <c r="F119" t="s">
        <v>12</v>
      </c>
      <c r="G119" s="2">
        <v>2203.7359499999998</v>
      </c>
      <c r="H119" t="str" cm="1">
        <f t="array" ref="H119">_xlfn.IFS(A119&lt;=30, "Youth", A119&lt;=50, "Adult", A119&gt;50, "Older")</f>
        <v>Youth</v>
      </c>
      <c r="I119" t="str" cm="1">
        <f t="array" ref="I119">_xlfn.IFS(A119&lt;=25,"18-25",A119&lt;=35,"26-35",A119&lt;=45,"36-45",A119&lt;=60,"46-60",A119&gt;60,"60+")</f>
        <v>18-25</v>
      </c>
      <c r="J119" t="str" cm="1">
        <f t="array" ref="J119">_xlfn.IFS(C119&lt;18.5,"Underweight",C119&lt;25,"Normal",C119&lt;30,"Overweight",C119&gt;=30,"Obese")</f>
        <v>Normal</v>
      </c>
      <c r="K119" t="str" cm="1">
        <f t="array" ref="K119">_xlfn.IFS(G119&lt;10000, "Low", G119&lt;=25000, "Medium", G119&gt;25000, "High")</f>
        <v>Low</v>
      </c>
    </row>
    <row r="120" spans="1:11" x14ac:dyDescent="0.3">
      <c r="A120">
        <v>19</v>
      </c>
      <c r="B120" s="1" t="s">
        <v>7</v>
      </c>
      <c r="C120">
        <v>22.61</v>
      </c>
      <c r="D120">
        <v>0</v>
      </c>
      <c r="E120" t="s">
        <v>10</v>
      </c>
      <c r="F120" t="s">
        <v>12</v>
      </c>
      <c r="G120" s="2">
        <v>2205.9807999999998</v>
      </c>
      <c r="H120" t="str" cm="1">
        <f t="array" ref="H120">_xlfn.IFS(A120&lt;=30, "Youth", A120&lt;=50, "Adult", A120&gt;50, "Older")</f>
        <v>Youth</v>
      </c>
      <c r="I120" t="str" cm="1">
        <f t="array" ref="I120">_xlfn.IFS(A120&lt;=25,"18-25",A120&lt;=35,"26-35",A120&lt;=45,"36-45",A120&lt;=60,"46-60",A120&gt;60,"60+")</f>
        <v>18-25</v>
      </c>
      <c r="J120" t="str" cm="1">
        <f t="array" ref="J120">_xlfn.IFS(C120&lt;18.5,"Underweight",C120&lt;25,"Normal",C120&lt;30,"Overweight",C120&gt;=30,"Obese")</f>
        <v>Normal</v>
      </c>
      <c r="K120" t="str" cm="1">
        <f t="array" ref="K120">_xlfn.IFS(G120&lt;10000, "Low", G120&lt;=25000, "Medium", G120&gt;25000, "High")</f>
        <v>Low</v>
      </c>
    </row>
    <row r="121" spans="1:11" x14ac:dyDescent="0.3">
      <c r="A121">
        <v>19</v>
      </c>
      <c r="B121" s="1" t="s">
        <v>7</v>
      </c>
      <c r="C121">
        <v>22.61</v>
      </c>
      <c r="D121">
        <v>0</v>
      </c>
      <c r="E121" t="s">
        <v>10</v>
      </c>
      <c r="F121" t="s">
        <v>13</v>
      </c>
      <c r="G121" s="2">
        <v>2207.6974500000001</v>
      </c>
      <c r="H121" t="str" cm="1">
        <f t="array" ref="H121">_xlfn.IFS(A121&lt;=30, "Youth", A121&lt;=50, "Adult", A121&gt;50, "Older")</f>
        <v>Youth</v>
      </c>
      <c r="I121" t="str" cm="1">
        <f t="array" ref="I121">_xlfn.IFS(A121&lt;=25,"18-25",A121&lt;=35,"26-35",A121&lt;=45,"36-45",A121&lt;=60,"46-60",A121&gt;60,"60+")</f>
        <v>18-25</v>
      </c>
      <c r="J121" t="str" cm="1">
        <f t="array" ref="J121">_xlfn.IFS(C121&lt;18.5,"Underweight",C121&lt;25,"Normal",C121&lt;30,"Overweight",C121&gt;=30,"Obese")</f>
        <v>Normal</v>
      </c>
      <c r="K121" t="str" cm="1">
        <f t="array" ref="K121">_xlfn.IFS(G121&lt;10000, "Low", G121&lt;=25000, "Medium", G121&gt;25000, "High")</f>
        <v>Low</v>
      </c>
    </row>
    <row r="122" spans="1:11" x14ac:dyDescent="0.3">
      <c r="A122">
        <v>19</v>
      </c>
      <c r="B122" s="1" t="s">
        <v>8</v>
      </c>
      <c r="C122">
        <v>22.61</v>
      </c>
      <c r="D122">
        <v>0</v>
      </c>
      <c r="E122" t="s">
        <v>10</v>
      </c>
      <c r="F122" t="s">
        <v>11</v>
      </c>
      <c r="G122" s="2">
        <v>2211.1307499999998</v>
      </c>
      <c r="H122" t="str" cm="1">
        <f t="array" ref="H122">_xlfn.IFS(A122&lt;=30, "Youth", A122&lt;=50, "Adult", A122&gt;50, "Older")</f>
        <v>Youth</v>
      </c>
      <c r="I122" t="str" cm="1">
        <f t="array" ref="I122">_xlfn.IFS(A122&lt;=25,"18-25",A122&lt;=35,"26-35",A122&lt;=45,"36-45",A122&lt;=60,"46-60",A122&gt;60,"60+")</f>
        <v>18-25</v>
      </c>
      <c r="J122" t="str" cm="1">
        <f t="array" ref="J122">_xlfn.IFS(C122&lt;18.5,"Underweight",C122&lt;25,"Normal",C122&lt;30,"Overweight",C122&gt;=30,"Obese")</f>
        <v>Normal</v>
      </c>
      <c r="K122" t="str" cm="1">
        <f t="array" ref="K122">_xlfn.IFS(G122&lt;10000, "Low", G122&lt;=25000, "Medium", G122&gt;25000, "High")</f>
        <v>Low</v>
      </c>
    </row>
    <row r="123" spans="1:11" x14ac:dyDescent="0.3">
      <c r="A123">
        <v>19</v>
      </c>
      <c r="B123" s="1" t="s">
        <v>8</v>
      </c>
      <c r="C123">
        <v>22.61</v>
      </c>
      <c r="D123">
        <v>0</v>
      </c>
      <c r="E123" t="s">
        <v>10</v>
      </c>
      <c r="F123" t="s">
        <v>14</v>
      </c>
      <c r="G123" s="2">
        <v>2217.4691499999999</v>
      </c>
      <c r="H123" t="str" cm="1">
        <f t="array" ref="H123">_xlfn.IFS(A123&lt;=30, "Youth", A123&lt;=50, "Adult", A123&gt;50, "Older")</f>
        <v>Youth</v>
      </c>
      <c r="I123" t="str" cm="1">
        <f t="array" ref="I123">_xlfn.IFS(A123&lt;=25,"18-25",A123&lt;=35,"26-35",A123&lt;=45,"36-45",A123&lt;=60,"46-60",A123&gt;60,"60+")</f>
        <v>18-25</v>
      </c>
      <c r="J123" t="str" cm="1">
        <f t="array" ref="J123">_xlfn.IFS(C123&lt;18.5,"Underweight",C123&lt;25,"Normal",C123&lt;30,"Overweight",C123&gt;=30,"Obese")</f>
        <v>Normal</v>
      </c>
      <c r="K123" t="str" cm="1">
        <f t="array" ref="K123">_xlfn.IFS(G123&lt;10000, "Low", G123&lt;=25000, "Medium", G123&gt;25000, "High")</f>
        <v>Low</v>
      </c>
    </row>
    <row r="124" spans="1:11" x14ac:dyDescent="0.3">
      <c r="A124">
        <v>19</v>
      </c>
      <c r="B124" s="1" t="s">
        <v>7</v>
      </c>
      <c r="C124">
        <v>22.704999999999998</v>
      </c>
      <c r="D124">
        <v>0</v>
      </c>
      <c r="E124" t="s">
        <v>10</v>
      </c>
      <c r="F124" t="s">
        <v>13</v>
      </c>
      <c r="G124" s="2">
        <v>2217.6012000000001</v>
      </c>
      <c r="H124" t="str" cm="1">
        <f t="array" ref="H124">_xlfn.IFS(A124&lt;=30, "Youth", A124&lt;=50, "Adult", A124&gt;50, "Older")</f>
        <v>Youth</v>
      </c>
      <c r="I124" t="str" cm="1">
        <f t="array" ref="I124">_xlfn.IFS(A124&lt;=25,"18-25",A124&lt;=35,"26-35",A124&lt;=45,"36-45",A124&lt;=60,"46-60",A124&gt;60,"60+")</f>
        <v>18-25</v>
      </c>
      <c r="J124" t="str" cm="1">
        <f t="array" ref="J124">_xlfn.IFS(C124&lt;18.5,"Underweight",C124&lt;25,"Normal",C124&lt;30,"Overweight",C124&gt;=30,"Obese")</f>
        <v>Normal</v>
      </c>
      <c r="K124" t="str" cm="1">
        <f t="array" ref="K124">_xlfn.IFS(G124&lt;10000, "Low", G124&lt;=25000, "Medium", G124&gt;25000, "High")</f>
        <v>Low</v>
      </c>
    </row>
    <row r="125" spans="1:11" x14ac:dyDescent="0.3">
      <c r="A125">
        <v>19</v>
      </c>
      <c r="B125" s="1" t="s">
        <v>8</v>
      </c>
      <c r="C125">
        <v>22.704999999999998</v>
      </c>
      <c r="D125">
        <v>0</v>
      </c>
      <c r="E125" t="s">
        <v>9</v>
      </c>
      <c r="F125" t="s">
        <v>14</v>
      </c>
      <c r="G125" s="2">
        <v>2219.4450999999999</v>
      </c>
      <c r="H125" t="str" cm="1">
        <f t="array" ref="H125">_xlfn.IFS(A125&lt;=30, "Youth", A125&lt;=50, "Adult", A125&gt;50, "Older")</f>
        <v>Youth</v>
      </c>
      <c r="I125" t="str" cm="1">
        <f t="array" ref="I125">_xlfn.IFS(A125&lt;=25,"18-25",A125&lt;=35,"26-35",A125&lt;=45,"36-45",A125&lt;=60,"46-60",A125&gt;60,"60+")</f>
        <v>18-25</v>
      </c>
      <c r="J125" t="str" cm="1">
        <f t="array" ref="J125">_xlfn.IFS(C125&lt;18.5,"Underweight",C125&lt;25,"Normal",C125&lt;30,"Overweight",C125&gt;=30,"Obese")</f>
        <v>Normal</v>
      </c>
      <c r="K125" t="str" cm="1">
        <f t="array" ref="K125">_xlfn.IFS(G125&lt;10000, "Low", G125&lt;=25000, "Medium", G125&gt;25000, "High")</f>
        <v>Low</v>
      </c>
    </row>
    <row r="126" spans="1:11" x14ac:dyDescent="0.3">
      <c r="A126">
        <v>19</v>
      </c>
      <c r="B126" s="1" t="s">
        <v>7</v>
      </c>
      <c r="C126">
        <v>22.704999999999998</v>
      </c>
      <c r="D126">
        <v>0</v>
      </c>
      <c r="E126" t="s">
        <v>10</v>
      </c>
      <c r="F126" t="s">
        <v>13</v>
      </c>
      <c r="G126" s="2">
        <v>2221.5644499999999</v>
      </c>
      <c r="H126" t="str" cm="1">
        <f t="array" ref="H126">_xlfn.IFS(A126&lt;=30, "Youth", A126&lt;=50, "Adult", A126&gt;50, "Older")</f>
        <v>Youth</v>
      </c>
      <c r="I126" t="str" cm="1">
        <f t="array" ref="I126">_xlfn.IFS(A126&lt;=25,"18-25",A126&lt;=35,"26-35",A126&lt;=45,"36-45",A126&lt;=60,"46-60",A126&gt;60,"60+")</f>
        <v>18-25</v>
      </c>
      <c r="J126" t="str" cm="1">
        <f t="array" ref="J126">_xlfn.IFS(C126&lt;18.5,"Underweight",C126&lt;25,"Normal",C126&lt;30,"Overweight",C126&gt;=30,"Obese")</f>
        <v>Normal</v>
      </c>
      <c r="K126" t="str" cm="1">
        <f t="array" ref="K126">_xlfn.IFS(G126&lt;10000, "Low", G126&lt;=25000, "Medium", G126&gt;25000, "High")</f>
        <v>Low</v>
      </c>
    </row>
    <row r="127" spans="1:11" x14ac:dyDescent="0.3">
      <c r="A127">
        <v>19</v>
      </c>
      <c r="B127" s="1" t="s">
        <v>7</v>
      </c>
      <c r="C127">
        <v>22.77</v>
      </c>
      <c r="D127">
        <v>0</v>
      </c>
      <c r="E127" t="s">
        <v>10</v>
      </c>
      <c r="F127" t="s">
        <v>14</v>
      </c>
      <c r="G127" s="2">
        <v>2250.8352</v>
      </c>
      <c r="H127" t="str" cm="1">
        <f t="array" ref="H127">_xlfn.IFS(A127&lt;=30, "Youth", A127&lt;=50, "Adult", A127&gt;50, "Older")</f>
        <v>Youth</v>
      </c>
      <c r="I127" t="str" cm="1">
        <f t="array" ref="I127">_xlfn.IFS(A127&lt;=25,"18-25",A127&lt;=35,"26-35",A127&lt;=45,"36-45",A127&lt;=60,"46-60",A127&gt;60,"60+")</f>
        <v>18-25</v>
      </c>
      <c r="J127" t="str" cm="1">
        <f t="array" ref="J127">_xlfn.IFS(C127&lt;18.5,"Underweight",C127&lt;25,"Normal",C127&lt;30,"Overweight",C127&gt;=30,"Obese")</f>
        <v>Normal</v>
      </c>
      <c r="K127" t="str" cm="1">
        <f t="array" ref="K127">_xlfn.IFS(G127&lt;10000, "Low", G127&lt;=25000, "Medium", G127&gt;25000, "High")</f>
        <v>Low</v>
      </c>
    </row>
    <row r="128" spans="1:11" x14ac:dyDescent="0.3">
      <c r="A128">
        <v>19</v>
      </c>
      <c r="B128" s="1" t="s">
        <v>7</v>
      </c>
      <c r="C128">
        <v>22.8</v>
      </c>
      <c r="D128">
        <v>0</v>
      </c>
      <c r="E128" t="s">
        <v>9</v>
      </c>
      <c r="F128" t="s">
        <v>11</v>
      </c>
      <c r="G128" s="2">
        <v>2254.7966999999999</v>
      </c>
      <c r="H128" t="str" cm="1">
        <f t="array" ref="H128">_xlfn.IFS(A128&lt;=30, "Youth", A128&lt;=50, "Adult", A128&gt;50, "Older")</f>
        <v>Youth</v>
      </c>
      <c r="I128" t="str" cm="1">
        <f t="array" ref="I128">_xlfn.IFS(A128&lt;=25,"18-25",A128&lt;=35,"26-35",A128&lt;=45,"36-45",A128&lt;=60,"46-60",A128&gt;60,"60+")</f>
        <v>18-25</v>
      </c>
      <c r="J128" t="str" cm="1">
        <f t="array" ref="J128">_xlfn.IFS(C128&lt;18.5,"Underweight",C128&lt;25,"Normal",C128&lt;30,"Overweight",C128&gt;=30,"Obese")</f>
        <v>Normal</v>
      </c>
      <c r="K128" t="str" cm="1">
        <f t="array" ref="K128">_xlfn.IFS(G128&lt;10000, "Low", G128&lt;=25000, "Medium", G128&gt;25000, "High")</f>
        <v>Low</v>
      </c>
    </row>
    <row r="129" spans="1:11" x14ac:dyDescent="0.3">
      <c r="A129">
        <v>19</v>
      </c>
      <c r="B129" s="1" t="s">
        <v>7</v>
      </c>
      <c r="C129">
        <v>22.8</v>
      </c>
      <c r="D129">
        <v>0</v>
      </c>
      <c r="E129" t="s">
        <v>10</v>
      </c>
      <c r="F129" t="s">
        <v>11</v>
      </c>
      <c r="G129" s="2">
        <v>2257.47525</v>
      </c>
      <c r="H129" t="str" cm="1">
        <f t="array" ref="H129">_xlfn.IFS(A129&lt;=30, "Youth", A129&lt;=50, "Adult", A129&gt;50, "Older")</f>
        <v>Youth</v>
      </c>
      <c r="I129" t="str" cm="1">
        <f t="array" ref="I129">_xlfn.IFS(A129&lt;=25,"18-25",A129&lt;=35,"26-35",A129&lt;=45,"36-45",A129&lt;=60,"46-60",A129&gt;60,"60+")</f>
        <v>18-25</v>
      </c>
      <c r="J129" t="str" cm="1">
        <f t="array" ref="J129">_xlfn.IFS(C129&lt;18.5,"Underweight",C129&lt;25,"Normal",C129&lt;30,"Overweight",C129&gt;=30,"Obese")</f>
        <v>Normal</v>
      </c>
      <c r="K129" t="str" cm="1">
        <f t="array" ref="K129">_xlfn.IFS(G129&lt;10000, "Low", G129&lt;=25000, "Medium", G129&gt;25000, "High")</f>
        <v>Low</v>
      </c>
    </row>
    <row r="130" spans="1:11" x14ac:dyDescent="0.3">
      <c r="A130">
        <v>19</v>
      </c>
      <c r="B130" s="1" t="s">
        <v>7</v>
      </c>
      <c r="C130">
        <v>22.88</v>
      </c>
      <c r="D130">
        <v>0</v>
      </c>
      <c r="E130" t="s">
        <v>9</v>
      </c>
      <c r="F130" t="s">
        <v>13</v>
      </c>
      <c r="G130" s="2">
        <v>2261.5688</v>
      </c>
      <c r="H130" t="str" cm="1">
        <f t="array" ref="H130">_xlfn.IFS(A130&lt;=30, "Youth", A130&lt;=50, "Adult", A130&gt;50, "Older")</f>
        <v>Youth</v>
      </c>
      <c r="I130" t="str" cm="1">
        <f t="array" ref="I130">_xlfn.IFS(A130&lt;=25,"18-25",A130&lt;=35,"26-35",A130&lt;=45,"36-45",A130&lt;=60,"46-60",A130&gt;60,"60+")</f>
        <v>18-25</v>
      </c>
      <c r="J130" t="str" cm="1">
        <f t="array" ref="J130">_xlfn.IFS(C130&lt;18.5,"Underweight",C130&lt;25,"Normal",C130&lt;30,"Overweight",C130&gt;=30,"Obese")</f>
        <v>Normal</v>
      </c>
      <c r="K130" t="str" cm="1">
        <f t="array" ref="K130">_xlfn.IFS(G130&lt;10000, "Low", G130&lt;=25000, "Medium", G130&gt;25000, "High")</f>
        <v>Low</v>
      </c>
    </row>
    <row r="131" spans="1:11" x14ac:dyDescent="0.3">
      <c r="A131">
        <v>19</v>
      </c>
      <c r="B131" s="1" t="s">
        <v>8</v>
      </c>
      <c r="C131">
        <v>22.895</v>
      </c>
      <c r="D131">
        <v>0</v>
      </c>
      <c r="E131" t="s">
        <v>10</v>
      </c>
      <c r="F131" t="s">
        <v>11</v>
      </c>
      <c r="G131" s="2">
        <v>2302.3000000000002</v>
      </c>
      <c r="H131" t="str" cm="1">
        <f t="array" ref="H131">_xlfn.IFS(A131&lt;=30, "Youth", A131&lt;=50, "Adult", A131&gt;50, "Older")</f>
        <v>Youth</v>
      </c>
      <c r="I131" t="str" cm="1">
        <f t="array" ref="I131">_xlfn.IFS(A131&lt;=25,"18-25",A131&lt;=35,"26-35",A131&lt;=45,"36-45",A131&lt;=60,"46-60",A131&gt;60,"60+")</f>
        <v>18-25</v>
      </c>
      <c r="J131" t="str" cm="1">
        <f t="array" ref="J131">_xlfn.IFS(C131&lt;18.5,"Underweight",C131&lt;25,"Normal",C131&lt;30,"Overweight",C131&gt;=30,"Obese")</f>
        <v>Normal</v>
      </c>
      <c r="K131" t="str" cm="1">
        <f t="array" ref="K131">_xlfn.IFS(G131&lt;10000, "Low", G131&lt;=25000, "Medium", G131&gt;25000, "High")</f>
        <v>Low</v>
      </c>
    </row>
    <row r="132" spans="1:11" x14ac:dyDescent="0.3">
      <c r="A132">
        <v>19</v>
      </c>
      <c r="B132" s="1" t="s">
        <v>7</v>
      </c>
      <c r="C132">
        <v>22.895</v>
      </c>
      <c r="D132">
        <v>0</v>
      </c>
      <c r="E132" t="s">
        <v>10</v>
      </c>
      <c r="F132" t="s">
        <v>14</v>
      </c>
      <c r="G132" s="2">
        <v>2304.0021999999999</v>
      </c>
      <c r="H132" t="str" cm="1">
        <f t="array" ref="H132">_xlfn.IFS(A132&lt;=30, "Youth", A132&lt;=50, "Adult", A132&gt;50, "Older")</f>
        <v>Youth</v>
      </c>
      <c r="I132" t="str" cm="1">
        <f t="array" ref="I132">_xlfn.IFS(A132&lt;=25,"18-25",A132&lt;=35,"26-35",A132&lt;=45,"36-45",A132&lt;=60,"46-60",A132&gt;60,"60+")</f>
        <v>18-25</v>
      </c>
      <c r="J132" t="str" cm="1">
        <f t="array" ref="J132">_xlfn.IFS(C132&lt;18.5,"Underweight",C132&lt;25,"Normal",C132&lt;30,"Overweight",C132&gt;=30,"Obese")</f>
        <v>Normal</v>
      </c>
      <c r="K132" t="str" cm="1">
        <f t="array" ref="K132">_xlfn.IFS(G132&lt;10000, "Low", G132&lt;=25000, "Medium", G132&gt;25000, "High")</f>
        <v>Low</v>
      </c>
    </row>
    <row r="133" spans="1:11" x14ac:dyDescent="0.3">
      <c r="A133">
        <v>19</v>
      </c>
      <c r="B133" s="1" t="s">
        <v>7</v>
      </c>
      <c r="C133">
        <v>22.895</v>
      </c>
      <c r="D133">
        <v>0</v>
      </c>
      <c r="E133" t="s">
        <v>10</v>
      </c>
      <c r="F133" t="s">
        <v>14</v>
      </c>
      <c r="G133" s="2">
        <v>2322.6217999999999</v>
      </c>
      <c r="H133" t="str" cm="1">
        <f t="array" ref="H133">_xlfn.IFS(A133&lt;=30, "Youth", A133&lt;=50, "Adult", A133&gt;50, "Older")</f>
        <v>Youth</v>
      </c>
      <c r="I133" t="str" cm="1">
        <f t="array" ref="I133">_xlfn.IFS(A133&lt;=25,"18-25",A133&lt;=35,"26-35",A133&lt;=45,"36-45",A133&lt;=60,"46-60",A133&gt;60,"60+")</f>
        <v>18-25</v>
      </c>
      <c r="J133" t="str" cm="1">
        <f t="array" ref="J133">_xlfn.IFS(C133&lt;18.5,"Underweight",C133&lt;25,"Normal",C133&lt;30,"Overweight",C133&gt;=30,"Obese")</f>
        <v>Normal</v>
      </c>
      <c r="K133" t="str" cm="1">
        <f t="array" ref="K133">_xlfn.IFS(G133&lt;10000, "Low", G133&lt;=25000, "Medium", G133&gt;25000, "High")</f>
        <v>Low</v>
      </c>
    </row>
    <row r="134" spans="1:11" x14ac:dyDescent="0.3">
      <c r="A134">
        <v>19</v>
      </c>
      <c r="B134" s="1" t="s">
        <v>7</v>
      </c>
      <c r="C134">
        <v>22.895</v>
      </c>
      <c r="D134">
        <v>0</v>
      </c>
      <c r="E134" t="s">
        <v>10</v>
      </c>
      <c r="F134" t="s">
        <v>11</v>
      </c>
      <c r="G134" s="2">
        <v>2331.5189999999998</v>
      </c>
      <c r="H134" t="str" cm="1">
        <f t="array" ref="H134">_xlfn.IFS(A134&lt;=30, "Youth", A134&lt;=50, "Adult", A134&gt;50, "Older")</f>
        <v>Youth</v>
      </c>
      <c r="I134" t="str" cm="1">
        <f t="array" ref="I134">_xlfn.IFS(A134&lt;=25,"18-25",A134&lt;=35,"26-35",A134&lt;=45,"36-45",A134&lt;=60,"46-60",A134&gt;60,"60+")</f>
        <v>18-25</v>
      </c>
      <c r="J134" t="str" cm="1">
        <f t="array" ref="J134">_xlfn.IFS(C134&lt;18.5,"Underweight",C134&lt;25,"Normal",C134&lt;30,"Overweight",C134&gt;=30,"Obese")</f>
        <v>Normal</v>
      </c>
      <c r="K134" t="str" cm="1">
        <f t="array" ref="K134">_xlfn.IFS(G134&lt;10000, "Low", G134&lt;=25000, "Medium", G134&gt;25000, "High")</f>
        <v>Low</v>
      </c>
    </row>
    <row r="135" spans="1:11" x14ac:dyDescent="0.3">
      <c r="A135">
        <v>19</v>
      </c>
      <c r="B135" s="1" t="s">
        <v>8</v>
      </c>
      <c r="C135">
        <v>22.99</v>
      </c>
      <c r="D135">
        <v>0</v>
      </c>
      <c r="E135" t="s">
        <v>10</v>
      </c>
      <c r="F135" t="s">
        <v>13</v>
      </c>
      <c r="G135" s="2">
        <v>2352.9684499999998</v>
      </c>
      <c r="H135" t="str" cm="1">
        <f t="array" ref="H135">_xlfn.IFS(A135&lt;=30, "Youth", A135&lt;=50, "Adult", A135&gt;50, "Older")</f>
        <v>Youth</v>
      </c>
      <c r="I135" t="str" cm="1">
        <f t="array" ref="I135">_xlfn.IFS(A135&lt;=25,"18-25",A135&lt;=35,"26-35",A135&lt;=45,"36-45",A135&lt;=60,"46-60",A135&gt;60,"60+")</f>
        <v>18-25</v>
      </c>
      <c r="J135" t="str" cm="1">
        <f t="array" ref="J135">_xlfn.IFS(C135&lt;18.5,"Underweight",C135&lt;25,"Normal",C135&lt;30,"Overweight",C135&gt;=30,"Obese")</f>
        <v>Normal</v>
      </c>
      <c r="K135" t="str" cm="1">
        <f t="array" ref="K135">_xlfn.IFS(G135&lt;10000, "Low", G135&lt;=25000, "Medium", G135&gt;25000, "High")</f>
        <v>Low</v>
      </c>
    </row>
    <row r="136" spans="1:11" x14ac:dyDescent="0.3">
      <c r="A136">
        <v>19</v>
      </c>
      <c r="B136" s="1" t="s">
        <v>7</v>
      </c>
      <c r="C136">
        <v>22.99</v>
      </c>
      <c r="D136">
        <v>0</v>
      </c>
      <c r="E136" t="s">
        <v>10</v>
      </c>
      <c r="F136" t="s">
        <v>14</v>
      </c>
      <c r="G136" s="2">
        <v>2362.2290499999999</v>
      </c>
      <c r="H136" t="str" cm="1">
        <f t="array" ref="H136">_xlfn.IFS(A136&lt;=30, "Youth", A136&lt;=50, "Adult", A136&gt;50, "Older")</f>
        <v>Youth</v>
      </c>
      <c r="I136" t="str" cm="1">
        <f t="array" ref="I136">_xlfn.IFS(A136&lt;=25,"18-25",A136&lt;=35,"26-35",A136&lt;=45,"36-45",A136&lt;=60,"46-60",A136&gt;60,"60+")</f>
        <v>18-25</v>
      </c>
      <c r="J136" t="str" cm="1">
        <f t="array" ref="J136">_xlfn.IFS(C136&lt;18.5,"Underweight",C136&lt;25,"Normal",C136&lt;30,"Overweight",C136&gt;=30,"Obese")</f>
        <v>Normal</v>
      </c>
      <c r="K136" t="str" cm="1">
        <f t="array" ref="K136">_xlfn.IFS(G136&lt;10000, "Low", G136&lt;=25000, "Medium", G136&gt;25000, "High")</f>
        <v>Low</v>
      </c>
    </row>
    <row r="137" spans="1:11" x14ac:dyDescent="0.3">
      <c r="A137">
        <v>19</v>
      </c>
      <c r="B137" s="1" t="s">
        <v>7</v>
      </c>
      <c r="C137">
        <v>22.99</v>
      </c>
      <c r="D137">
        <v>0</v>
      </c>
      <c r="E137" t="s">
        <v>10</v>
      </c>
      <c r="F137" t="s">
        <v>12</v>
      </c>
      <c r="G137" s="2">
        <v>2395.17155</v>
      </c>
      <c r="H137" t="str" cm="1">
        <f t="array" ref="H137">_xlfn.IFS(A137&lt;=30, "Youth", A137&lt;=50, "Adult", A137&gt;50, "Older")</f>
        <v>Youth</v>
      </c>
      <c r="I137" t="str" cm="1">
        <f t="array" ref="I137">_xlfn.IFS(A137&lt;=25,"18-25",A137&lt;=35,"26-35",A137&lt;=45,"36-45",A137&lt;=60,"46-60",A137&gt;60,"60+")</f>
        <v>18-25</v>
      </c>
      <c r="J137" t="str" cm="1">
        <f t="array" ref="J137">_xlfn.IFS(C137&lt;18.5,"Underweight",C137&lt;25,"Normal",C137&lt;30,"Overweight",C137&gt;=30,"Obese")</f>
        <v>Normal</v>
      </c>
      <c r="K137" t="str" cm="1">
        <f t="array" ref="K137">_xlfn.IFS(G137&lt;10000, "Low", G137&lt;=25000, "Medium", G137&gt;25000, "High")</f>
        <v>Low</v>
      </c>
    </row>
    <row r="138" spans="1:11" x14ac:dyDescent="0.3">
      <c r="A138">
        <v>20</v>
      </c>
      <c r="B138" s="1" t="s">
        <v>8</v>
      </c>
      <c r="C138">
        <v>23</v>
      </c>
      <c r="D138">
        <v>0</v>
      </c>
      <c r="E138" t="s">
        <v>10</v>
      </c>
      <c r="F138" t="s">
        <v>11</v>
      </c>
      <c r="G138" s="2">
        <v>2396.0958999999998</v>
      </c>
      <c r="H138" t="str" cm="1">
        <f t="array" ref="H138">_xlfn.IFS(A138&lt;=30, "Youth", A138&lt;=50, "Adult", A138&gt;50, "Older")</f>
        <v>Youth</v>
      </c>
      <c r="I138" t="str" cm="1">
        <f t="array" ref="I138">_xlfn.IFS(A138&lt;=25,"18-25",A138&lt;=35,"26-35",A138&lt;=45,"36-45",A138&lt;=60,"46-60",A138&gt;60,"60+")</f>
        <v>18-25</v>
      </c>
      <c r="J138" t="str" cm="1">
        <f t="array" ref="J138">_xlfn.IFS(C138&lt;18.5,"Underweight",C138&lt;25,"Normal",C138&lt;30,"Overweight",C138&gt;=30,"Obese")</f>
        <v>Normal</v>
      </c>
      <c r="K138" t="str" cm="1">
        <f t="array" ref="K138">_xlfn.IFS(G138&lt;10000, "Low", G138&lt;=25000, "Medium", G138&gt;25000, "High")</f>
        <v>Low</v>
      </c>
    </row>
    <row r="139" spans="1:11" x14ac:dyDescent="0.3">
      <c r="A139">
        <v>20</v>
      </c>
      <c r="B139" s="1" t="s">
        <v>8</v>
      </c>
      <c r="C139">
        <v>23.085000000000001</v>
      </c>
      <c r="D139">
        <v>0</v>
      </c>
      <c r="E139" t="s">
        <v>10</v>
      </c>
      <c r="F139" t="s">
        <v>13</v>
      </c>
      <c r="G139" s="2">
        <v>2404.7338</v>
      </c>
      <c r="H139" t="str" cm="1">
        <f t="array" ref="H139">_xlfn.IFS(A139&lt;=30, "Youth", A139&lt;=50, "Adult", A139&gt;50, "Older")</f>
        <v>Youth</v>
      </c>
      <c r="I139" t="str" cm="1">
        <f t="array" ref="I139">_xlfn.IFS(A139&lt;=25,"18-25",A139&lt;=35,"26-35",A139&lt;=45,"36-45",A139&lt;=60,"46-60",A139&gt;60,"60+")</f>
        <v>18-25</v>
      </c>
      <c r="J139" t="str" cm="1">
        <f t="array" ref="J139">_xlfn.IFS(C139&lt;18.5,"Underweight",C139&lt;25,"Normal",C139&lt;30,"Overweight",C139&gt;=30,"Obese")</f>
        <v>Normal</v>
      </c>
      <c r="K139" t="str" cm="1">
        <f t="array" ref="K139">_xlfn.IFS(G139&lt;10000, "Low", G139&lt;=25000, "Medium", G139&gt;25000, "High")</f>
        <v>Low</v>
      </c>
    </row>
    <row r="140" spans="1:11" x14ac:dyDescent="0.3">
      <c r="A140">
        <v>20</v>
      </c>
      <c r="B140" s="1" t="s">
        <v>7</v>
      </c>
      <c r="C140">
        <v>23.085000000000001</v>
      </c>
      <c r="D140">
        <v>0</v>
      </c>
      <c r="E140" t="s">
        <v>10</v>
      </c>
      <c r="F140" t="s">
        <v>12</v>
      </c>
      <c r="G140" s="2">
        <v>2416.9549999999999</v>
      </c>
      <c r="H140" t="str" cm="1">
        <f t="array" ref="H140">_xlfn.IFS(A140&lt;=30, "Youth", A140&lt;=50, "Adult", A140&gt;50, "Older")</f>
        <v>Youth</v>
      </c>
      <c r="I140" t="str" cm="1">
        <f t="array" ref="I140">_xlfn.IFS(A140&lt;=25,"18-25",A140&lt;=35,"26-35",A140&lt;=45,"36-45",A140&lt;=60,"46-60",A140&gt;60,"60+")</f>
        <v>18-25</v>
      </c>
      <c r="J140" t="str" cm="1">
        <f t="array" ref="J140">_xlfn.IFS(C140&lt;18.5,"Underweight",C140&lt;25,"Normal",C140&lt;30,"Overweight",C140&gt;=30,"Obese")</f>
        <v>Normal</v>
      </c>
      <c r="K140" t="str" cm="1">
        <f t="array" ref="K140">_xlfn.IFS(G140&lt;10000, "Low", G140&lt;=25000, "Medium", G140&gt;25000, "High")</f>
        <v>Low</v>
      </c>
    </row>
    <row r="141" spans="1:11" x14ac:dyDescent="0.3">
      <c r="A141">
        <v>20</v>
      </c>
      <c r="B141" s="1" t="s">
        <v>7</v>
      </c>
      <c r="C141">
        <v>23.1</v>
      </c>
      <c r="D141">
        <v>0</v>
      </c>
      <c r="E141" t="s">
        <v>10</v>
      </c>
      <c r="F141" t="s">
        <v>11</v>
      </c>
      <c r="G141" s="2">
        <v>2438.0551999999998</v>
      </c>
      <c r="H141" t="str" cm="1">
        <f t="array" ref="H141">_xlfn.IFS(A141&lt;=30, "Youth", A141&lt;=50, "Adult", A141&gt;50, "Older")</f>
        <v>Youth</v>
      </c>
      <c r="I141" t="str" cm="1">
        <f t="array" ref="I141">_xlfn.IFS(A141&lt;=25,"18-25",A141&lt;=35,"26-35",A141&lt;=45,"36-45",A141&lt;=60,"46-60",A141&gt;60,"60+")</f>
        <v>18-25</v>
      </c>
      <c r="J141" t="str" cm="1">
        <f t="array" ref="J141">_xlfn.IFS(C141&lt;18.5,"Underweight",C141&lt;25,"Normal",C141&lt;30,"Overweight",C141&gt;=30,"Obese")</f>
        <v>Normal</v>
      </c>
      <c r="K141" t="str" cm="1">
        <f t="array" ref="K141">_xlfn.IFS(G141&lt;10000, "Low", G141&lt;=25000, "Medium", G141&gt;25000, "High")</f>
        <v>Low</v>
      </c>
    </row>
    <row r="142" spans="1:11" x14ac:dyDescent="0.3">
      <c r="A142">
        <v>20</v>
      </c>
      <c r="B142" s="1" t="s">
        <v>8</v>
      </c>
      <c r="C142">
        <v>23.18</v>
      </c>
      <c r="D142">
        <v>0</v>
      </c>
      <c r="E142" t="s">
        <v>10</v>
      </c>
      <c r="F142" t="s">
        <v>14</v>
      </c>
      <c r="G142" s="2">
        <v>2457.2111500000001</v>
      </c>
      <c r="H142" t="str" cm="1">
        <f t="array" ref="H142">_xlfn.IFS(A142&lt;=30, "Youth", A142&lt;=50, "Adult", A142&gt;50, "Older")</f>
        <v>Youth</v>
      </c>
      <c r="I142" t="str" cm="1">
        <f t="array" ref="I142">_xlfn.IFS(A142&lt;=25,"18-25",A142&lt;=35,"26-35",A142&lt;=45,"36-45",A142&lt;=60,"46-60",A142&gt;60,"60+")</f>
        <v>18-25</v>
      </c>
      <c r="J142" t="str" cm="1">
        <f t="array" ref="J142">_xlfn.IFS(C142&lt;18.5,"Underweight",C142&lt;25,"Normal",C142&lt;30,"Overweight",C142&gt;=30,"Obese")</f>
        <v>Normal</v>
      </c>
      <c r="K142" t="str" cm="1">
        <f t="array" ref="K142">_xlfn.IFS(G142&lt;10000, "Low", G142&lt;=25000, "Medium", G142&gt;25000, "High")</f>
        <v>Low</v>
      </c>
    </row>
    <row r="143" spans="1:11" x14ac:dyDescent="0.3">
      <c r="A143">
        <v>20</v>
      </c>
      <c r="B143" s="1" t="s">
        <v>8</v>
      </c>
      <c r="C143">
        <v>23.18</v>
      </c>
      <c r="D143">
        <v>0</v>
      </c>
      <c r="E143" t="s">
        <v>10</v>
      </c>
      <c r="F143" t="s">
        <v>14</v>
      </c>
      <c r="G143" s="2">
        <v>2457.502</v>
      </c>
      <c r="H143" t="str" cm="1">
        <f t="array" ref="H143">_xlfn.IFS(A143&lt;=30, "Youth", A143&lt;=50, "Adult", A143&gt;50, "Older")</f>
        <v>Youth</v>
      </c>
      <c r="I143" t="str" cm="1">
        <f t="array" ref="I143">_xlfn.IFS(A143&lt;=25,"18-25",A143&lt;=35,"26-35",A143&lt;=45,"36-45",A143&lt;=60,"46-60",A143&gt;60,"60+")</f>
        <v>18-25</v>
      </c>
      <c r="J143" t="str" cm="1">
        <f t="array" ref="J143">_xlfn.IFS(C143&lt;18.5,"Underweight",C143&lt;25,"Normal",C143&lt;30,"Overweight",C143&gt;=30,"Obese")</f>
        <v>Normal</v>
      </c>
      <c r="K143" t="str" cm="1">
        <f t="array" ref="K143">_xlfn.IFS(G143&lt;10000, "Low", G143&lt;=25000, "Medium", G143&gt;25000, "High")</f>
        <v>Low</v>
      </c>
    </row>
    <row r="144" spans="1:11" x14ac:dyDescent="0.3">
      <c r="A144">
        <v>20</v>
      </c>
      <c r="B144" s="1" t="s">
        <v>8</v>
      </c>
      <c r="C144">
        <v>23.18</v>
      </c>
      <c r="D144">
        <v>0</v>
      </c>
      <c r="E144" t="s">
        <v>9</v>
      </c>
      <c r="F144" t="s">
        <v>12</v>
      </c>
      <c r="G144" s="2">
        <v>2459.7201</v>
      </c>
      <c r="H144" t="str" cm="1">
        <f t="array" ref="H144">_xlfn.IFS(A144&lt;=30, "Youth", A144&lt;=50, "Adult", A144&gt;50, "Older")</f>
        <v>Youth</v>
      </c>
      <c r="I144" t="str" cm="1">
        <f t="array" ref="I144">_xlfn.IFS(A144&lt;=25,"18-25",A144&lt;=35,"26-35",A144&lt;=45,"36-45",A144&lt;=60,"46-60",A144&gt;60,"60+")</f>
        <v>18-25</v>
      </c>
      <c r="J144" t="str" cm="1">
        <f t="array" ref="J144">_xlfn.IFS(C144&lt;18.5,"Underweight",C144&lt;25,"Normal",C144&lt;30,"Overweight",C144&gt;=30,"Obese")</f>
        <v>Normal</v>
      </c>
      <c r="K144" t="str" cm="1">
        <f t="array" ref="K144">_xlfn.IFS(G144&lt;10000, "Low", G144&lt;=25000, "Medium", G144&gt;25000, "High")</f>
        <v>Low</v>
      </c>
    </row>
    <row r="145" spans="1:11" x14ac:dyDescent="0.3">
      <c r="A145">
        <v>20</v>
      </c>
      <c r="B145" s="1" t="s">
        <v>8</v>
      </c>
      <c r="C145">
        <v>23.18</v>
      </c>
      <c r="D145">
        <v>0</v>
      </c>
      <c r="E145" t="s">
        <v>10</v>
      </c>
      <c r="F145" t="s">
        <v>13</v>
      </c>
      <c r="G145" s="2">
        <v>2464.6188000000002</v>
      </c>
      <c r="H145" t="str" cm="1">
        <f t="array" ref="H145">_xlfn.IFS(A145&lt;=30, "Youth", A145&lt;=50, "Adult", A145&gt;50, "Older")</f>
        <v>Youth</v>
      </c>
      <c r="I145" t="str" cm="1">
        <f t="array" ref="I145">_xlfn.IFS(A145&lt;=25,"18-25",A145&lt;=35,"26-35",A145&lt;=45,"36-45",A145&lt;=60,"46-60",A145&gt;60,"60+")</f>
        <v>18-25</v>
      </c>
      <c r="J145" t="str" cm="1">
        <f t="array" ref="J145">_xlfn.IFS(C145&lt;18.5,"Underweight",C145&lt;25,"Normal",C145&lt;30,"Overweight",C145&gt;=30,"Obese")</f>
        <v>Normal</v>
      </c>
      <c r="K145" t="str" cm="1">
        <f t="array" ref="K145">_xlfn.IFS(G145&lt;10000, "Low", G145&lt;=25000, "Medium", G145&gt;25000, "High")</f>
        <v>Low</v>
      </c>
    </row>
    <row r="146" spans="1:11" x14ac:dyDescent="0.3">
      <c r="A146">
        <v>20</v>
      </c>
      <c r="B146" s="1" t="s">
        <v>8</v>
      </c>
      <c r="C146">
        <v>23.18</v>
      </c>
      <c r="D146">
        <v>0</v>
      </c>
      <c r="E146" t="s">
        <v>9</v>
      </c>
      <c r="F146" t="s">
        <v>13</v>
      </c>
      <c r="G146" s="2">
        <v>2473.3341</v>
      </c>
      <c r="H146" t="str" cm="1">
        <f t="array" ref="H146">_xlfn.IFS(A146&lt;=30, "Youth", A146&lt;=50, "Adult", A146&gt;50, "Older")</f>
        <v>Youth</v>
      </c>
      <c r="I146" t="str" cm="1">
        <f t="array" ref="I146">_xlfn.IFS(A146&lt;=25,"18-25",A146&lt;=35,"26-35",A146&lt;=45,"36-45",A146&lt;=60,"46-60",A146&gt;60,"60+")</f>
        <v>18-25</v>
      </c>
      <c r="J146" t="str" cm="1">
        <f t="array" ref="J146">_xlfn.IFS(C146&lt;18.5,"Underweight",C146&lt;25,"Normal",C146&lt;30,"Overweight",C146&gt;=30,"Obese")</f>
        <v>Normal</v>
      </c>
      <c r="K146" t="str" cm="1">
        <f t="array" ref="K146">_xlfn.IFS(G146&lt;10000, "Low", G146&lt;=25000, "Medium", G146&gt;25000, "High")</f>
        <v>Low</v>
      </c>
    </row>
    <row r="147" spans="1:11" x14ac:dyDescent="0.3">
      <c r="A147">
        <v>20</v>
      </c>
      <c r="B147" s="1" t="s">
        <v>7</v>
      </c>
      <c r="C147">
        <v>23.2</v>
      </c>
      <c r="D147">
        <v>0</v>
      </c>
      <c r="E147" t="s">
        <v>10</v>
      </c>
      <c r="F147" t="s">
        <v>12</v>
      </c>
      <c r="G147" s="2">
        <v>2480.9791</v>
      </c>
      <c r="H147" t="str" cm="1">
        <f t="array" ref="H147">_xlfn.IFS(A147&lt;=30, "Youth", A147&lt;=50, "Adult", A147&gt;50, "Older")</f>
        <v>Youth</v>
      </c>
      <c r="I147" t="str" cm="1">
        <f t="array" ref="I147">_xlfn.IFS(A147&lt;=25,"18-25",A147&lt;=35,"26-35",A147&lt;=45,"36-45",A147&lt;=60,"46-60",A147&gt;60,"60+")</f>
        <v>18-25</v>
      </c>
      <c r="J147" t="str" cm="1">
        <f t="array" ref="J147">_xlfn.IFS(C147&lt;18.5,"Underweight",C147&lt;25,"Normal",C147&lt;30,"Overweight",C147&gt;=30,"Obese")</f>
        <v>Normal</v>
      </c>
      <c r="K147" t="str" cm="1">
        <f t="array" ref="K147">_xlfn.IFS(G147&lt;10000, "Low", G147&lt;=25000, "Medium", G147&gt;25000, "High")</f>
        <v>Low</v>
      </c>
    </row>
    <row r="148" spans="1:11" x14ac:dyDescent="0.3">
      <c r="A148">
        <v>20</v>
      </c>
      <c r="B148" s="1" t="s">
        <v>8</v>
      </c>
      <c r="C148">
        <v>23.21</v>
      </c>
      <c r="D148">
        <v>0</v>
      </c>
      <c r="E148" t="s">
        <v>9</v>
      </c>
      <c r="F148" t="s">
        <v>13</v>
      </c>
      <c r="G148" s="2">
        <v>2483.7359999999999</v>
      </c>
      <c r="H148" t="str" cm="1">
        <f t="array" ref="H148">_xlfn.IFS(A148&lt;=30, "Youth", A148&lt;=50, "Adult", A148&gt;50, "Older")</f>
        <v>Youth</v>
      </c>
      <c r="I148" t="str" cm="1">
        <f t="array" ref="I148">_xlfn.IFS(A148&lt;=25,"18-25",A148&lt;=35,"26-35",A148&lt;=45,"36-45",A148&lt;=60,"46-60",A148&gt;60,"60+")</f>
        <v>18-25</v>
      </c>
      <c r="J148" t="str" cm="1">
        <f t="array" ref="J148">_xlfn.IFS(C148&lt;18.5,"Underweight",C148&lt;25,"Normal",C148&lt;30,"Overweight",C148&gt;=30,"Obese")</f>
        <v>Normal</v>
      </c>
      <c r="K148" t="str" cm="1">
        <f t="array" ref="K148">_xlfn.IFS(G148&lt;10000, "Low", G148&lt;=25000, "Medium", G148&gt;25000, "High")</f>
        <v>Low</v>
      </c>
    </row>
    <row r="149" spans="1:11" x14ac:dyDescent="0.3">
      <c r="A149">
        <v>20</v>
      </c>
      <c r="B149" s="1" t="s">
        <v>7</v>
      </c>
      <c r="C149">
        <v>23.21</v>
      </c>
      <c r="D149">
        <v>0</v>
      </c>
      <c r="E149" t="s">
        <v>10</v>
      </c>
      <c r="F149" t="s">
        <v>12</v>
      </c>
      <c r="G149" s="2">
        <v>2494.0219999999999</v>
      </c>
      <c r="H149" t="str" cm="1">
        <f t="array" ref="H149">_xlfn.IFS(A149&lt;=30, "Youth", A149&lt;=50, "Adult", A149&gt;50, "Older")</f>
        <v>Youth</v>
      </c>
      <c r="I149" t="str" cm="1">
        <f t="array" ref="I149">_xlfn.IFS(A149&lt;=25,"18-25",A149&lt;=35,"26-35",A149&lt;=45,"36-45",A149&lt;=60,"46-60",A149&gt;60,"60+")</f>
        <v>18-25</v>
      </c>
      <c r="J149" t="str" cm="1">
        <f t="array" ref="J149">_xlfn.IFS(C149&lt;18.5,"Underweight",C149&lt;25,"Normal",C149&lt;30,"Overweight",C149&gt;=30,"Obese")</f>
        <v>Normal</v>
      </c>
      <c r="K149" t="str" cm="1">
        <f t="array" ref="K149">_xlfn.IFS(G149&lt;10000, "Low", G149&lt;=25000, "Medium", G149&gt;25000, "High")</f>
        <v>Low</v>
      </c>
    </row>
    <row r="150" spans="1:11" x14ac:dyDescent="0.3">
      <c r="A150">
        <v>20</v>
      </c>
      <c r="B150" s="1" t="s">
        <v>7</v>
      </c>
      <c r="C150">
        <v>23.21</v>
      </c>
      <c r="D150">
        <v>0</v>
      </c>
      <c r="E150" t="s">
        <v>10</v>
      </c>
      <c r="F150" t="s">
        <v>13</v>
      </c>
      <c r="G150" s="2">
        <v>2497.0383000000002</v>
      </c>
      <c r="H150" t="str" cm="1">
        <f t="array" ref="H150">_xlfn.IFS(A150&lt;=30, "Youth", A150&lt;=50, "Adult", A150&gt;50, "Older")</f>
        <v>Youth</v>
      </c>
      <c r="I150" t="str" cm="1">
        <f t="array" ref="I150">_xlfn.IFS(A150&lt;=25,"18-25",A150&lt;=35,"26-35",A150&lt;=45,"36-45",A150&lt;=60,"46-60",A150&gt;60,"60+")</f>
        <v>18-25</v>
      </c>
      <c r="J150" t="str" cm="1">
        <f t="array" ref="J150">_xlfn.IFS(C150&lt;18.5,"Underweight",C150&lt;25,"Normal",C150&lt;30,"Overweight",C150&gt;=30,"Obese")</f>
        <v>Normal</v>
      </c>
      <c r="K150" t="str" cm="1">
        <f t="array" ref="K150">_xlfn.IFS(G150&lt;10000, "Low", G150&lt;=25000, "Medium", G150&gt;25000, "High")</f>
        <v>Low</v>
      </c>
    </row>
    <row r="151" spans="1:11" x14ac:dyDescent="0.3">
      <c r="A151">
        <v>20</v>
      </c>
      <c r="B151" s="1" t="s">
        <v>8</v>
      </c>
      <c r="C151">
        <v>23.21</v>
      </c>
      <c r="D151">
        <v>0</v>
      </c>
      <c r="E151" t="s">
        <v>10</v>
      </c>
      <c r="F151" t="s">
        <v>11</v>
      </c>
      <c r="G151" s="2">
        <v>2498.4144000000001</v>
      </c>
      <c r="H151" t="str" cm="1">
        <f t="array" ref="H151">_xlfn.IFS(A151&lt;=30, "Youth", A151&lt;=50, "Adult", A151&gt;50, "Older")</f>
        <v>Youth</v>
      </c>
      <c r="I151" t="str" cm="1">
        <f t="array" ref="I151">_xlfn.IFS(A151&lt;=25,"18-25",A151&lt;=35,"26-35",A151&lt;=45,"36-45",A151&lt;=60,"46-60",A151&gt;60,"60+")</f>
        <v>18-25</v>
      </c>
      <c r="J151" t="str" cm="1">
        <f t="array" ref="J151">_xlfn.IFS(C151&lt;18.5,"Underweight",C151&lt;25,"Normal",C151&lt;30,"Overweight",C151&gt;=30,"Obese")</f>
        <v>Normal</v>
      </c>
      <c r="K151" t="str" cm="1">
        <f t="array" ref="K151">_xlfn.IFS(G151&lt;10000, "Low", G151&lt;=25000, "Medium", G151&gt;25000, "High")</f>
        <v>Low</v>
      </c>
    </row>
    <row r="152" spans="1:11" x14ac:dyDescent="0.3">
      <c r="A152">
        <v>20</v>
      </c>
      <c r="B152" s="1" t="s">
        <v>8</v>
      </c>
      <c r="C152">
        <v>23.21</v>
      </c>
      <c r="D152">
        <v>0</v>
      </c>
      <c r="E152" t="s">
        <v>10</v>
      </c>
      <c r="F152" t="s">
        <v>13</v>
      </c>
      <c r="G152" s="2">
        <v>2523.1695</v>
      </c>
      <c r="H152" t="str" cm="1">
        <f t="array" ref="H152">_xlfn.IFS(A152&lt;=30, "Youth", A152&lt;=50, "Adult", A152&gt;50, "Older")</f>
        <v>Youth</v>
      </c>
      <c r="I152" t="str" cm="1">
        <f t="array" ref="I152">_xlfn.IFS(A152&lt;=25,"18-25",A152&lt;=35,"26-35",A152&lt;=45,"36-45",A152&lt;=60,"46-60",A152&gt;60,"60+")</f>
        <v>18-25</v>
      </c>
      <c r="J152" t="str" cm="1">
        <f t="array" ref="J152">_xlfn.IFS(C152&lt;18.5,"Underweight",C152&lt;25,"Normal",C152&lt;30,"Overweight",C152&gt;=30,"Obese")</f>
        <v>Normal</v>
      </c>
      <c r="K152" t="str" cm="1">
        <f t="array" ref="K152">_xlfn.IFS(G152&lt;10000, "Low", G152&lt;=25000, "Medium", G152&gt;25000, "High")</f>
        <v>Low</v>
      </c>
    </row>
    <row r="153" spans="1:11" x14ac:dyDescent="0.3">
      <c r="A153">
        <v>20</v>
      </c>
      <c r="B153" s="1" t="s">
        <v>8</v>
      </c>
      <c r="C153">
        <v>23.274999999999999</v>
      </c>
      <c r="D153">
        <v>0</v>
      </c>
      <c r="E153" t="s">
        <v>10</v>
      </c>
      <c r="F153" t="s">
        <v>12</v>
      </c>
      <c r="G153" s="2">
        <v>2527.8186500000002</v>
      </c>
      <c r="H153" t="str" cm="1">
        <f t="array" ref="H153">_xlfn.IFS(A153&lt;=30, "Youth", A153&lt;=50, "Adult", A153&gt;50, "Older")</f>
        <v>Youth</v>
      </c>
      <c r="I153" t="str" cm="1">
        <f t="array" ref="I153">_xlfn.IFS(A153&lt;=25,"18-25",A153&lt;=35,"26-35",A153&lt;=45,"36-45",A153&lt;=60,"46-60",A153&gt;60,"60+")</f>
        <v>18-25</v>
      </c>
      <c r="J153" t="str" cm="1">
        <f t="array" ref="J153">_xlfn.IFS(C153&lt;18.5,"Underweight",C153&lt;25,"Normal",C153&lt;30,"Overweight",C153&gt;=30,"Obese")</f>
        <v>Normal</v>
      </c>
      <c r="K153" t="str" cm="1">
        <f t="array" ref="K153">_xlfn.IFS(G153&lt;10000, "Low", G153&lt;=25000, "Medium", G153&gt;25000, "High")</f>
        <v>Low</v>
      </c>
    </row>
    <row r="154" spans="1:11" x14ac:dyDescent="0.3">
      <c r="A154">
        <v>20</v>
      </c>
      <c r="B154" s="1" t="s">
        <v>7</v>
      </c>
      <c r="C154">
        <v>23.3</v>
      </c>
      <c r="D154">
        <v>0</v>
      </c>
      <c r="E154" t="s">
        <v>10</v>
      </c>
      <c r="F154" t="s">
        <v>14</v>
      </c>
      <c r="G154" s="2">
        <v>2534.3937500000002</v>
      </c>
      <c r="H154" t="str" cm="1">
        <f t="array" ref="H154">_xlfn.IFS(A154&lt;=30, "Youth", A154&lt;=50, "Adult", A154&gt;50, "Older")</f>
        <v>Youth</v>
      </c>
      <c r="I154" t="str" cm="1">
        <f t="array" ref="I154">_xlfn.IFS(A154&lt;=25,"18-25",A154&lt;=35,"26-35",A154&lt;=45,"36-45",A154&lt;=60,"46-60",A154&gt;60,"60+")</f>
        <v>18-25</v>
      </c>
      <c r="J154" t="str" cm="1">
        <f t="array" ref="J154">_xlfn.IFS(C154&lt;18.5,"Underweight",C154&lt;25,"Normal",C154&lt;30,"Overweight",C154&gt;=30,"Obese")</f>
        <v>Normal</v>
      </c>
      <c r="K154" t="str" cm="1">
        <f t="array" ref="K154">_xlfn.IFS(G154&lt;10000, "Low", G154&lt;=25000, "Medium", G154&gt;25000, "High")</f>
        <v>Low</v>
      </c>
    </row>
    <row r="155" spans="1:11" x14ac:dyDescent="0.3">
      <c r="A155">
        <v>20</v>
      </c>
      <c r="B155" s="1" t="s">
        <v>7</v>
      </c>
      <c r="C155">
        <v>23.32</v>
      </c>
      <c r="D155">
        <v>0</v>
      </c>
      <c r="E155" t="s">
        <v>9</v>
      </c>
      <c r="F155" t="s">
        <v>14</v>
      </c>
      <c r="G155" s="2">
        <v>2566.4706999999999</v>
      </c>
      <c r="H155" t="str" cm="1">
        <f t="array" ref="H155">_xlfn.IFS(A155&lt;=30, "Youth", A155&lt;=50, "Adult", A155&gt;50, "Older")</f>
        <v>Youth</v>
      </c>
      <c r="I155" t="str" cm="1">
        <f t="array" ref="I155">_xlfn.IFS(A155&lt;=25,"18-25",A155&lt;=35,"26-35",A155&lt;=45,"36-45",A155&lt;=60,"46-60",A155&gt;60,"60+")</f>
        <v>18-25</v>
      </c>
      <c r="J155" t="str" cm="1">
        <f t="array" ref="J155">_xlfn.IFS(C155&lt;18.5,"Underweight",C155&lt;25,"Normal",C155&lt;30,"Overweight",C155&gt;=30,"Obese")</f>
        <v>Normal</v>
      </c>
      <c r="K155" t="str" cm="1">
        <f t="array" ref="K155">_xlfn.IFS(G155&lt;10000, "Low", G155&lt;=25000, "Medium", G155&gt;25000, "High")</f>
        <v>Low</v>
      </c>
    </row>
    <row r="156" spans="1:11" x14ac:dyDescent="0.3">
      <c r="A156">
        <v>20</v>
      </c>
      <c r="B156" s="1" t="s">
        <v>7</v>
      </c>
      <c r="C156">
        <v>23.37</v>
      </c>
      <c r="D156">
        <v>0</v>
      </c>
      <c r="E156" t="s">
        <v>10</v>
      </c>
      <c r="F156" t="s">
        <v>14</v>
      </c>
      <c r="G156" s="2">
        <v>2585.2689999999998</v>
      </c>
      <c r="H156" t="str" cm="1">
        <f t="array" ref="H156">_xlfn.IFS(A156&lt;=30, "Youth", A156&lt;=50, "Adult", A156&gt;50, "Older")</f>
        <v>Youth</v>
      </c>
      <c r="I156" t="str" cm="1">
        <f t="array" ref="I156">_xlfn.IFS(A156&lt;=25,"18-25",A156&lt;=35,"26-35",A156&lt;=45,"36-45",A156&lt;=60,"46-60",A156&gt;60,"60+")</f>
        <v>18-25</v>
      </c>
      <c r="J156" t="str" cm="1">
        <f t="array" ref="J156">_xlfn.IFS(C156&lt;18.5,"Underweight",C156&lt;25,"Normal",C156&lt;30,"Overweight",C156&gt;=30,"Obese")</f>
        <v>Normal</v>
      </c>
      <c r="K156" t="str" cm="1">
        <f t="array" ref="K156">_xlfn.IFS(G156&lt;10000, "Low", G156&lt;=25000, "Medium", G156&gt;25000, "High")</f>
        <v>Low</v>
      </c>
    </row>
    <row r="157" spans="1:11" x14ac:dyDescent="0.3">
      <c r="A157">
        <v>20</v>
      </c>
      <c r="B157" s="1" t="s">
        <v>8</v>
      </c>
      <c r="C157">
        <v>23.37</v>
      </c>
      <c r="D157">
        <v>0</v>
      </c>
      <c r="E157" t="s">
        <v>10</v>
      </c>
      <c r="F157" t="s">
        <v>13</v>
      </c>
      <c r="G157" s="2">
        <v>2585.8506499999999</v>
      </c>
      <c r="H157" t="str" cm="1">
        <f t="array" ref="H157">_xlfn.IFS(A157&lt;=30, "Youth", A157&lt;=50, "Adult", A157&gt;50, "Older")</f>
        <v>Youth</v>
      </c>
      <c r="I157" t="str" cm="1">
        <f t="array" ref="I157">_xlfn.IFS(A157&lt;=25,"18-25",A157&lt;=35,"26-35",A157&lt;=45,"36-45",A157&lt;=60,"46-60",A157&gt;60,"60+")</f>
        <v>18-25</v>
      </c>
      <c r="J157" t="str" cm="1">
        <f t="array" ref="J157">_xlfn.IFS(C157&lt;18.5,"Underweight",C157&lt;25,"Normal",C157&lt;30,"Overweight",C157&gt;=30,"Obese")</f>
        <v>Normal</v>
      </c>
      <c r="K157" t="str" cm="1">
        <f t="array" ref="K157">_xlfn.IFS(G157&lt;10000, "Low", G157&lt;=25000, "Medium", G157&gt;25000, "High")</f>
        <v>Low</v>
      </c>
    </row>
    <row r="158" spans="1:11" x14ac:dyDescent="0.3">
      <c r="A158">
        <v>20</v>
      </c>
      <c r="B158" s="1" t="s">
        <v>8</v>
      </c>
      <c r="C158">
        <v>23.37</v>
      </c>
      <c r="D158">
        <v>0</v>
      </c>
      <c r="E158" t="s">
        <v>9</v>
      </c>
      <c r="F158" t="s">
        <v>12</v>
      </c>
      <c r="G158" s="2">
        <v>2597.779</v>
      </c>
      <c r="H158" t="str" cm="1">
        <f t="array" ref="H158">_xlfn.IFS(A158&lt;=30, "Youth", A158&lt;=50, "Adult", A158&gt;50, "Older")</f>
        <v>Youth</v>
      </c>
      <c r="I158" t="str" cm="1">
        <f t="array" ref="I158">_xlfn.IFS(A158&lt;=25,"18-25",A158&lt;=35,"26-35",A158&lt;=45,"36-45",A158&lt;=60,"46-60",A158&gt;60,"60+")</f>
        <v>18-25</v>
      </c>
      <c r="J158" t="str" cm="1">
        <f t="array" ref="J158">_xlfn.IFS(C158&lt;18.5,"Underweight",C158&lt;25,"Normal",C158&lt;30,"Overweight",C158&gt;=30,"Obese")</f>
        <v>Normal</v>
      </c>
      <c r="K158" t="str" cm="1">
        <f t="array" ref="K158">_xlfn.IFS(G158&lt;10000, "Low", G158&lt;=25000, "Medium", G158&gt;25000, "High")</f>
        <v>Low</v>
      </c>
    </row>
    <row r="159" spans="1:11" x14ac:dyDescent="0.3">
      <c r="A159">
        <v>20</v>
      </c>
      <c r="B159" s="1" t="s">
        <v>8</v>
      </c>
      <c r="C159">
        <v>23.4</v>
      </c>
      <c r="D159">
        <v>0</v>
      </c>
      <c r="E159" t="s">
        <v>9</v>
      </c>
      <c r="F159" t="s">
        <v>14</v>
      </c>
      <c r="G159" s="2">
        <v>2632.9920000000002</v>
      </c>
      <c r="H159" t="str" cm="1">
        <f t="array" ref="H159">_xlfn.IFS(A159&lt;=30, "Youth", A159&lt;=50, "Adult", A159&gt;50, "Older")</f>
        <v>Youth</v>
      </c>
      <c r="I159" t="str" cm="1">
        <f t="array" ref="I159">_xlfn.IFS(A159&lt;=25,"18-25",A159&lt;=35,"26-35",A159&lt;=45,"36-45",A159&lt;=60,"46-60",A159&gt;60,"60+")</f>
        <v>18-25</v>
      </c>
      <c r="J159" t="str" cm="1">
        <f t="array" ref="J159">_xlfn.IFS(C159&lt;18.5,"Underweight",C159&lt;25,"Normal",C159&lt;30,"Overweight",C159&gt;=30,"Obese")</f>
        <v>Normal</v>
      </c>
      <c r="K159" t="str" cm="1">
        <f t="array" ref="K159">_xlfn.IFS(G159&lt;10000, "Low", G159&lt;=25000, "Medium", G159&gt;25000, "High")</f>
        <v>Low</v>
      </c>
    </row>
    <row r="160" spans="1:11" x14ac:dyDescent="0.3">
      <c r="A160">
        <v>20</v>
      </c>
      <c r="B160" s="1" t="s">
        <v>8</v>
      </c>
      <c r="C160">
        <v>23.4</v>
      </c>
      <c r="D160">
        <v>0</v>
      </c>
      <c r="E160" t="s">
        <v>9</v>
      </c>
      <c r="F160" t="s">
        <v>12</v>
      </c>
      <c r="G160" s="2">
        <v>2639.0428999999999</v>
      </c>
      <c r="H160" t="str" cm="1">
        <f t="array" ref="H160">_xlfn.IFS(A160&lt;=30, "Youth", A160&lt;=50, "Adult", A160&gt;50, "Older")</f>
        <v>Youth</v>
      </c>
      <c r="I160" t="str" cm="1">
        <f t="array" ref="I160">_xlfn.IFS(A160&lt;=25,"18-25",A160&lt;=35,"26-35",A160&lt;=45,"36-45",A160&lt;=60,"46-60",A160&gt;60,"60+")</f>
        <v>18-25</v>
      </c>
      <c r="J160" t="str" cm="1">
        <f t="array" ref="J160">_xlfn.IFS(C160&lt;18.5,"Underweight",C160&lt;25,"Normal",C160&lt;30,"Overweight",C160&gt;=30,"Obese")</f>
        <v>Normal</v>
      </c>
      <c r="K160" t="str" cm="1">
        <f t="array" ref="K160">_xlfn.IFS(G160&lt;10000, "Low", G160&lt;=25000, "Medium", G160&gt;25000, "High")</f>
        <v>Low</v>
      </c>
    </row>
    <row r="161" spans="1:11" x14ac:dyDescent="0.3">
      <c r="A161">
        <v>20</v>
      </c>
      <c r="B161" s="1" t="s">
        <v>7</v>
      </c>
      <c r="C161">
        <v>23.465</v>
      </c>
      <c r="D161">
        <v>0</v>
      </c>
      <c r="E161" t="s">
        <v>10</v>
      </c>
      <c r="F161" t="s">
        <v>12</v>
      </c>
      <c r="G161" s="2">
        <v>2643.2685000000001</v>
      </c>
      <c r="H161" t="str" cm="1">
        <f t="array" ref="H161">_xlfn.IFS(A161&lt;=30, "Youth", A161&lt;=50, "Adult", A161&gt;50, "Older")</f>
        <v>Youth</v>
      </c>
      <c r="I161" t="str" cm="1">
        <f t="array" ref="I161">_xlfn.IFS(A161&lt;=25,"18-25",A161&lt;=35,"26-35",A161&lt;=45,"36-45",A161&lt;=60,"46-60",A161&gt;60,"60+")</f>
        <v>18-25</v>
      </c>
      <c r="J161" t="str" cm="1">
        <f t="array" ref="J161">_xlfn.IFS(C161&lt;18.5,"Underweight",C161&lt;25,"Normal",C161&lt;30,"Overweight",C161&gt;=30,"Obese")</f>
        <v>Normal</v>
      </c>
      <c r="K161" t="str" cm="1">
        <f t="array" ref="K161">_xlfn.IFS(G161&lt;10000, "Low", G161&lt;=25000, "Medium", G161&gt;25000, "High")</f>
        <v>Low</v>
      </c>
    </row>
    <row r="162" spans="1:11" x14ac:dyDescent="0.3">
      <c r="A162">
        <v>20</v>
      </c>
      <c r="B162" s="1" t="s">
        <v>7</v>
      </c>
      <c r="C162">
        <v>23.465</v>
      </c>
      <c r="D162">
        <v>0</v>
      </c>
      <c r="E162" t="s">
        <v>9</v>
      </c>
      <c r="F162" t="s">
        <v>13</v>
      </c>
      <c r="G162" s="2">
        <v>2680.9493000000002</v>
      </c>
      <c r="H162" t="str" cm="1">
        <f t="array" ref="H162">_xlfn.IFS(A162&lt;=30, "Youth", A162&lt;=50, "Adult", A162&gt;50, "Older")</f>
        <v>Youth</v>
      </c>
      <c r="I162" t="str" cm="1">
        <f t="array" ref="I162">_xlfn.IFS(A162&lt;=25,"18-25",A162&lt;=35,"26-35",A162&lt;=45,"36-45",A162&lt;=60,"46-60",A162&gt;60,"60+")</f>
        <v>18-25</v>
      </c>
      <c r="J162" t="str" cm="1">
        <f t="array" ref="J162">_xlfn.IFS(C162&lt;18.5,"Underweight",C162&lt;25,"Normal",C162&lt;30,"Overweight",C162&gt;=30,"Obese")</f>
        <v>Normal</v>
      </c>
      <c r="K162" t="str" cm="1">
        <f t="array" ref="K162">_xlfn.IFS(G162&lt;10000, "Low", G162&lt;=25000, "Medium", G162&gt;25000, "High")</f>
        <v>Low</v>
      </c>
    </row>
    <row r="163" spans="1:11" x14ac:dyDescent="0.3">
      <c r="A163">
        <v>20</v>
      </c>
      <c r="B163" s="1" t="s">
        <v>7</v>
      </c>
      <c r="C163">
        <v>23.54</v>
      </c>
      <c r="D163">
        <v>0</v>
      </c>
      <c r="E163" t="s">
        <v>9</v>
      </c>
      <c r="F163" t="s">
        <v>12</v>
      </c>
      <c r="G163" s="2">
        <v>2689.4953999999998</v>
      </c>
      <c r="H163" t="str" cm="1">
        <f t="array" ref="H163">_xlfn.IFS(A163&lt;=30, "Youth", A163&lt;=50, "Adult", A163&gt;50, "Older")</f>
        <v>Youth</v>
      </c>
      <c r="I163" t="str" cm="1">
        <f t="array" ref="I163">_xlfn.IFS(A163&lt;=25,"18-25",A163&lt;=35,"26-35",A163&lt;=45,"36-45",A163&lt;=60,"46-60",A163&gt;60,"60+")</f>
        <v>18-25</v>
      </c>
      <c r="J163" t="str" cm="1">
        <f t="array" ref="J163">_xlfn.IFS(C163&lt;18.5,"Underweight",C163&lt;25,"Normal",C163&lt;30,"Overweight",C163&gt;=30,"Obese")</f>
        <v>Normal</v>
      </c>
      <c r="K163" t="str" cm="1">
        <f t="array" ref="K163">_xlfn.IFS(G163&lt;10000, "Low", G163&lt;=25000, "Medium", G163&gt;25000, "High")</f>
        <v>Low</v>
      </c>
    </row>
    <row r="164" spans="1:11" x14ac:dyDescent="0.3">
      <c r="A164">
        <v>20</v>
      </c>
      <c r="B164" s="1" t="s">
        <v>8</v>
      </c>
      <c r="C164">
        <v>23.56</v>
      </c>
      <c r="D164">
        <v>0</v>
      </c>
      <c r="E164" t="s">
        <v>10</v>
      </c>
      <c r="F164" t="s">
        <v>11</v>
      </c>
      <c r="G164" s="2">
        <v>2690.1138000000001</v>
      </c>
      <c r="H164" t="str" cm="1">
        <f t="array" ref="H164">_xlfn.IFS(A164&lt;=30, "Youth", A164&lt;=50, "Adult", A164&gt;50, "Older")</f>
        <v>Youth</v>
      </c>
      <c r="I164" t="str" cm="1">
        <f t="array" ref="I164">_xlfn.IFS(A164&lt;=25,"18-25",A164&lt;=35,"26-35",A164&lt;=45,"36-45",A164&lt;=60,"46-60",A164&gt;60,"60+")</f>
        <v>18-25</v>
      </c>
      <c r="J164" t="str" cm="1">
        <f t="array" ref="J164">_xlfn.IFS(C164&lt;18.5,"Underweight",C164&lt;25,"Normal",C164&lt;30,"Overweight",C164&gt;=30,"Obese")</f>
        <v>Normal</v>
      </c>
      <c r="K164" t="str" cm="1">
        <f t="array" ref="K164">_xlfn.IFS(G164&lt;10000, "Low", G164&lt;=25000, "Medium", G164&gt;25000, "High")</f>
        <v>Low</v>
      </c>
    </row>
    <row r="165" spans="1:11" x14ac:dyDescent="0.3">
      <c r="A165">
        <v>20</v>
      </c>
      <c r="B165" s="1" t="s">
        <v>7</v>
      </c>
      <c r="C165">
        <v>23.56</v>
      </c>
      <c r="D165">
        <v>0</v>
      </c>
      <c r="E165" t="s">
        <v>10</v>
      </c>
      <c r="F165" t="s">
        <v>11</v>
      </c>
      <c r="G165" s="2">
        <v>2699.56835</v>
      </c>
      <c r="H165" t="str" cm="1">
        <f t="array" ref="H165">_xlfn.IFS(A165&lt;=30, "Youth", A165&lt;=50, "Adult", A165&gt;50, "Older")</f>
        <v>Youth</v>
      </c>
      <c r="I165" t="str" cm="1">
        <f t="array" ref="I165">_xlfn.IFS(A165&lt;=25,"18-25",A165&lt;=35,"26-35",A165&lt;=45,"36-45",A165&lt;=60,"46-60",A165&gt;60,"60+")</f>
        <v>18-25</v>
      </c>
      <c r="J165" t="str" cm="1">
        <f t="array" ref="J165">_xlfn.IFS(C165&lt;18.5,"Underweight",C165&lt;25,"Normal",C165&lt;30,"Overweight",C165&gt;=30,"Obese")</f>
        <v>Normal</v>
      </c>
      <c r="K165" t="str" cm="1">
        <f t="array" ref="K165">_xlfn.IFS(G165&lt;10000, "Low", G165&lt;=25000, "Medium", G165&gt;25000, "High")</f>
        <v>Low</v>
      </c>
    </row>
    <row r="166" spans="1:11" x14ac:dyDescent="0.3">
      <c r="A166">
        <v>20</v>
      </c>
      <c r="B166" s="1" t="s">
        <v>8</v>
      </c>
      <c r="C166">
        <v>23.6</v>
      </c>
      <c r="D166">
        <v>0</v>
      </c>
      <c r="E166" t="s">
        <v>10</v>
      </c>
      <c r="F166" t="s">
        <v>13</v>
      </c>
      <c r="G166" s="2">
        <v>2709.1118999999999</v>
      </c>
      <c r="H166" t="str" cm="1">
        <f t="array" ref="H166">_xlfn.IFS(A166&lt;=30, "Youth", A166&lt;=50, "Adult", A166&gt;50, "Older")</f>
        <v>Youth</v>
      </c>
      <c r="I166" t="str" cm="1">
        <f t="array" ref="I166">_xlfn.IFS(A166&lt;=25,"18-25",A166&lt;=35,"26-35",A166&lt;=45,"36-45",A166&lt;=60,"46-60",A166&gt;60,"60+")</f>
        <v>18-25</v>
      </c>
      <c r="J166" t="str" cm="1">
        <f t="array" ref="J166">_xlfn.IFS(C166&lt;18.5,"Underweight",C166&lt;25,"Normal",C166&lt;30,"Overweight",C166&gt;=30,"Obese")</f>
        <v>Normal</v>
      </c>
      <c r="K166" t="str" cm="1">
        <f t="array" ref="K166">_xlfn.IFS(G166&lt;10000, "Low", G166&lt;=25000, "Medium", G166&gt;25000, "High")</f>
        <v>Low</v>
      </c>
    </row>
    <row r="167" spans="1:11" x14ac:dyDescent="0.3">
      <c r="A167">
        <v>21</v>
      </c>
      <c r="B167" s="1" t="s">
        <v>8</v>
      </c>
      <c r="C167">
        <v>23.6</v>
      </c>
      <c r="D167">
        <v>0</v>
      </c>
      <c r="E167" t="s">
        <v>10</v>
      </c>
      <c r="F167" t="s">
        <v>14</v>
      </c>
      <c r="G167" s="2">
        <v>2709.24395</v>
      </c>
      <c r="H167" t="str" cm="1">
        <f t="array" ref="H167">_xlfn.IFS(A167&lt;=30, "Youth", A167&lt;=50, "Adult", A167&gt;50, "Older")</f>
        <v>Youth</v>
      </c>
      <c r="I167" t="str" cm="1">
        <f t="array" ref="I167">_xlfn.IFS(A167&lt;=25,"18-25",A167&lt;=35,"26-35",A167&lt;=45,"36-45",A167&lt;=60,"46-60",A167&gt;60,"60+")</f>
        <v>18-25</v>
      </c>
      <c r="J167" t="str" cm="1">
        <f t="array" ref="J167">_xlfn.IFS(C167&lt;18.5,"Underweight",C167&lt;25,"Normal",C167&lt;30,"Overweight",C167&gt;=30,"Obese")</f>
        <v>Normal</v>
      </c>
      <c r="K167" t="str" cm="1">
        <f t="array" ref="K167">_xlfn.IFS(G167&lt;10000, "Low", G167&lt;=25000, "Medium", G167&gt;25000, "High")</f>
        <v>Low</v>
      </c>
    </row>
    <row r="168" spans="1:11" x14ac:dyDescent="0.3">
      <c r="A168">
        <v>21</v>
      </c>
      <c r="B168" s="1" t="s">
        <v>7</v>
      </c>
      <c r="C168">
        <v>23.65</v>
      </c>
      <c r="D168">
        <v>0</v>
      </c>
      <c r="E168" t="s">
        <v>10</v>
      </c>
      <c r="F168" t="s">
        <v>11</v>
      </c>
      <c r="G168" s="2">
        <v>2710.8285500000002</v>
      </c>
      <c r="H168" t="str" cm="1">
        <f t="array" ref="H168">_xlfn.IFS(A168&lt;=30, "Youth", A168&lt;=50, "Adult", A168&gt;50, "Older")</f>
        <v>Youth</v>
      </c>
      <c r="I168" t="str" cm="1">
        <f t="array" ref="I168">_xlfn.IFS(A168&lt;=25,"18-25",A168&lt;=35,"26-35",A168&lt;=45,"36-45",A168&lt;=60,"46-60",A168&gt;60,"60+")</f>
        <v>18-25</v>
      </c>
      <c r="J168" t="str" cm="1">
        <f t="array" ref="J168">_xlfn.IFS(C168&lt;18.5,"Underweight",C168&lt;25,"Normal",C168&lt;30,"Overweight",C168&gt;=30,"Obese")</f>
        <v>Normal</v>
      </c>
      <c r="K168" t="str" cm="1">
        <f t="array" ref="K168">_xlfn.IFS(G168&lt;10000, "Low", G168&lt;=25000, "Medium", G168&gt;25000, "High")</f>
        <v>Low</v>
      </c>
    </row>
    <row r="169" spans="1:11" x14ac:dyDescent="0.3">
      <c r="A169">
        <v>21</v>
      </c>
      <c r="B169" s="1" t="s">
        <v>7</v>
      </c>
      <c r="C169">
        <v>23.655000000000001</v>
      </c>
      <c r="D169">
        <v>0</v>
      </c>
      <c r="E169" t="s">
        <v>10</v>
      </c>
      <c r="F169" t="s">
        <v>13</v>
      </c>
      <c r="G169" s="2">
        <v>2719.2797500000001</v>
      </c>
      <c r="H169" t="str" cm="1">
        <f t="array" ref="H169">_xlfn.IFS(A169&lt;=30, "Youth", A169&lt;=50, "Adult", A169&gt;50, "Older")</f>
        <v>Youth</v>
      </c>
      <c r="I169" t="str" cm="1">
        <f t="array" ref="I169">_xlfn.IFS(A169&lt;=25,"18-25",A169&lt;=35,"26-35",A169&lt;=45,"36-45",A169&lt;=60,"46-60",A169&gt;60,"60+")</f>
        <v>18-25</v>
      </c>
      <c r="J169" t="str" cm="1">
        <f t="array" ref="J169">_xlfn.IFS(C169&lt;18.5,"Underweight",C169&lt;25,"Normal",C169&lt;30,"Overweight",C169&gt;=30,"Obese")</f>
        <v>Normal</v>
      </c>
      <c r="K169" t="str" cm="1">
        <f t="array" ref="K169">_xlfn.IFS(G169&lt;10000, "Low", G169&lt;=25000, "Medium", G169&gt;25000, "High")</f>
        <v>Low</v>
      </c>
    </row>
    <row r="170" spans="1:11" x14ac:dyDescent="0.3">
      <c r="A170">
        <v>21</v>
      </c>
      <c r="B170" s="1" t="s">
        <v>7</v>
      </c>
      <c r="C170">
        <v>23.655000000000001</v>
      </c>
      <c r="D170">
        <v>0</v>
      </c>
      <c r="E170" t="s">
        <v>10</v>
      </c>
      <c r="F170" t="s">
        <v>13</v>
      </c>
      <c r="G170" s="2">
        <v>2721.3208</v>
      </c>
      <c r="H170" t="str" cm="1">
        <f t="array" ref="H170">_xlfn.IFS(A170&lt;=30, "Youth", A170&lt;=50, "Adult", A170&gt;50, "Older")</f>
        <v>Youth</v>
      </c>
      <c r="I170" t="str" cm="1">
        <f t="array" ref="I170">_xlfn.IFS(A170&lt;=25,"18-25",A170&lt;=35,"26-35",A170&lt;=45,"36-45",A170&lt;=60,"46-60",A170&gt;60,"60+")</f>
        <v>18-25</v>
      </c>
      <c r="J170" t="str" cm="1">
        <f t="array" ref="J170">_xlfn.IFS(C170&lt;18.5,"Underweight",C170&lt;25,"Normal",C170&lt;30,"Overweight",C170&gt;=30,"Obese")</f>
        <v>Normal</v>
      </c>
      <c r="K170" t="str" cm="1">
        <f t="array" ref="K170">_xlfn.IFS(G170&lt;10000, "Low", G170&lt;=25000, "Medium", G170&gt;25000, "High")</f>
        <v>Low</v>
      </c>
    </row>
    <row r="171" spans="1:11" x14ac:dyDescent="0.3">
      <c r="A171">
        <v>21</v>
      </c>
      <c r="B171" s="1" t="s">
        <v>8</v>
      </c>
      <c r="C171">
        <v>23.655000000000001</v>
      </c>
      <c r="D171">
        <v>0</v>
      </c>
      <c r="E171" t="s">
        <v>10</v>
      </c>
      <c r="F171" t="s">
        <v>14</v>
      </c>
      <c r="G171" s="2">
        <v>2727.3951000000002</v>
      </c>
      <c r="H171" t="str" cm="1">
        <f t="array" ref="H171">_xlfn.IFS(A171&lt;=30, "Youth", A171&lt;=50, "Adult", A171&gt;50, "Older")</f>
        <v>Youth</v>
      </c>
      <c r="I171" t="str" cm="1">
        <f t="array" ref="I171">_xlfn.IFS(A171&lt;=25,"18-25",A171&lt;=35,"26-35",A171&lt;=45,"36-45",A171&lt;=60,"46-60",A171&gt;60,"60+")</f>
        <v>18-25</v>
      </c>
      <c r="J171" t="str" cm="1">
        <f t="array" ref="J171">_xlfn.IFS(C171&lt;18.5,"Underweight",C171&lt;25,"Normal",C171&lt;30,"Overweight",C171&gt;=30,"Obese")</f>
        <v>Normal</v>
      </c>
      <c r="K171" t="str" cm="1">
        <f t="array" ref="K171">_xlfn.IFS(G171&lt;10000, "Low", G171&lt;=25000, "Medium", G171&gt;25000, "High")</f>
        <v>Low</v>
      </c>
    </row>
    <row r="172" spans="1:11" x14ac:dyDescent="0.3">
      <c r="A172">
        <v>21</v>
      </c>
      <c r="B172" s="1" t="s">
        <v>8</v>
      </c>
      <c r="C172">
        <v>23.655000000000001</v>
      </c>
      <c r="D172">
        <v>0</v>
      </c>
      <c r="E172" t="s">
        <v>10</v>
      </c>
      <c r="F172" t="s">
        <v>12</v>
      </c>
      <c r="G172" s="2">
        <v>2730.1078499999999</v>
      </c>
      <c r="H172" t="str" cm="1">
        <f t="array" ref="H172">_xlfn.IFS(A172&lt;=30, "Youth", A172&lt;=50, "Adult", A172&gt;50, "Older")</f>
        <v>Youth</v>
      </c>
      <c r="I172" t="str" cm="1">
        <f t="array" ref="I172">_xlfn.IFS(A172&lt;=25,"18-25",A172&lt;=35,"26-35",A172&lt;=45,"36-45",A172&lt;=60,"46-60",A172&gt;60,"60+")</f>
        <v>18-25</v>
      </c>
      <c r="J172" t="str" cm="1">
        <f t="array" ref="J172">_xlfn.IFS(C172&lt;18.5,"Underweight",C172&lt;25,"Normal",C172&lt;30,"Overweight",C172&gt;=30,"Obese")</f>
        <v>Normal</v>
      </c>
      <c r="K172" t="str" cm="1">
        <f t="array" ref="K172">_xlfn.IFS(G172&lt;10000, "Low", G172&lt;=25000, "Medium", G172&gt;25000, "High")</f>
        <v>Low</v>
      </c>
    </row>
    <row r="173" spans="1:11" x14ac:dyDescent="0.3">
      <c r="A173">
        <v>21</v>
      </c>
      <c r="B173" s="1" t="s">
        <v>8</v>
      </c>
      <c r="C173">
        <v>23.655000000000001</v>
      </c>
      <c r="D173">
        <v>0</v>
      </c>
      <c r="E173" t="s">
        <v>10</v>
      </c>
      <c r="F173" t="s">
        <v>11</v>
      </c>
      <c r="G173" s="2">
        <v>2731.9122000000002</v>
      </c>
      <c r="H173" t="str" cm="1">
        <f t="array" ref="H173">_xlfn.IFS(A173&lt;=30, "Youth", A173&lt;=50, "Adult", A173&gt;50, "Older")</f>
        <v>Youth</v>
      </c>
      <c r="I173" t="str" cm="1">
        <f t="array" ref="I173">_xlfn.IFS(A173&lt;=25,"18-25",A173&lt;=35,"26-35",A173&lt;=45,"36-45",A173&lt;=60,"46-60",A173&gt;60,"60+")</f>
        <v>18-25</v>
      </c>
      <c r="J173" t="str" cm="1">
        <f t="array" ref="J173">_xlfn.IFS(C173&lt;18.5,"Underweight",C173&lt;25,"Normal",C173&lt;30,"Overweight",C173&gt;=30,"Obese")</f>
        <v>Normal</v>
      </c>
      <c r="K173" t="str" cm="1">
        <f t="array" ref="K173">_xlfn.IFS(G173&lt;10000, "Low", G173&lt;=25000, "Medium", G173&gt;25000, "High")</f>
        <v>Low</v>
      </c>
    </row>
    <row r="174" spans="1:11" x14ac:dyDescent="0.3">
      <c r="A174">
        <v>21</v>
      </c>
      <c r="B174" s="1" t="s">
        <v>8</v>
      </c>
      <c r="C174">
        <v>23.7</v>
      </c>
      <c r="D174">
        <v>0</v>
      </c>
      <c r="E174" t="s">
        <v>10</v>
      </c>
      <c r="F174" t="s">
        <v>14</v>
      </c>
      <c r="G174" s="2">
        <v>2741.9479999999999</v>
      </c>
      <c r="H174" t="str" cm="1">
        <f t="array" ref="H174">_xlfn.IFS(A174&lt;=30, "Youth", A174&lt;=50, "Adult", A174&gt;50, "Older")</f>
        <v>Youth</v>
      </c>
      <c r="I174" t="str" cm="1">
        <f t="array" ref="I174">_xlfn.IFS(A174&lt;=25,"18-25",A174&lt;=35,"26-35",A174&lt;=45,"36-45",A174&lt;=60,"46-60",A174&gt;60,"60+")</f>
        <v>18-25</v>
      </c>
      <c r="J174" t="str" cm="1">
        <f t="array" ref="J174">_xlfn.IFS(C174&lt;18.5,"Underweight",C174&lt;25,"Normal",C174&lt;30,"Overweight",C174&gt;=30,"Obese")</f>
        <v>Normal</v>
      </c>
      <c r="K174" t="str" cm="1">
        <f t="array" ref="K174">_xlfn.IFS(G174&lt;10000, "Low", G174&lt;=25000, "Medium", G174&gt;25000, "High")</f>
        <v>Low</v>
      </c>
    </row>
    <row r="175" spans="1:11" x14ac:dyDescent="0.3">
      <c r="A175">
        <v>21</v>
      </c>
      <c r="B175" s="1" t="s">
        <v>7</v>
      </c>
      <c r="C175">
        <v>23.7</v>
      </c>
      <c r="D175">
        <v>0</v>
      </c>
      <c r="E175" t="s">
        <v>10</v>
      </c>
      <c r="F175" t="s">
        <v>11</v>
      </c>
      <c r="G175" s="2">
        <v>2755.0209500000001</v>
      </c>
      <c r="H175" t="str" cm="1">
        <f t="array" ref="H175">_xlfn.IFS(A175&lt;=30, "Youth", A175&lt;=50, "Adult", A175&gt;50, "Older")</f>
        <v>Youth</v>
      </c>
      <c r="I175" t="str" cm="1">
        <f t="array" ref="I175">_xlfn.IFS(A175&lt;=25,"18-25",A175&lt;=35,"26-35",A175&lt;=45,"36-45",A175&lt;=60,"46-60",A175&gt;60,"60+")</f>
        <v>18-25</v>
      </c>
      <c r="J175" t="str" cm="1">
        <f t="array" ref="J175">_xlfn.IFS(C175&lt;18.5,"Underweight",C175&lt;25,"Normal",C175&lt;30,"Overweight",C175&gt;=30,"Obese")</f>
        <v>Normal</v>
      </c>
      <c r="K175" t="str" cm="1">
        <f t="array" ref="K175">_xlfn.IFS(G175&lt;10000, "Low", G175&lt;=25000, "Medium", G175&gt;25000, "High")</f>
        <v>Low</v>
      </c>
    </row>
    <row r="176" spans="1:11" x14ac:dyDescent="0.3">
      <c r="A176">
        <v>21</v>
      </c>
      <c r="B176" s="1" t="s">
        <v>7</v>
      </c>
      <c r="C176">
        <v>23.75</v>
      </c>
      <c r="D176">
        <v>0</v>
      </c>
      <c r="E176" t="s">
        <v>10</v>
      </c>
      <c r="F176" t="s">
        <v>13</v>
      </c>
      <c r="G176" s="2">
        <v>2775.1921499999999</v>
      </c>
      <c r="H176" t="str" cm="1">
        <f t="array" ref="H176">_xlfn.IFS(A176&lt;=30, "Youth", A176&lt;=50, "Adult", A176&gt;50, "Older")</f>
        <v>Youth</v>
      </c>
      <c r="I176" t="str" cm="1">
        <f t="array" ref="I176">_xlfn.IFS(A176&lt;=25,"18-25",A176&lt;=35,"26-35",A176&lt;=45,"36-45",A176&lt;=60,"46-60",A176&gt;60,"60+")</f>
        <v>18-25</v>
      </c>
      <c r="J176" t="str" cm="1">
        <f t="array" ref="J176">_xlfn.IFS(C176&lt;18.5,"Underweight",C176&lt;25,"Normal",C176&lt;30,"Overweight",C176&gt;=30,"Obese")</f>
        <v>Normal</v>
      </c>
      <c r="K176" t="str" cm="1">
        <f t="array" ref="K176">_xlfn.IFS(G176&lt;10000, "Low", G176&lt;=25000, "Medium", G176&gt;25000, "High")</f>
        <v>Low</v>
      </c>
    </row>
    <row r="177" spans="1:11" x14ac:dyDescent="0.3">
      <c r="A177">
        <v>21</v>
      </c>
      <c r="B177" s="1" t="s">
        <v>7</v>
      </c>
      <c r="C177">
        <v>23.75</v>
      </c>
      <c r="D177">
        <v>0</v>
      </c>
      <c r="E177" t="s">
        <v>9</v>
      </c>
      <c r="F177" t="s">
        <v>11</v>
      </c>
      <c r="G177" s="2">
        <v>2789.0574000000001</v>
      </c>
      <c r="H177" t="str" cm="1">
        <f t="array" ref="H177">_xlfn.IFS(A177&lt;=30, "Youth", A177&lt;=50, "Adult", A177&gt;50, "Older")</f>
        <v>Youth</v>
      </c>
      <c r="I177" t="str" cm="1">
        <f t="array" ref="I177">_xlfn.IFS(A177&lt;=25,"18-25",A177&lt;=35,"26-35",A177&lt;=45,"36-45",A177&lt;=60,"46-60",A177&gt;60,"60+")</f>
        <v>18-25</v>
      </c>
      <c r="J177" t="str" cm="1">
        <f t="array" ref="J177">_xlfn.IFS(C177&lt;18.5,"Underweight",C177&lt;25,"Normal",C177&lt;30,"Overweight",C177&gt;=30,"Obese")</f>
        <v>Normal</v>
      </c>
      <c r="K177" t="str" cm="1">
        <f t="array" ref="K177">_xlfn.IFS(G177&lt;10000, "Low", G177&lt;=25000, "Medium", G177&gt;25000, "High")</f>
        <v>Low</v>
      </c>
    </row>
    <row r="178" spans="1:11" x14ac:dyDescent="0.3">
      <c r="A178">
        <v>21</v>
      </c>
      <c r="B178" s="1" t="s">
        <v>8</v>
      </c>
      <c r="C178">
        <v>23.75</v>
      </c>
      <c r="D178">
        <v>0</v>
      </c>
      <c r="E178" t="s">
        <v>10</v>
      </c>
      <c r="F178" t="s">
        <v>13</v>
      </c>
      <c r="G178" s="2">
        <v>2801.2588000000001</v>
      </c>
      <c r="H178" t="str" cm="1">
        <f t="array" ref="H178">_xlfn.IFS(A178&lt;=30, "Youth", A178&lt;=50, "Adult", A178&gt;50, "Older")</f>
        <v>Youth</v>
      </c>
      <c r="I178" t="str" cm="1">
        <f t="array" ref="I178">_xlfn.IFS(A178&lt;=25,"18-25",A178&lt;=35,"26-35",A178&lt;=45,"36-45",A178&lt;=60,"46-60",A178&gt;60,"60+")</f>
        <v>18-25</v>
      </c>
      <c r="J178" t="str" cm="1">
        <f t="array" ref="J178">_xlfn.IFS(C178&lt;18.5,"Underweight",C178&lt;25,"Normal",C178&lt;30,"Overweight",C178&gt;=30,"Obese")</f>
        <v>Normal</v>
      </c>
      <c r="K178" t="str" cm="1">
        <f t="array" ref="K178">_xlfn.IFS(G178&lt;10000, "Low", G178&lt;=25000, "Medium", G178&gt;25000, "High")</f>
        <v>Low</v>
      </c>
    </row>
    <row r="179" spans="1:11" x14ac:dyDescent="0.3">
      <c r="A179">
        <v>21</v>
      </c>
      <c r="B179" s="1" t="s">
        <v>8</v>
      </c>
      <c r="C179">
        <v>23.76</v>
      </c>
      <c r="D179">
        <v>0</v>
      </c>
      <c r="E179" t="s">
        <v>10</v>
      </c>
      <c r="F179" t="s">
        <v>11</v>
      </c>
      <c r="G179" s="2">
        <v>2803.69785</v>
      </c>
      <c r="H179" t="str" cm="1">
        <f t="array" ref="H179">_xlfn.IFS(A179&lt;=30, "Youth", A179&lt;=50, "Adult", A179&gt;50, "Older")</f>
        <v>Youth</v>
      </c>
      <c r="I179" t="str" cm="1">
        <f t="array" ref="I179">_xlfn.IFS(A179&lt;=25,"18-25",A179&lt;=35,"26-35",A179&lt;=45,"36-45",A179&lt;=60,"46-60",A179&gt;60,"60+")</f>
        <v>18-25</v>
      </c>
      <c r="J179" t="str" cm="1">
        <f t="array" ref="J179">_xlfn.IFS(C179&lt;18.5,"Underweight",C179&lt;25,"Normal",C179&lt;30,"Overweight",C179&gt;=30,"Obese")</f>
        <v>Normal</v>
      </c>
      <c r="K179" t="str" cm="1">
        <f t="array" ref="K179">_xlfn.IFS(G179&lt;10000, "Low", G179&lt;=25000, "Medium", G179&gt;25000, "High")</f>
        <v>Low</v>
      </c>
    </row>
    <row r="180" spans="1:11" x14ac:dyDescent="0.3">
      <c r="A180">
        <v>21</v>
      </c>
      <c r="B180" s="1" t="s">
        <v>7</v>
      </c>
      <c r="C180">
        <v>23.8</v>
      </c>
      <c r="D180">
        <v>0</v>
      </c>
      <c r="E180" t="s">
        <v>10</v>
      </c>
      <c r="F180" t="s">
        <v>11</v>
      </c>
      <c r="G180" s="2">
        <v>2842.7607499999999</v>
      </c>
      <c r="H180" t="str" cm="1">
        <f t="array" ref="H180">_xlfn.IFS(A180&lt;=30, "Youth", A180&lt;=50, "Adult", A180&gt;50, "Older")</f>
        <v>Youth</v>
      </c>
      <c r="I180" t="str" cm="1">
        <f t="array" ref="I180">_xlfn.IFS(A180&lt;=25,"18-25",A180&lt;=35,"26-35",A180&lt;=45,"36-45",A180&lt;=60,"46-60",A180&gt;60,"60+")</f>
        <v>18-25</v>
      </c>
      <c r="J180" t="str" cm="1">
        <f t="array" ref="J180">_xlfn.IFS(C180&lt;18.5,"Underweight",C180&lt;25,"Normal",C180&lt;30,"Overweight",C180&gt;=30,"Obese")</f>
        <v>Normal</v>
      </c>
      <c r="K180" t="str" cm="1">
        <f t="array" ref="K180">_xlfn.IFS(G180&lt;10000, "Low", G180&lt;=25000, "Medium", G180&gt;25000, "High")</f>
        <v>Low</v>
      </c>
    </row>
    <row r="181" spans="1:11" x14ac:dyDescent="0.3">
      <c r="A181">
        <v>21</v>
      </c>
      <c r="B181" s="1" t="s">
        <v>7</v>
      </c>
      <c r="C181">
        <v>23.844999999999999</v>
      </c>
      <c r="D181">
        <v>0</v>
      </c>
      <c r="E181" t="s">
        <v>10</v>
      </c>
      <c r="F181" t="s">
        <v>14</v>
      </c>
      <c r="G181" s="2">
        <v>2850.6837500000001</v>
      </c>
      <c r="H181" t="str" cm="1">
        <f t="array" ref="H181">_xlfn.IFS(A181&lt;=30, "Youth", A181&lt;=50, "Adult", A181&gt;50, "Older")</f>
        <v>Youth</v>
      </c>
      <c r="I181" t="str" cm="1">
        <f t="array" ref="I181">_xlfn.IFS(A181&lt;=25,"18-25",A181&lt;=35,"26-35",A181&lt;=45,"36-45",A181&lt;=60,"46-60",A181&gt;60,"60+")</f>
        <v>18-25</v>
      </c>
      <c r="J181" t="str" cm="1">
        <f t="array" ref="J181">_xlfn.IFS(C181&lt;18.5,"Underweight",C181&lt;25,"Normal",C181&lt;30,"Overweight",C181&gt;=30,"Obese")</f>
        <v>Normal</v>
      </c>
      <c r="K181" t="str" cm="1">
        <f t="array" ref="K181">_xlfn.IFS(G181&lt;10000, "Low", G181&lt;=25000, "Medium", G181&gt;25000, "High")</f>
        <v>Low</v>
      </c>
    </row>
    <row r="182" spans="1:11" x14ac:dyDescent="0.3">
      <c r="A182">
        <v>21</v>
      </c>
      <c r="B182" s="1" t="s">
        <v>8</v>
      </c>
      <c r="C182">
        <v>23.844999999999999</v>
      </c>
      <c r="D182">
        <v>0</v>
      </c>
      <c r="E182" t="s">
        <v>10</v>
      </c>
      <c r="F182" t="s">
        <v>13</v>
      </c>
      <c r="G182" s="2">
        <v>2855.4375500000001</v>
      </c>
      <c r="H182" t="str" cm="1">
        <f t="array" ref="H182">_xlfn.IFS(A182&lt;=30, "Youth", A182&lt;=50, "Adult", A182&gt;50, "Older")</f>
        <v>Youth</v>
      </c>
      <c r="I182" t="str" cm="1">
        <f t="array" ref="I182">_xlfn.IFS(A182&lt;=25,"18-25",A182&lt;=35,"26-35",A182&lt;=45,"36-45",A182&lt;=60,"46-60",A182&gt;60,"60+")</f>
        <v>18-25</v>
      </c>
      <c r="J182" t="str" cm="1">
        <f t="array" ref="J182">_xlfn.IFS(C182&lt;18.5,"Underweight",C182&lt;25,"Normal",C182&lt;30,"Overweight",C182&gt;=30,"Obese")</f>
        <v>Normal</v>
      </c>
      <c r="K182" t="str" cm="1">
        <f t="array" ref="K182">_xlfn.IFS(G182&lt;10000, "Low", G182&lt;=25000, "Medium", G182&gt;25000, "High")</f>
        <v>Low</v>
      </c>
    </row>
    <row r="183" spans="1:11" x14ac:dyDescent="0.3">
      <c r="A183">
        <v>21</v>
      </c>
      <c r="B183" s="1" t="s">
        <v>7</v>
      </c>
      <c r="C183">
        <v>23.844999999999999</v>
      </c>
      <c r="D183">
        <v>0</v>
      </c>
      <c r="E183" t="s">
        <v>10</v>
      </c>
      <c r="F183" t="s">
        <v>12</v>
      </c>
      <c r="G183" s="2">
        <v>2866.0909999999999</v>
      </c>
      <c r="H183" t="str" cm="1">
        <f t="array" ref="H183">_xlfn.IFS(A183&lt;=30, "Youth", A183&lt;=50, "Adult", A183&gt;50, "Older")</f>
        <v>Youth</v>
      </c>
      <c r="I183" t="str" cm="1">
        <f t="array" ref="I183">_xlfn.IFS(A183&lt;=25,"18-25",A183&lt;=35,"26-35",A183&lt;=45,"36-45",A183&lt;=60,"46-60",A183&gt;60,"60+")</f>
        <v>18-25</v>
      </c>
      <c r="J183" t="str" cm="1">
        <f t="array" ref="J183">_xlfn.IFS(C183&lt;18.5,"Underweight",C183&lt;25,"Normal",C183&lt;30,"Overweight",C183&gt;=30,"Obese")</f>
        <v>Normal</v>
      </c>
      <c r="K183" t="str" cm="1">
        <f t="array" ref="K183">_xlfn.IFS(G183&lt;10000, "Low", G183&lt;=25000, "Medium", G183&gt;25000, "High")</f>
        <v>Low</v>
      </c>
    </row>
    <row r="184" spans="1:11" x14ac:dyDescent="0.3">
      <c r="A184">
        <v>21</v>
      </c>
      <c r="B184" s="1" t="s">
        <v>8</v>
      </c>
      <c r="C184">
        <v>23.87</v>
      </c>
      <c r="D184">
        <v>0</v>
      </c>
      <c r="E184" t="s">
        <v>10</v>
      </c>
      <c r="F184" t="s">
        <v>14</v>
      </c>
      <c r="G184" s="2">
        <v>2867.1196</v>
      </c>
      <c r="H184" t="str" cm="1">
        <f t="array" ref="H184">_xlfn.IFS(A184&lt;=30, "Youth", A184&lt;=50, "Adult", A184&gt;50, "Older")</f>
        <v>Youth</v>
      </c>
      <c r="I184" t="str" cm="1">
        <f t="array" ref="I184">_xlfn.IFS(A184&lt;=25,"18-25",A184&lt;=35,"26-35",A184&lt;=45,"36-45",A184&lt;=60,"46-60",A184&gt;60,"60+")</f>
        <v>18-25</v>
      </c>
      <c r="J184" t="str" cm="1">
        <f t="array" ref="J184">_xlfn.IFS(C184&lt;18.5,"Underweight",C184&lt;25,"Normal",C184&lt;30,"Overweight",C184&gt;=30,"Obese")</f>
        <v>Normal</v>
      </c>
      <c r="K184" t="str" cm="1">
        <f t="array" ref="K184">_xlfn.IFS(G184&lt;10000, "Low", G184&lt;=25000, "Medium", G184&gt;25000, "High")</f>
        <v>Low</v>
      </c>
    </row>
    <row r="185" spans="1:11" x14ac:dyDescent="0.3">
      <c r="A185">
        <v>21</v>
      </c>
      <c r="B185" s="1" t="s">
        <v>7</v>
      </c>
      <c r="C185">
        <v>23.9</v>
      </c>
      <c r="D185">
        <v>0</v>
      </c>
      <c r="E185" t="s">
        <v>10</v>
      </c>
      <c r="F185" t="s">
        <v>13</v>
      </c>
      <c r="G185" s="2">
        <v>2897.3235</v>
      </c>
      <c r="H185" t="str" cm="1">
        <f t="array" ref="H185">_xlfn.IFS(A185&lt;=30, "Youth", A185&lt;=50, "Adult", A185&gt;50, "Older")</f>
        <v>Youth</v>
      </c>
      <c r="I185" t="str" cm="1">
        <f t="array" ref="I185">_xlfn.IFS(A185&lt;=25,"18-25",A185&lt;=35,"26-35",A185&lt;=45,"36-45",A185&lt;=60,"46-60",A185&gt;60,"60+")</f>
        <v>18-25</v>
      </c>
      <c r="J185" t="str" cm="1">
        <f t="array" ref="J185">_xlfn.IFS(C185&lt;18.5,"Underweight",C185&lt;25,"Normal",C185&lt;30,"Overweight",C185&gt;=30,"Obese")</f>
        <v>Normal</v>
      </c>
      <c r="K185" t="str" cm="1">
        <f t="array" ref="K185">_xlfn.IFS(G185&lt;10000, "Low", G185&lt;=25000, "Medium", G185&gt;25000, "High")</f>
        <v>Low</v>
      </c>
    </row>
    <row r="186" spans="1:11" x14ac:dyDescent="0.3">
      <c r="A186">
        <v>21</v>
      </c>
      <c r="B186" s="1" t="s">
        <v>8</v>
      </c>
      <c r="C186">
        <v>23.94</v>
      </c>
      <c r="D186">
        <v>0</v>
      </c>
      <c r="E186" t="s">
        <v>10</v>
      </c>
      <c r="F186" t="s">
        <v>12</v>
      </c>
      <c r="G186" s="2">
        <v>2899.4893499999998</v>
      </c>
      <c r="H186" t="str" cm="1">
        <f t="array" ref="H186">_xlfn.IFS(A186&lt;=30, "Youth", A186&lt;=50, "Adult", A186&gt;50, "Older")</f>
        <v>Youth</v>
      </c>
      <c r="I186" t="str" cm="1">
        <f t="array" ref="I186">_xlfn.IFS(A186&lt;=25,"18-25",A186&lt;=35,"26-35",A186&lt;=45,"36-45",A186&lt;=60,"46-60",A186&gt;60,"60+")</f>
        <v>18-25</v>
      </c>
      <c r="J186" t="str" cm="1">
        <f t="array" ref="J186">_xlfn.IFS(C186&lt;18.5,"Underweight",C186&lt;25,"Normal",C186&lt;30,"Overweight",C186&gt;=30,"Obese")</f>
        <v>Normal</v>
      </c>
      <c r="K186" t="str" cm="1">
        <f t="array" ref="K186">_xlfn.IFS(G186&lt;10000, "Low", G186&lt;=25000, "Medium", G186&gt;25000, "High")</f>
        <v>Low</v>
      </c>
    </row>
    <row r="187" spans="1:11" x14ac:dyDescent="0.3">
      <c r="A187">
        <v>21</v>
      </c>
      <c r="B187" s="1" t="s">
        <v>8</v>
      </c>
      <c r="C187">
        <v>23.98</v>
      </c>
      <c r="D187">
        <v>0</v>
      </c>
      <c r="E187" t="s">
        <v>9</v>
      </c>
      <c r="F187" t="s">
        <v>14</v>
      </c>
      <c r="G187" s="2">
        <v>2902.9065000000001</v>
      </c>
      <c r="H187" t="str" cm="1">
        <f t="array" ref="H187">_xlfn.IFS(A187&lt;=30, "Youth", A187&lt;=50, "Adult", A187&gt;50, "Older")</f>
        <v>Youth</v>
      </c>
      <c r="I187" t="str" cm="1">
        <f t="array" ref="I187">_xlfn.IFS(A187&lt;=25,"18-25",A187&lt;=35,"26-35",A187&lt;=45,"36-45",A187&lt;=60,"46-60",A187&gt;60,"60+")</f>
        <v>18-25</v>
      </c>
      <c r="J187" t="str" cm="1">
        <f t="array" ref="J187">_xlfn.IFS(C187&lt;18.5,"Underweight",C187&lt;25,"Normal",C187&lt;30,"Overweight",C187&gt;=30,"Obese")</f>
        <v>Normal</v>
      </c>
      <c r="K187" t="str" cm="1">
        <f t="array" ref="K187">_xlfn.IFS(G187&lt;10000, "Low", G187&lt;=25000, "Medium", G187&gt;25000, "High")</f>
        <v>Low</v>
      </c>
    </row>
    <row r="188" spans="1:11" x14ac:dyDescent="0.3">
      <c r="A188">
        <v>21</v>
      </c>
      <c r="B188" s="1" t="s">
        <v>7</v>
      </c>
      <c r="C188">
        <v>23.98</v>
      </c>
      <c r="D188">
        <v>0</v>
      </c>
      <c r="E188" t="s">
        <v>10</v>
      </c>
      <c r="F188" t="s">
        <v>12</v>
      </c>
      <c r="G188" s="2">
        <v>2904.0880000000002</v>
      </c>
      <c r="H188" t="str" cm="1">
        <f t="array" ref="H188">_xlfn.IFS(A188&lt;=30, "Youth", A188&lt;=50, "Adult", A188&gt;50, "Older")</f>
        <v>Youth</v>
      </c>
      <c r="I188" t="str" cm="1">
        <f t="array" ref="I188">_xlfn.IFS(A188&lt;=25,"18-25",A188&lt;=35,"26-35",A188&lt;=45,"36-45",A188&lt;=60,"46-60",A188&gt;60,"60+")</f>
        <v>18-25</v>
      </c>
      <c r="J188" t="str" cm="1">
        <f t="array" ref="J188">_xlfn.IFS(C188&lt;18.5,"Underweight",C188&lt;25,"Normal",C188&lt;30,"Overweight",C188&gt;=30,"Obese")</f>
        <v>Normal</v>
      </c>
      <c r="K188" t="str" cm="1">
        <f t="array" ref="K188">_xlfn.IFS(G188&lt;10000, "Low", G188&lt;=25000, "Medium", G188&gt;25000, "High")</f>
        <v>Low</v>
      </c>
    </row>
    <row r="189" spans="1:11" x14ac:dyDescent="0.3">
      <c r="A189">
        <v>21</v>
      </c>
      <c r="B189" s="1" t="s">
        <v>7</v>
      </c>
      <c r="C189">
        <v>23.98</v>
      </c>
      <c r="D189">
        <v>0</v>
      </c>
      <c r="E189" t="s">
        <v>10</v>
      </c>
      <c r="F189" t="s">
        <v>11</v>
      </c>
      <c r="G189" s="2">
        <v>2913.569</v>
      </c>
      <c r="H189" t="str" cm="1">
        <f t="array" ref="H189">_xlfn.IFS(A189&lt;=30, "Youth", A189&lt;=50, "Adult", A189&gt;50, "Older")</f>
        <v>Youth</v>
      </c>
      <c r="I189" t="str" cm="1">
        <f t="array" ref="I189">_xlfn.IFS(A189&lt;=25,"18-25",A189&lt;=35,"26-35",A189&lt;=45,"36-45",A189&lt;=60,"46-60",A189&gt;60,"60+")</f>
        <v>18-25</v>
      </c>
      <c r="J189" t="str" cm="1">
        <f t="array" ref="J189">_xlfn.IFS(C189&lt;18.5,"Underweight",C189&lt;25,"Normal",C189&lt;30,"Overweight",C189&gt;=30,"Obese")</f>
        <v>Normal</v>
      </c>
      <c r="K189" t="str" cm="1">
        <f t="array" ref="K189">_xlfn.IFS(G189&lt;10000, "Low", G189&lt;=25000, "Medium", G189&gt;25000, "High")</f>
        <v>Low</v>
      </c>
    </row>
    <row r="190" spans="1:11" x14ac:dyDescent="0.3">
      <c r="A190">
        <v>21</v>
      </c>
      <c r="B190" s="1" t="s">
        <v>7</v>
      </c>
      <c r="C190">
        <v>24.035</v>
      </c>
      <c r="D190">
        <v>0</v>
      </c>
      <c r="E190" t="s">
        <v>10</v>
      </c>
      <c r="F190" t="s">
        <v>11</v>
      </c>
      <c r="G190" s="2">
        <v>2927.0646999999999</v>
      </c>
      <c r="H190" t="str" cm="1">
        <f t="array" ref="H190">_xlfn.IFS(A190&lt;=30, "Youth", A190&lt;=50, "Adult", A190&gt;50, "Older")</f>
        <v>Youth</v>
      </c>
      <c r="I190" t="str" cm="1">
        <f t="array" ref="I190">_xlfn.IFS(A190&lt;=25,"18-25",A190&lt;=35,"26-35",A190&lt;=45,"36-45",A190&lt;=60,"46-60",A190&gt;60,"60+")</f>
        <v>18-25</v>
      </c>
      <c r="J190" t="str" cm="1">
        <f t="array" ref="J190">_xlfn.IFS(C190&lt;18.5,"Underweight",C190&lt;25,"Normal",C190&lt;30,"Overweight",C190&gt;=30,"Obese")</f>
        <v>Normal</v>
      </c>
      <c r="K190" t="str" cm="1">
        <f t="array" ref="K190">_xlfn.IFS(G190&lt;10000, "Low", G190&lt;=25000, "Medium", G190&gt;25000, "High")</f>
        <v>Low</v>
      </c>
    </row>
    <row r="191" spans="1:11" x14ac:dyDescent="0.3">
      <c r="A191">
        <v>21</v>
      </c>
      <c r="B191" s="1" t="s">
        <v>7</v>
      </c>
      <c r="C191">
        <v>24.035</v>
      </c>
      <c r="D191">
        <v>0</v>
      </c>
      <c r="E191" t="s">
        <v>10</v>
      </c>
      <c r="F191" t="s">
        <v>13</v>
      </c>
      <c r="G191" s="2">
        <v>2974.1260000000002</v>
      </c>
      <c r="H191" t="str" cm="1">
        <f t="array" ref="H191">_xlfn.IFS(A191&lt;=30, "Youth", A191&lt;=50, "Adult", A191&gt;50, "Older")</f>
        <v>Youth</v>
      </c>
      <c r="I191" t="str" cm="1">
        <f t="array" ref="I191">_xlfn.IFS(A191&lt;=25,"18-25",A191&lt;=35,"26-35",A191&lt;=45,"36-45",A191&lt;=60,"46-60",A191&gt;60,"60+")</f>
        <v>18-25</v>
      </c>
      <c r="J191" t="str" cm="1">
        <f t="array" ref="J191">_xlfn.IFS(C191&lt;18.5,"Underweight",C191&lt;25,"Normal",C191&lt;30,"Overweight",C191&gt;=30,"Obese")</f>
        <v>Normal</v>
      </c>
      <c r="K191" t="str" cm="1">
        <f t="array" ref="K191">_xlfn.IFS(G191&lt;10000, "Low", G191&lt;=25000, "Medium", G191&gt;25000, "High")</f>
        <v>Low</v>
      </c>
    </row>
    <row r="192" spans="1:11" x14ac:dyDescent="0.3">
      <c r="A192">
        <v>21</v>
      </c>
      <c r="B192" s="1" t="s">
        <v>8</v>
      </c>
      <c r="C192">
        <v>24.035</v>
      </c>
      <c r="D192">
        <v>0</v>
      </c>
      <c r="E192" t="s">
        <v>10</v>
      </c>
      <c r="F192" t="s">
        <v>12</v>
      </c>
      <c r="G192" s="2">
        <v>3021.80915</v>
      </c>
      <c r="H192" t="str" cm="1">
        <f t="array" ref="H192">_xlfn.IFS(A192&lt;=30, "Youth", A192&lt;=50, "Adult", A192&gt;50, "Older")</f>
        <v>Youth</v>
      </c>
      <c r="I192" t="str" cm="1">
        <f t="array" ref="I192">_xlfn.IFS(A192&lt;=25,"18-25",A192&lt;=35,"26-35",A192&lt;=45,"36-45",A192&lt;=60,"46-60",A192&gt;60,"60+")</f>
        <v>18-25</v>
      </c>
      <c r="J192" t="str" cm="1">
        <f t="array" ref="J192">_xlfn.IFS(C192&lt;18.5,"Underweight",C192&lt;25,"Normal",C192&lt;30,"Overweight",C192&gt;=30,"Obese")</f>
        <v>Normal</v>
      </c>
      <c r="K192" t="str" cm="1">
        <f t="array" ref="K192">_xlfn.IFS(G192&lt;10000, "Low", G192&lt;=25000, "Medium", G192&gt;25000, "High")</f>
        <v>Low</v>
      </c>
    </row>
    <row r="193" spans="1:11" x14ac:dyDescent="0.3">
      <c r="A193">
        <v>21</v>
      </c>
      <c r="B193" s="1" t="s">
        <v>7</v>
      </c>
      <c r="C193">
        <v>24.09</v>
      </c>
      <c r="D193">
        <v>0</v>
      </c>
      <c r="E193" t="s">
        <v>10</v>
      </c>
      <c r="F193" t="s">
        <v>11</v>
      </c>
      <c r="G193" s="2">
        <v>3044.2132999999999</v>
      </c>
      <c r="H193" t="str" cm="1">
        <f t="array" ref="H193">_xlfn.IFS(A193&lt;=30, "Youth", A193&lt;=50, "Adult", A193&gt;50, "Older")</f>
        <v>Youth</v>
      </c>
      <c r="I193" t="str" cm="1">
        <f t="array" ref="I193">_xlfn.IFS(A193&lt;=25,"18-25",A193&lt;=35,"26-35",A193&lt;=45,"36-45",A193&lt;=60,"46-60",A193&gt;60,"60+")</f>
        <v>18-25</v>
      </c>
      <c r="J193" t="str" cm="1">
        <f t="array" ref="J193">_xlfn.IFS(C193&lt;18.5,"Underweight",C193&lt;25,"Normal",C193&lt;30,"Overweight",C193&gt;=30,"Obese")</f>
        <v>Normal</v>
      </c>
      <c r="K193" t="str" cm="1">
        <f t="array" ref="K193">_xlfn.IFS(G193&lt;10000, "Low", G193&lt;=25000, "Medium", G193&gt;25000, "High")</f>
        <v>Low</v>
      </c>
    </row>
    <row r="194" spans="1:11" x14ac:dyDescent="0.3">
      <c r="A194">
        <v>21</v>
      </c>
      <c r="B194" s="1" t="s">
        <v>8</v>
      </c>
      <c r="C194">
        <v>24.1</v>
      </c>
      <c r="D194">
        <v>0</v>
      </c>
      <c r="E194" t="s">
        <v>10</v>
      </c>
      <c r="F194" t="s">
        <v>12</v>
      </c>
      <c r="G194" s="2">
        <v>3046.0619999999999</v>
      </c>
      <c r="H194" t="str" cm="1">
        <f t="array" ref="H194">_xlfn.IFS(A194&lt;=30, "Youth", A194&lt;=50, "Adult", A194&gt;50, "Older")</f>
        <v>Youth</v>
      </c>
      <c r="I194" t="str" cm="1">
        <f t="array" ref="I194">_xlfn.IFS(A194&lt;=25,"18-25",A194&lt;=35,"26-35",A194&lt;=45,"36-45",A194&lt;=60,"46-60",A194&gt;60,"60+")</f>
        <v>18-25</v>
      </c>
      <c r="J194" t="str" cm="1">
        <f t="array" ref="J194">_xlfn.IFS(C194&lt;18.5,"Underweight",C194&lt;25,"Normal",C194&lt;30,"Overweight",C194&gt;=30,"Obese")</f>
        <v>Normal</v>
      </c>
      <c r="K194" t="str" cm="1">
        <f t="array" ref="K194">_xlfn.IFS(G194&lt;10000, "Low", G194&lt;=25000, "Medium", G194&gt;25000, "High")</f>
        <v>Low</v>
      </c>
    </row>
    <row r="195" spans="1:11" x14ac:dyDescent="0.3">
      <c r="A195">
        <v>22</v>
      </c>
      <c r="B195" s="1" t="s">
        <v>7</v>
      </c>
      <c r="C195">
        <v>24.1</v>
      </c>
      <c r="D195">
        <v>0</v>
      </c>
      <c r="E195" t="s">
        <v>10</v>
      </c>
      <c r="F195" t="s">
        <v>13</v>
      </c>
      <c r="G195" s="2">
        <v>3056.3881000000001</v>
      </c>
      <c r="H195" t="str" cm="1">
        <f t="array" ref="H195">_xlfn.IFS(A195&lt;=30, "Youth", A195&lt;=50, "Adult", A195&gt;50, "Older")</f>
        <v>Youth</v>
      </c>
      <c r="I195" t="str" cm="1">
        <f t="array" ref="I195">_xlfn.IFS(A195&lt;=25,"18-25",A195&lt;=35,"26-35",A195&lt;=45,"36-45",A195&lt;=60,"46-60",A195&gt;60,"60+")</f>
        <v>18-25</v>
      </c>
      <c r="J195" t="str" cm="1">
        <f t="array" ref="J195">_xlfn.IFS(C195&lt;18.5,"Underweight",C195&lt;25,"Normal",C195&lt;30,"Overweight",C195&gt;=30,"Obese")</f>
        <v>Normal</v>
      </c>
      <c r="K195" t="str" cm="1">
        <f t="array" ref="K195">_xlfn.IFS(G195&lt;10000, "Low", G195&lt;=25000, "Medium", G195&gt;25000, "High")</f>
        <v>Low</v>
      </c>
    </row>
    <row r="196" spans="1:11" x14ac:dyDescent="0.3">
      <c r="A196">
        <v>22</v>
      </c>
      <c r="B196" s="1" t="s">
        <v>8</v>
      </c>
      <c r="C196">
        <v>24.13</v>
      </c>
      <c r="D196">
        <v>0</v>
      </c>
      <c r="E196" t="s">
        <v>10</v>
      </c>
      <c r="F196" t="s">
        <v>12</v>
      </c>
      <c r="G196" s="2">
        <v>3062.5082499999999</v>
      </c>
      <c r="H196" t="str" cm="1">
        <f t="array" ref="H196">_xlfn.IFS(A196&lt;=30, "Youth", A196&lt;=50, "Adult", A196&gt;50, "Older")</f>
        <v>Youth</v>
      </c>
      <c r="I196" t="str" cm="1">
        <f t="array" ref="I196">_xlfn.IFS(A196&lt;=25,"18-25",A196&lt;=35,"26-35",A196&lt;=45,"36-45",A196&lt;=60,"46-60",A196&gt;60,"60+")</f>
        <v>18-25</v>
      </c>
      <c r="J196" t="str" cm="1">
        <f t="array" ref="J196">_xlfn.IFS(C196&lt;18.5,"Underweight",C196&lt;25,"Normal",C196&lt;30,"Overweight",C196&gt;=30,"Obese")</f>
        <v>Normal</v>
      </c>
      <c r="K196" t="str" cm="1">
        <f t="array" ref="K196">_xlfn.IFS(G196&lt;10000, "Low", G196&lt;=25000, "Medium", G196&gt;25000, "High")</f>
        <v>Low</v>
      </c>
    </row>
    <row r="197" spans="1:11" x14ac:dyDescent="0.3">
      <c r="A197">
        <v>22</v>
      </c>
      <c r="B197" s="1" t="s">
        <v>8</v>
      </c>
      <c r="C197">
        <v>24.13</v>
      </c>
      <c r="D197">
        <v>0</v>
      </c>
      <c r="E197" t="s">
        <v>10</v>
      </c>
      <c r="F197" t="s">
        <v>13</v>
      </c>
      <c r="G197" s="2">
        <v>3070.8087</v>
      </c>
      <c r="H197" t="str" cm="1">
        <f t="array" ref="H197">_xlfn.IFS(A197&lt;=30, "Youth", A197&lt;=50, "Adult", A197&gt;50, "Older")</f>
        <v>Youth</v>
      </c>
      <c r="I197" t="str" cm="1">
        <f t="array" ref="I197">_xlfn.IFS(A197&lt;=25,"18-25",A197&lt;=35,"26-35",A197&lt;=45,"36-45",A197&lt;=60,"46-60",A197&gt;60,"60+")</f>
        <v>18-25</v>
      </c>
      <c r="J197" t="str" cm="1">
        <f t="array" ref="J197">_xlfn.IFS(C197&lt;18.5,"Underweight",C197&lt;25,"Normal",C197&lt;30,"Overweight",C197&gt;=30,"Obese")</f>
        <v>Normal</v>
      </c>
      <c r="K197" t="str" cm="1">
        <f t="array" ref="K197">_xlfn.IFS(G197&lt;10000, "Low", G197&lt;=25000, "Medium", G197&gt;25000, "High")</f>
        <v>Low</v>
      </c>
    </row>
    <row r="198" spans="1:11" x14ac:dyDescent="0.3">
      <c r="A198">
        <v>22</v>
      </c>
      <c r="B198" s="1" t="s">
        <v>7</v>
      </c>
      <c r="C198">
        <v>24.13</v>
      </c>
      <c r="D198">
        <v>0</v>
      </c>
      <c r="E198" t="s">
        <v>10</v>
      </c>
      <c r="F198" t="s">
        <v>11</v>
      </c>
      <c r="G198" s="2">
        <v>3077.0954999999999</v>
      </c>
      <c r="H198" t="str" cm="1">
        <f t="array" ref="H198">_xlfn.IFS(A198&lt;=30, "Youth", A198&lt;=50, "Adult", A198&gt;50, "Older")</f>
        <v>Youth</v>
      </c>
      <c r="I198" t="str" cm="1">
        <f t="array" ref="I198">_xlfn.IFS(A198&lt;=25,"18-25",A198&lt;=35,"26-35",A198&lt;=45,"36-45",A198&lt;=60,"46-60",A198&gt;60,"60+")</f>
        <v>18-25</v>
      </c>
      <c r="J198" t="str" cm="1">
        <f t="array" ref="J198">_xlfn.IFS(C198&lt;18.5,"Underweight",C198&lt;25,"Normal",C198&lt;30,"Overweight",C198&gt;=30,"Obese")</f>
        <v>Normal</v>
      </c>
      <c r="K198" t="str" cm="1">
        <f t="array" ref="K198">_xlfn.IFS(G198&lt;10000, "Low", G198&lt;=25000, "Medium", G198&gt;25000, "High")</f>
        <v>Low</v>
      </c>
    </row>
    <row r="199" spans="1:11" x14ac:dyDescent="0.3">
      <c r="A199">
        <v>22</v>
      </c>
      <c r="B199" s="1" t="s">
        <v>7</v>
      </c>
      <c r="C199">
        <v>24.13</v>
      </c>
      <c r="D199">
        <v>0</v>
      </c>
      <c r="E199" t="s">
        <v>10</v>
      </c>
      <c r="F199" t="s">
        <v>12</v>
      </c>
      <c r="G199" s="2">
        <v>3161.4540000000002</v>
      </c>
      <c r="H199" t="str" cm="1">
        <f t="array" ref="H199">_xlfn.IFS(A199&lt;=30, "Youth", A199&lt;=50, "Adult", A199&gt;50, "Older")</f>
        <v>Youth</v>
      </c>
      <c r="I199" t="str" cm="1">
        <f t="array" ref="I199">_xlfn.IFS(A199&lt;=25,"18-25",A199&lt;=35,"26-35",A199&lt;=45,"36-45",A199&lt;=60,"46-60",A199&gt;60,"60+")</f>
        <v>18-25</v>
      </c>
      <c r="J199" t="str" cm="1">
        <f t="array" ref="J199">_xlfn.IFS(C199&lt;18.5,"Underweight",C199&lt;25,"Normal",C199&lt;30,"Overweight",C199&gt;=30,"Obese")</f>
        <v>Normal</v>
      </c>
      <c r="K199" t="str" cm="1">
        <f t="array" ref="K199">_xlfn.IFS(G199&lt;10000, "Low", G199&lt;=25000, "Medium", G199&gt;25000, "High")</f>
        <v>Low</v>
      </c>
    </row>
    <row r="200" spans="1:11" x14ac:dyDescent="0.3">
      <c r="A200">
        <v>22</v>
      </c>
      <c r="B200" s="1" t="s">
        <v>7</v>
      </c>
      <c r="C200">
        <v>24.225000000000001</v>
      </c>
      <c r="D200">
        <v>0</v>
      </c>
      <c r="E200" t="s">
        <v>10</v>
      </c>
      <c r="F200" t="s">
        <v>13</v>
      </c>
      <c r="G200" s="2">
        <v>3167.4558499999998</v>
      </c>
      <c r="H200" t="str" cm="1">
        <f t="array" ref="H200">_xlfn.IFS(A200&lt;=30, "Youth", A200&lt;=50, "Adult", A200&gt;50, "Older")</f>
        <v>Youth</v>
      </c>
      <c r="I200" t="str" cm="1">
        <f t="array" ref="I200">_xlfn.IFS(A200&lt;=25,"18-25",A200&lt;=35,"26-35",A200&lt;=45,"36-45",A200&lt;=60,"46-60",A200&gt;60,"60+")</f>
        <v>18-25</v>
      </c>
      <c r="J200" t="str" cm="1">
        <f t="array" ref="J200">_xlfn.IFS(C200&lt;18.5,"Underweight",C200&lt;25,"Normal",C200&lt;30,"Overweight",C200&gt;=30,"Obese")</f>
        <v>Normal</v>
      </c>
      <c r="K200" t="str" cm="1">
        <f t="array" ref="K200">_xlfn.IFS(G200&lt;10000, "Low", G200&lt;=25000, "Medium", G200&gt;25000, "High")</f>
        <v>Low</v>
      </c>
    </row>
    <row r="201" spans="1:11" x14ac:dyDescent="0.3">
      <c r="A201">
        <v>22</v>
      </c>
      <c r="B201" s="1" t="s">
        <v>7</v>
      </c>
      <c r="C201">
        <v>24.225000000000001</v>
      </c>
      <c r="D201">
        <v>0</v>
      </c>
      <c r="E201" t="s">
        <v>10</v>
      </c>
      <c r="F201" t="s">
        <v>14</v>
      </c>
      <c r="G201" s="2">
        <v>3171.6149</v>
      </c>
      <c r="H201" t="str" cm="1">
        <f t="array" ref="H201">_xlfn.IFS(A201&lt;=30, "Youth", A201&lt;=50, "Adult", A201&gt;50, "Older")</f>
        <v>Youth</v>
      </c>
      <c r="I201" t="str" cm="1">
        <f t="array" ref="I201">_xlfn.IFS(A201&lt;=25,"18-25",A201&lt;=35,"26-35",A201&lt;=45,"36-45",A201&lt;=60,"46-60",A201&gt;60,"60+")</f>
        <v>18-25</v>
      </c>
      <c r="J201" t="str" cm="1">
        <f t="array" ref="J201">_xlfn.IFS(C201&lt;18.5,"Underweight",C201&lt;25,"Normal",C201&lt;30,"Overweight",C201&gt;=30,"Obese")</f>
        <v>Normal</v>
      </c>
      <c r="K201" t="str" cm="1">
        <f t="array" ref="K201">_xlfn.IFS(G201&lt;10000, "Low", G201&lt;=25000, "Medium", G201&gt;25000, "High")</f>
        <v>Low</v>
      </c>
    </row>
    <row r="202" spans="1:11" x14ac:dyDescent="0.3">
      <c r="A202">
        <v>22</v>
      </c>
      <c r="B202" s="1" t="s">
        <v>7</v>
      </c>
      <c r="C202">
        <v>24.225000000000001</v>
      </c>
      <c r="D202">
        <v>0</v>
      </c>
      <c r="E202" t="s">
        <v>10</v>
      </c>
      <c r="F202" t="s">
        <v>13</v>
      </c>
      <c r="G202" s="2">
        <v>3172.018</v>
      </c>
      <c r="H202" t="str" cm="1">
        <f t="array" ref="H202">_xlfn.IFS(A202&lt;=30, "Youth", A202&lt;=50, "Adult", A202&gt;50, "Older")</f>
        <v>Youth</v>
      </c>
      <c r="I202" t="str" cm="1">
        <f t="array" ref="I202">_xlfn.IFS(A202&lt;=25,"18-25",A202&lt;=35,"26-35",A202&lt;=45,"36-45",A202&lt;=60,"46-60",A202&gt;60,"60+")</f>
        <v>18-25</v>
      </c>
      <c r="J202" t="str" cm="1">
        <f t="array" ref="J202">_xlfn.IFS(C202&lt;18.5,"Underweight",C202&lt;25,"Normal",C202&lt;30,"Overweight",C202&gt;=30,"Obese")</f>
        <v>Normal</v>
      </c>
      <c r="K202" t="str" cm="1">
        <f t="array" ref="K202">_xlfn.IFS(G202&lt;10000, "Low", G202&lt;=25000, "Medium", G202&gt;25000, "High")</f>
        <v>Low</v>
      </c>
    </row>
    <row r="203" spans="1:11" x14ac:dyDescent="0.3">
      <c r="A203">
        <v>22</v>
      </c>
      <c r="B203" s="1" t="s">
        <v>7</v>
      </c>
      <c r="C203">
        <v>24.3</v>
      </c>
      <c r="D203">
        <v>0</v>
      </c>
      <c r="E203" t="s">
        <v>10</v>
      </c>
      <c r="F203" t="s">
        <v>12</v>
      </c>
      <c r="G203" s="2">
        <v>3176.2876999999999</v>
      </c>
      <c r="H203" t="str" cm="1">
        <f t="array" ref="H203">_xlfn.IFS(A203&lt;=30, "Youth", A203&lt;=50, "Adult", A203&gt;50, "Older")</f>
        <v>Youth</v>
      </c>
      <c r="I203" t="str" cm="1">
        <f t="array" ref="I203">_xlfn.IFS(A203&lt;=25,"18-25",A203&lt;=35,"26-35",A203&lt;=45,"36-45",A203&lt;=60,"46-60",A203&gt;60,"60+")</f>
        <v>18-25</v>
      </c>
      <c r="J203" t="str" cm="1">
        <f t="array" ref="J203">_xlfn.IFS(C203&lt;18.5,"Underweight",C203&lt;25,"Normal",C203&lt;30,"Overweight",C203&gt;=30,"Obese")</f>
        <v>Normal</v>
      </c>
      <c r="K203" t="str" cm="1">
        <f t="array" ref="K203">_xlfn.IFS(G203&lt;10000, "Low", G203&lt;=25000, "Medium", G203&gt;25000, "High")</f>
        <v>Low</v>
      </c>
    </row>
    <row r="204" spans="1:11" x14ac:dyDescent="0.3">
      <c r="A204">
        <v>22</v>
      </c>
      <c r="B204" s="1" t="s">
        <v>7</v>
      </c>
      <c r="C204">
        <v>24.3</v>
      </c>
      <c r="D204">
        <v>0</v>
      </c>
      <c r="E204" t="s">
        <v>10</v>
      </c>
      <c r="F204" t="s">
        <v>13</v>
      </c>
      <c r="G204" s="2">
        <v>3176.8159000000001</v>
      </c>
      <c r="H204" t="str" cm="1">
        <f t="array" ref="H204">_xlfn.IFS(A204&lt;=30, "Youth", A204&lt;=50, "Adult", A204&gt;50, "Older")</f>
        <v>Youth</v>
      </c>
      <c r="I204" t="str" cm="1">
        <f t="array" ref="I204">_xlfn.IFS(A204&lt;=25,"18-25",A204&lt;=35,"26-35",A204&lt;=45,"36-45",A204&lt;=60,"46-60",A204&gt;60,"60+")</f>
        <v>18-25</v>
      </c>
      <c r="J204" t="str" cm="1">
        <f t="array" ref="J204">_xlfn.IFS(C204&lt;18.5,"Underweight",C204&lt;25,"Normal",C204&lt;30,"Overweight",C204&gt;=30,"Obese")</f>
        <v>Normal</v>
      </c>
      <c r="K204" t="str" cm="1">
        <f t="array" ref="K204">_xlfn.IFS(G204&lt;10000, "Low", G204&lt;=25000, "Medium", G204&gt;25000, "High")</f>
        <v>Low</v>
      </c>
    </row>
    <row r="205" spans="1:11" x14ac:dyDescent="0.3">
      <c r="A205">
        <v>22</v>
      </c>
      <c r="B205" s="1" t="s">
        <v>7</v>
      </c>
      <c r="C205">
        <v>24.3</v>
      </c>
      <c r="D205">
        <v>0</v>
      </c>
      <c r="E205" t="s">
        <v>9</v>
      </c>
      <c r="F205" t="s">
        <v>12</v>
      </c>
      <c r="G205" s="2">
        <v>3180.5101</v>
      </c>
      <c r="H205" t="str" cm="1">
        <f t="array" ref="H205">_xlfn.IFS(A205&lt;=30, "Youth", A205&lt;=50, "Adult", A205&gt;50, "Older")</f>
        <v>Youth</v>
      </c>
      <c r="I205" t="str" cm="1">
        <f t="array" ref="I205">_xlfn.IFS(A205&lt;=25,"18-25",A205&lt;=35,"26-35",A205&lt;=45,"36-45",A205&lt;=60,"46-60",A205&gt;60,"60+")</f>
        <v>18-25</v>
      </c>
      <c r="J205" t="str" cm="1">
        <f t="array" ref="J205">_xlfn.IFS(C205&lt;18.5,"Underweight",C205&lt;25,"Normal",C205&lt;30,"Overweight",C205&gt;=30,"Obese")</f>
        <v>Normal</v>
      </c>
      <c r="K205" t="str" cm="1">
        <f t="array" ref="K205">_xlfn.IFS(G205&lt;10000, "Low", G205&lt;=25000, "Medium", G205&gt;25000, "High")</f>
        <v>Low</v>
      </c>
    </row>
    <row r="206" spans="1:11" x14ac:dyDescent="0.3">
      <c r="A206">
        <v>22</v>
      </c>
      <c r="B206" s="1" t="s">
        <v>8</v>
      </c>
      <c r="C206">
        <v>24.31</v>
      </c>
      <c r="D206">
        <v>0</v>
      </c>
      <c r="E206" t="s">
        <v>10</v>
      </c>
      <c r="F206" t="s">
        <v>11</v>
      </c>
      <c r="G206" s="2">
        <v>3201.2451500000002</v>
      </c>
      <c r="H206" t="str" cm="1">
        <f t="array" ref="H206">_xlfn.IFS(A206&lt;=30, "Youth", A206&lt;=50, "Adult", A206&gt;50, "Older")</f>
        <v>Youth</v>
      </c>
      <c r="I206" t="str" cm="1">
        <f t="array" ref="I206">_xlfn.IFS(A206&lt;=25,"18-25",A206&lt;=35,"26-35",A206&lt;=45,"36-45",A206&lt;=60,"46-60",A206&gt;60,"60+")</f>
        <v>18-25</v>
      </c>
      <c r="J206" t="str" cm="1">
        <f t="array" ref="J206">_xlfn.IFS(C206&lt;18.5,"Underweight",C206&lt;25,"Normal",C206&lt;30,"Overweight",C206&gt;=30,"Obese")</f>
        <v>Normal</v>
      </c>
      <c r="K206" t="str" cm="1">
        <f t="array" ref="K206">_xlfn.IFS(G206&lt;10000, "Low", G206&lt;=25000, "Medium", G206&gt;25000, "High")</f>
        <v>Low</v>
      </c>
    </row>
    <row r="207" spans="1:11" x14ac:dyDescent="0.3">
      <c r="A207">
        <v>22</v>
      </c>
      <c r="B207" s="1" t="s">
        <v>7</v>
      </c>
      <c r="C207">
        <v>24.31</v>
      </c>
      <c r="D207">
        <v>0</v>
      </c>
      <c r="E207" t="s">
        <v>10</v>
      </c>
      <c r="F207" t="s">
        <v>14</v>
      </c>
      <c r="G207" s="2">
        <v>3206.4913499999998</v>
      </c>
      <c r="H207" t="str" cm="1">
        <f t="array" ref="H207">_xlfn.IFS(A207&lt;=30, "Youth", A207&lt;=50, "Adult", A207&gt;50, "Older")</f>
        <v>Youth</v>
      </c>
      <c r="I207" t="str" cm="1">
        <f t="array" ref="I207">_xlfn.IFS(A207&lt;=25,"18-25",A207&lt;=35,"26-35",A207&lt;=45,"36-45",A207&lt;=60,"46-60",A207&gt;60,"60+")</f>
        <v>18-25</v>
      </c>
      <c r="J207" t="str" cm="1">
        <f t="array" ref="J207">_xlfn.IFS(C207&lt;18.5,"Underweight",C207&lt;25,"Normal",C207&lt;30,"Overweight",C207&gt;=30,"Obese")</f>
        <v>Normal</v>
      </c>
      <c r="K207" t="str" cm="1">
        <f t="array" ref="K207">_xlfn.IFS(G207&lt;10000, "Low", G207&lt;=25000, "Medium", G207&gt;25000, "High")</f>
        <v>Low</v>
      </c>
    </row>
    <row r="208" spans="1:11" x14ac:dyDescent="0.3">
      <c r="A208">
        <v>22</v>
      </c>
      <c r="B208" s="1" t="s">
        <v>8</v>
      </c>
      <c r="C208">
        <v>24.32</v>
      </c>
      <c r="D208">
        <v>0</v>
      </c>
      <c r="E208" t="s">
        <v>10</v>
      </c>
      <c r="F208" t="s">
        <v>12</v>
      </c>
      <c r="G208" s="2">
        <v>3208.7869999999998</v>
      </c>
      <c r="H208" t="str" cm="1">
        <f t="array" ref="H208">_xlfn.IFS(A208&lt;=30, "Youth", A208&lt;=50, "Adult", A208&gt;50, "Older")</f>
        <v>Youth</v>
      </c>
      <c r="I208" t="str" cm="1">
        <f t="array" ref="I208">_xlfn.IFS(A208&lt;=25,"18-25",A208&lt;=35,"26-35",A208&lt;=45,"36-45",A208&lt;=60,"46-60",A208&gt;60,"60+")</f>
        <v>18-25</v>
      </c>
      <c r="J208" t="str" cm="1">
        <f t="array" ref="J208">_xlfn.IFS(C208&lt;18.5,"Underweight",C208&lt;25,"Normal",C208&lt;30,"Overweight",C208&gt;=30,"Obese")</f>
        <v>Normal</v>
      </c>
      <c r="K208" t="str" cm="1">
        <f t="array" ref="K208">_xlfn.IFS(G208&lt;10000, "Low", G208&lt;=25000, "Medium", G208&gt;25000, "High")</f>
        <v>Low</v>
      </c>
    </row>
    <row r="209" spans="1:11" x14ac:dyDescent="0.3">
      <c r="A209">
        <v>22</v>
      </c>
      <c r="B209" s="1" t="s">
        <v>8</v>
      </c>
      <c r="C209">
        <v>24.32</v>
      </c>
      <c r="D209">
        <v>0</v>
      </c>
      <c r="E209" t="s">
        <v>9</v>
      </c>
      <c r="F209" t="s">
        <v>14</v>
      </c>
      <c r="G209" s="2">
        <v>3213.6220499999999</v>
      </c>
      <c r="H209" t="str" cm="1">
        <f t="array" ref="H209">_xlfn.IFS(A209&lt;=30, "Youth", A209&lt;=50, "Adult", A209&gt;50, "Older")</f>
        <v>Youth</v>
      </c>
      <c r="I209" t="str" cm="1">
        <f t="array" ref="I209">_xlfn.IFS(A209&lt;=25,"18-25",A209&lt;=35,"26-35",A209&lt;=45,"36-45",A209&lt;=60,"46-60",A209&gt;60,"60+")</f>
        <v>18-25</v>
      </c>
      <c r="J209" t="str" cm="1">
        <f t="array" ref="J209">_xlfn.IFS(C209&lt;18.5,"Underweight",C209&lt;25,"Normal",C209&lt;30,"Overweight",C209&gt;=30,"Obese")</f>
        <v>Normal</v>
      </c>
      <c r="K209" t="str" cm="1">
        <f t="array" ref="K209">_xlfn.IFS(G209&lt;10000, "Low", G209&lt;=25000, "Medium", G209&gt;25000, "High")</f>
        <v>Low</v>
      </c>
    </row>
    <row r="210" spans="1:11" x14ac:dyDescent="0.3">
      <c r="A210">
        <v>22</v>
      </c>
      <c r="B210" s="1" t="s">
        <v>7</v>
      </c>
      <c r="C210">
        <v>24.32</v>
      </c>
      <c r="D210">
        <v>0</v>
      </c>
      <c r="E210" t="s">
        <v>10</v>
      </c>
      <c r="F210" t="s">
        <v>11</v>
      </c>
      <c r="G210" s="2">
        <v>3227.1210999999998</v>
      </c>
      <c r="H210" t="str" cm="1">
        <f t="array" ref="H210">_xlfn.IFS(A210&lt;=30, "Youth", A210&lt;=50, "Adult", A210&gt;50, "Older")</f>
        <v>Youth</v>
      </c>
      <c r="I210" t="str" cm="1">
        <f t="array" ref="I210">_xlfn.IFS(A210&lt;=25,"18-25",A210&lt;=35,"26-35",A210&lt;=45,"36-45",A210&lt;=60,"46-60",A210&gt;60,"60+")</f>
        <v>18-25</v>
      </c>
      <c r="J210" t="str" cm="1">
        <f t="array" ref="J210">_xlfn.IFS(C210&lt;18.5,"Underweight",C210&lt;25,"Normal",C210&lt;30,"Overweight",C210&gt;=30,"Obese")</f>
        <v>Normal</v>
      </c>
      <c r="K210" t="str" cm="1">
        <f t="array" ref="K210">_xlfn.IFS(G210&lt;10000, "Low", G210&lt;=25000, "Medium", G210&gt;25000, "High")</f>
        <v>Low</v>
      </c>
    </row>
    <row r="211" spans="1:11" x14ac:dyDescent="0.3">
      <c r="A211">
        <v>22</v>
      </c>
      <c r="B211" s="1" t="s">
        <v>8</v>
      </c>
      <c r="C211">
        <v>24.32</v>
      </c>
      <c r="D211">
        <v>0</v>
      </c>
      <c r="E211" t="s">
        <v>10</v>
      </c>
      <c r="F211" t="s">
        <v>14</v>
      </c>
      <c r="G211" s="2">
        <v>3238.4357</v>
      </c>
      <c r="H211" t="str" cm="1">
        <f t="array" ref="H211">_xlfn.IFS(A211&lt;=30, "Youth", A211&lt;=50, "Adult", A211&gt;50, "Older")</f>
        <v>Youth</v>
      </c>
      <c r="I211" t="str" cm="1">
        <f t="array" ref="I211">_xlfn.IFS(A211&lt;=25,"18-25",A211&lt;=35,"26-35",A211&lt;=45,"36-45",A211&lt;=60,"46-60",A211&gt;60,"60+")</f>
        <v>18-25</v>
      </c>
      <c r="J211" t="str" cm="1">
        <f t="array" ref="J211">_xlfn.IFS(C211&lt;18.5,"Underweight",C211&lt;25,"Normal",C211&lt;30,"Overweight",C211&gt;=30,"Obese")</f>
        <v>Normal</v>
      </c>
      <c r="K211" t="str" cm="1">
        <f t="array" ref="K211">_xlfn.IFS(G211&lt;10000, "Low", G211&lt;=25000, "Medium", G211&gt;25000, "High")</f>
        <v>Low</v>
      </c>
    </row>
    <row r="212" spans="1:11" x14ac:dyDescent="0.3">
      <c r="A212">
        <v>22</v>
      </c>
      <c r="B212" s="1" t="s">
        <v>8</v>
      </c>
      <c r="C212">
        <v>24.32</v>
      </c>
      <c r="D212">
        <v>0</v>
      </c>
      <c r="E212" t="s">
        <v>10</v>
      </c>
      <c r="F212" t="s">
        <v>11</v>
      </c>
      <c r="G212" s="2">
        <v>3260.1990000000001</v>
      </c>
      <c r="H212" t="str" cm="1">
        <f t="array" ref="H212">_xlfn.IFS(A212&lt;=30, "Youth", A212&lt;=50, "Adult", A212&gt;50, "Older")</f>
        <v>Youth</v>
      </c>
      <c r="I212" t="str" cm="1">
        <f t="array" ref="I212">_xlfn.IFS(A212&lt;=25,"18-25",A212&lt;=35,"26-35",A212&lt;=45,"36-45",A212&lt;=60,"46-60",A212&gt;60,"60+")</f>
        <v>18-25</v>
      </c>
      <c r="J212" t="str" cm="1">
        <f t="array" ref="J212">_xlfn.IFS(C212&lt;18.5,"Underweight",C212&lt;25,"Normal",C212&lt;30,"Overweight",C212&gt;=30,"Obese")</f>
        <v>Normal</v>
      </c>
      <c r="K212" t="str" cm="1">
        <f t="array" ref="K212">_xlfn.IFS(G212&lt;10000, "Low", G212&lt;=25000, "Medium", G212&gt;25000, "High")</f>
        <v>Low</v>
      </c>
    </row>
    <row r="213" spans="1:11" x14ac:dyDescent="0.3">
      <c r="A213">
        <v>22</v>
      </c>
      <c r="B213" s="1" t="s">
        <v>8</v>
      </c>
      <c r="C213">
        <v>24.32</v>
      </c>
      <c r="D213">
        <v>0</v>
      </c>
      <c r="E213" t="s">
        <v>10</v>
      </c>
      <c r="F213" t="s">
        <v>13</v>
      </c>
      <c r="G213" s="2">
        <v>3268.84665</v>
      </c>
      <c r="H213" t="str" cm="1">
        <f t="array" ref="H213">_xlfn.IFS(A213&lt;=30, "Youth", A213&lt;=50, "Adult", A213&gt;50, "Older")</f>
        <v>Youth</v>
      </c>
      <c r="I213" t="str" cm="1">
        <f t="array" ref="I213">_xlfn.IFS(A213&lt;=25,"18-25",A213&lt;=35,"26-35",A213&lt;=45,"36-45",A213&lt;=60,"46-60",A213&gt;60,"60+")</f>
        <v>18-25</v>
      </c>
      <c r="J213" t="str" cm="1">
        <f t="array" ref="J213">_xlfn.IFS(C213&lt;18.5,"Underweight",C213&lt;25,"Normal",C213&lt;30,"Overweight",C213&gt;=30,"Obese")</f>
        <v>Normal</v>
      </c>
      <c r="K213" t="str" cm="1">
        <f t="array" ref="K213">_xlfn.IFS(G213&lt;10000, "Low", G213&lt;=25000, "Medium", G213&gt;25000, "High")</f>
        <v>Low</v>
      </c>
    </row>
    <row r="214" spans="1:11" x14ac:dyDescent="0.3">
      <c r="A214">
        <v>22</v>
      </c>
      <c r="B214" s="1" t="s">
        <v>8</v>
      </c>
      <c r="C214">
        <v>24.32</v>
      </c>
      <c r="D214">
        <v>0</v>
      </c>
      <c r="E214" t="s">
        <v>10</v>
      </c>
      <c r="F214" t="s">
        <v>13</v>
      </c>
      <c r="G214" s="2">
        <v>3277.1610000000001</v>
      </c>
      <c r="H214" t="str" cm="1">
        <f t="array" ref="H214">_xlfn.IFS(A214&lt;=30, "Youth", A214&lt;=50, "Adult", A214&gt;50, "Older")</f>
        <v>Youth</v>
      </c>
      <c r="I214" t="str" cm="1">
        <f t="array" ref="I214">_xlfn.IFS(A214&lt;=25,"18-25",A214&lt;=35,"26-35",A214&lt;=45,"36-45",A214&lt;=60,"46-60",A214&gt;60,"60+")</f>
        <v>18-25</v>
      </c>
      <c r="J214" t="str" cm="1">
        <f t="array" ref="J214">_xlfn.IFS(C214&lt;18.5,"Underweight",C214&lt;25,"Normal",C214&lt;30,"Overweight",C214&gt;=30,"Obese")</f>
        <v>Normal</v>
      </c>
      <c r="K214" t="str" cm="1">
        <f t="array" ref="K214">_xlfn.IFS(G214&lt;10000, "Low", G214&lt;=25000, "Medium", G214&gt;25000, "High")</f>
        <v>Low</v>
      </c>
    </row>
    <row r="215" spans="1:11" x14ac:dyDescent="0.3">
      <c r="A215">
        <v>22</v>
      </c>
      <c r="B215" s="1" t="s">
        <v>7</v>
      </c>
      <c r="C215">
        <v>24.4</v>
      </c>
      <c r="D215">
        <v>0</v>
      </c>
      <c r="E215" t="s">
        <v>10</v>
      </c>
      <c r="F215" t="s">
        <v>12</v>
      </c>
      <c r="G215" s="2">
        <v>3279.8685500000001</v>
      </c>
      <c r="H215" t="str" cm="1">
        <f t="array" ref="H215">_xlfn.IFS(A215&lt;=30, "Youth", A215&lt;=50, "Adult", A215&gt;50, "Older")</f>
        <v>Youth</v>
      </c>
      <c r="I215" t="str" cm="1">
        <f t="array" ref="I215">_xlfn.IFS(A215&lt;=25,"18-25",A215&lt;=35,"26-35",A215&lt;=45,"36-45",A215&lt;=60,"46-60",A215&gt;60,"60+")</f>
        <v>18-25</v>
      </c>
      <c r="J215" t="str" cm="1">
        <f t="array" ref="J215">_xlfn.IFS(C215&lt;18.5,"Underweight",C215&lt;25,"Normal",C215&lt;30,"Overweight",C215&gt;=30,"Obese")</f>
        <v>Normal</v>
      </c>
      <c r="K215" t="str" cm="1">
        <f t="array" ref="K215">_xlfn.IFS(G215&lt;10000, "Low", G215&lt;=25000, "Medium", G215&gt;25000, "High")</f>
        <v>Low</v>
      </c>
    </row>
    <row r="216" spans="1:11" x14ac:dyDescent="0.3">
      <c r="A216">
        <v>22</v>
      </c>
      <c r="B216" s="1" t="s">
        <v>7</v>
      </c>
      <c r="C216">
        <v>24.414999999999999</v>
      </c>
      <c r="D216">
        <v>0</v>
      </c>
      <c r="E216" t="s">
        <v>10</v>
      </c>
      <c r="F216" t="s">
        <v>11</v>
      </c>
      <c r="G216" s="2">
        <v>3292.5298499999999</v>
      </c>
      <c r="H216" t="str" cm="1">
        <f t="array" ref="H216">_xlfn.IFS(A216&lt;=30, "Youth", A216&lt;=50, "Adult", A216&gt;50, "Older")</f>
        <v>Youth</v>
      </c>
      <c r="I216" t="str" cm="1">
        <f t="array" ref="I216">_xlfn.IFS(A216&lt;=25,"18-25",A216&lt;=35,"26-35",A216&lt;=45,"36-45",A216&lt;=60,"46-60",A216&gt;60,"60+")</f>
        <v>18-25</v>
      </c>
      <c r="J216" t="str" cm="1">
        <f t="array" ref="J216">_xlfn.IFS(C216&lt;18.5,"Underweight",C216&lt;25,"Normal",C216&lt;30,"Overweight",C216&gt;=30,"Obese")</f>
        <v>Normal</v>
      </c>
      <c r="K216" t="str" cm="1">
        <f t="array" ref="K216">_xlfn.IFS(G216&lt;10000, "Low", G216&lt;=25000, "Medium", G216&gt;25000, "High")</f>
        <v>Low</v>
      </c>
    </row>
    <row r="217" spans="1:11" x14ac:dyDescent="0.3">
      <c r="A217">
        <v>22</v>
      </c>
      <c r="B217" s="1" t="s">
        <v>7</v>
      </c>
      <c r="C217">
        <v>24.42</v>
      </c>
      <c r="D217">
        <v>0</v>
      </c>
      <c r="E217" t="s">
        <v>10</v>
      </c>
      <c r="F217" t="s">
        <v>11</v>
      </c>
      <c r="G217" s="2">
        <v>3309.7926000000002</v>
      </c>
      <c r="H217" t="str" cm="1">
        <f t="array" ref="H217">_xlfn.IFS(A217&lt;=30, "Youth", A217&lt;=50, "Adult", A217&gt;50, "Older")</f>
        <v>Youth</v>
      </c>
      <c r="I217" t="str" cm="1">
        <f t="array" ref="I217">_xlfn.IFS(A217&lt;=25,"18-25",A217&lt;=35,"26-35",A217&lt;=45,"36-45",A217&lt;=60,"46-60",A217&gt;60,"60+")</f>
        <v>18-25</v>
      </c>
      <c r="J217" t="str" cm="1">
        <f t="array" ref="J217">_xlfn.IFS(C217&lt;18.5,"Underweight",C217&lt;25,"Normal",C217&lt;30,"Overweight",C217&gt;=30,"Obese")</f>
        <v>Normal</v>
      </c>
      <c r="K217" t="str" cm="1">
        <f t="array" ref="K217">_xlfn.IFS(G217&lt;10000, "Low", G217&lt;=25000, "Medium", G217&gt;25000, "High")</f>
        <v>Low</v>
      </c>
    </row>
    <row r="218" spans="1:11" x14ac:dyDescent="0.3">
      <c r="A218">
        <v>22</v>
      </c>
      <c r="B218" s="1" t="s">
        <v>7</v>
      </c>
      <c r="C218">
        <v>24.42</v>
      </c>
      <c r="D218">
        <v>0</v>
      </c>
      <c r="E218" t="s">
        <v>10</v>
      </c>
      <c r="F218" t="s">
        <v>13</v>
      </c>
      <c r="G218" s="2">
        <v>3353.2840000000001</v>
      </c>
      <c r="H218" t="str" cm="1">
        <f t="array" ref="H218">_xlfn.IFS(A218&lt;=30, "Youth", A218&lt;=50, "Adult", A218&gt;50, "Older")</f>
        <v>Youth</v>
      </c>
      <c r="I218" t="str" cm="1">
        <f t="array" ref="I218">_xlfn.IFS(A218&lt;=25,"18-25",A218&lt;=35,"26-35",A218&lt;=45,"36-45",A218&lt;=60,"46-60",A218&gt;60,"60+")</f>
        <v>18-25</v>
      </c>
      <c r="J218" t="str" cm="1">
        <f t="array" ref="J218">_xlfn.IFS(C218&lt;18.5,"Underweight",C218&lt;25,"Normal",C218&lt;30,"Overweight",C218&gt;=30,"Obese")</f>
        <v>Normal</v>
      </c>
      <c r="K218" t="str" cm="1">
        <f t="array" ref="K218">_xlfn.IFS(G218&lt;10000, "Low", G218&lt;=25000, "Medium", G218&gt;25000, "High")</f>
        <v>Low</v>
      </c>
    </row>
    <row r="219" spans="1:11" x14ac:dyDescent="0.3">
      <c r="A219">
        <v>22</v>
      </c>
      <c r="B219" s="1" t="s">
        <v>8</v>
      </c>
      <c r="C219">
        <v>24.42</v>
      </c>
      <c r="D219">
        <v>0</v>
      </c>
      <c r="E219" t="s">
        <v>10</v>
      </c>
      <c r="F219" t="s">
        <v>12</v>
      </c>
      <c r="G219" s="2">
        <v>3353.4703</v>
      </c>
      <c r="H219" t="str" cm="1">
        <f t="array" ref="H219">_xlfn.IFS(A219&lt;=30, "Youth", A219&lt;=50, "Adult", A219&gt;50, "Older")</f>
        <v>Youth</v>
      </c>
      <c r="I219" t="str" cm="1">
        <f t="array" ref="I219">_xlfn.IFS(A219&lt;=25,"18-25",A219&lt;=35,"26-35",A219&lt;=45,"36-45",A219&lt;=60,"46-60",A219&gt;60,"60+")</f>
        <v>18-25</v>
      </c>
      <c r="J219" t="str" cm="1">
        <f t="array" ref="J219">_xlfn.IFS(C219&lt;18.5,"Underweight",C219&lt;25,"Normal",C219&lt;30,"Overweight",C219&gt;=30,"Obese")</f>
        <v>Normal</v>
      </c>
      <c r="K219" t="str" cm="1">
        <f t="array" ref="K219">_xlfn.IFS(G219&lt;10000, "Low", G219&lt;=25000, "Medium", G219&gt;25000, "High")</f>
        <v>Low</v>
      </c>
    </row>
    <row r="220" spans="1:11" x14ac:dyDescent="0.3">
      <c r="A220">
        <v>22</v>
      </c>
      <c r="B220" s="1" t="s">
        <v>7</v>
      </c>
      <c r="C220">
        <v>24.51</v>
      </c>
      <c r="D220">
        <v>0</v>
      </c>
      <c r="E220" t="s">
        <v>10</v>
      </c>
      <c r="F220" t="s">
        <v>12</v>
      </c>
      <c r="G220" s="2">
        <v>3366.6696999999999</v>
      </c>
      <c r="H220" t="str" cm="1">
        <f t="array" ref="H220">_xlfn.IFS(A220&lt;=30, "Youth", A220&lt;=50, "Adult", A220&gt;50, "Older")</f>
        <v>Youth</v>
      </c>
      <c r="I220" t="str" cm="1">
        <f t="array" ref="I220">_xlfn.IFS(A220&lt;=25,"18-25",A220&lt;=35,"26-35",A220&lt;=45,"36-45",A220&lt;=60,"46-60",A220&gt;60,"60+")</f>
        <v>18-25</v>
      </c>
      <c r="J220" t="str" cm="1">
        <f t="array" ref="J220">_xlfn.IFS(C220&lt;18.5,"Underweight",C220&lt;25,"Normal",C220&lt;30,"Overweight",C220&gt;=30,"Obese")</f>
        <v>Normal</v>
      </c>
      <c r="K220" t="str" cm="1">
        <f t="array" ref="K220">_xlfn.IFS(G220&lt;10000, "Low", G220&lt;=25000, "Medium", G220&gt;25000, "High")</f>
        <v>Low</v>
      </c>
    </row>
    <row r="221" spans="1:11" x14ac:dyDescent="0.3">
      <c r="A221">
        <v>22</v>
      </c>
      <c r="B221" s="1" t="s">
        <v>7</v>
      </c>
      <c r="C221">
        <v>24.51</v>
      </c>
      <c r="D221">
        <v>0</v>
      </c>
      <c r="E221" t="s">
        <v>10</v>
      </c>
      <c r="F221" t="s">
        <v>12</v>
      </c>
      <c r="G221" s="2">
        <v>3378.91</v>
      </c>
      <c r="H221" t="str" cm="1">
        <f t="array" ref="H221">_xlfn.IFS(A221&lt;=30, "Youth", A221&lt;=50, "Adult", A221&gt;50, "Older")</f>
        <v>Youth</v>
      </c>
      <c r="I221" t="str" cm="1">
        <f t="array" ref="I221">_xlfn.IFS(A221&lt;=25,"18-25",A221&lt;=35,"26-35",A221&lt;=45,"36-45",A221&lt;=60,"46-60",A221&gt;60,"60+")</f>
        <v>18-25</v>
      </c>
      <c r="J221" t="str" cm="1">
        <f t="array" ref="J221">_xlfn.IFS(C221&lt;18.5,"Underweight",C221&lt;25,"Normal",C221&lt;30,"Overweight",C221&gt;=30,"Obese")</f>
        <v>Normal</v>
      </c>
      <c r="K221" t="str" cm="1">
        <f t="array" ref="K221">_xlfn.IFS(G221&lt;10000, "Low", G221&lt;=25000, "Medium", G221&gt;25000, "High")</f>
        <v>Low</v>
      </c>
    </row>
    <row r="222" spans="1:11" x14ac:dyDescent="0.3">
      <c r="A222">
        <v>22</v>
      </c>
      <c r="B222" s="1" t="s">
        <v>7</v>
      </c>
      <c r="C222">
        <v>24.51</v>
      </c>
      <c r="D222">
        <v>0</v>
      </c>
      <c r="E222" t="s">
        <v>10</v>
      </c>
      <c r="F222" t="s">
        <v>11</v>
      </c>
      <c r="G222" s="2">
        <v>3385.3991500000002</v>
      </c>
      <c r="H222" t="str" cm="1">
        <f t="array" ref="H222">_xlfn.IFS(A222&lt;=30, "Youth", A222&lt;=50, "Adult", A222&gt;50, "Older")</f>
        <v>Youth</v>
      </c>
      <c r="I222" t="str" cm="1">
        <f t="array" ref="I222">_xlfn.IFS(A222&lt;=25,"18-25",A222&lt;=35,"26-35",A222&lt;=45,"36-45",A222&lt;=60,"46-60",A222&gt;60,"60+")</f>
        <v>18-25</v>
      </c>
      <c r="J222" t="str" cm="1">
        <f t="array" ref="J222">_xlfn.IFS(C222&lt;18.5,"Underweight",C222&lt;25,"Normal",C222&lt;30,"Overweight",C222&gt;=30,"Obese")</f>
        <v>Normal</v>
      </c>
      <c r="K222" t="str" cm="1">
        <f t="array" ref="K222">_xlfn.IFS(G222&lt;10000, "Low", G222&lt;=25000, "Medium", G222&gt;25000, "High")</f>
        <v>Low</v>
      </c>
    </row>
    <row r="223" spans="1:11" x14ac:dyDescent="0.3">
      <c r="A223">
        <v>23</v>
      </c>
      <c r="B223" s="1" t="s">
        <v>7</v>
      </c>
      <c r="C223">
        <v>24.53</v>
      </c>
      <c r="D223">
        <v>0</v>
      </c>
      <c r="E223" t="s">
        <v>10</v>
      </c>
      <c r="F223" t="s">
        <v>14</v>
      </c>
      <c r="G223" s="2">
        <v>3392.3652000000002</v>
      </c>
      <c r="H223" t="str" cm="1">
        <f t="array" ref="H223">_xlfn.IFS(A223&lt;=30, "Youth", A223&lt;=50, "Adult", A223&gt;50, "Older")</f>
        <v>Youth</v>
      </c>
      <c r="I223" t="str" cm="1">
        <f t="array" ref="I223">_xlfn.IFS(A223&lt;=25,"18-25",A223&lt;=35,"26-35",A223&lt;=45,"36-45",A223&lt;=60,"46-60",A223&gt;60,"60+")</f>
        <v>18-25</v>
      </c>
      <c r="J223" t="str" cm="1">
        <f t="array" ref="J223">_xlfn.IFS(C223&lt;18.5,"Underweight",C223&lt;25,"Normal",C223&lt;30,"Overweight",C223&gt;=30,"Obese")</f>
        <v>Normal</v>
      </c>
      <c r="K223" t="str" cm="1">
        <f t="array" ref="K223">_xlfn.IFS(G223&lt;10000, "Low", G223&lt;=25000, "Medium", G223&gt;25000, "High")</f>
        <v>Low</v>
      </c>
    </row>
    <row r="224" spans="1:11" x14ac:dyDescent="0.3">
      <c r="A224">
        <v>23</v>
      </c>
      <c r="B224" s="1" t="s">
        <v>8</v>
      </c>
      <c r="C224">
        <v>24.6</v>
      </c>
      <c r="D224">
        <v>0</v>
      </c>
      <c r="E224" t="s">
        <v>10</v>
      </c>
      <c r="F224" t="s">
        <v>11</v>
      </c>
      <c r="G224" s="2">
        <v>3392.9767999999999</v>
      </c>
      <c r="H224" t="str" cm="1">
        <f t="array" ref="H224">_xlfn.IFS(A224&lt;=30, "Youth", A224&lt;=50, "Adult", A224&gt;50, "Older")</f>
        <v>Youth</v>
      </c>
      <c r="I224" t="str" cm="1">
        <f t="array" ref="I224">_xlfn.IFS(A224&lt;=25,"18-25",A224&lt;=35,"26-35",A224&lt;=45,"36-45",A224&lt;=60,"46-60",A224&gt;60,"60+")</f>
        <v>18-25</v>
      </c>
      <c r="J224" t="str" cm="1">
        <f t="array" ref="J224">_xlfn.IFS(C224&lt;18.5,"Underweight",C224&lt;25,"Normal",C224&lt;30,"Overweight",C224&gt;=30,"Obese")</f>
        <v>Normal</v>
      </c>
      <c r="K224" t="str" cm="1">
        <f t="array" ref="K224">_xlfn.IFS(G224&lt;10000, "Low", G224&lt;=25000, "Medium", G224&gt;25000, "High")</f>
        <v>Low</v>
      </c>
    </row>
    <row r="225" spans="1:11" x14ac:dyDescent="0.3">
      <c r="A225">
        <v>23</v>
      </c>
      <c r="B225" s="1" t="s">
        <v>8</v>
      </c>
      <c r="C225">
        <v>24.6</v>
      </c>
      <c r="D225">
        <v>0</v>
      </c>
      <c r="E225" t="s">
        <v>9</v>
      </c>
      <c r="F225" t="s">
        <v>11</v>
      </c>
      <c r="G225" s="2">
        <v>3393.35635</v>
      </c>
      <c r="H225" t="str" cm="1">
        <f t="array" ref="H225">_xlfn.IFS(A225&lt;=30, "Youth", A225&lt;=50, "Adult", A225&gt;50, "Older")</f>
        <v>Youth</v>
      </c>
      <c r="I225" t="str" cm="1">
        <f t="array" ref="I225">_xlfn.IFS(A225&lt;=25,"18-25",A225&lt;=35,"26-35",A225&lt;=45,"36-45",A225&lt;=60,"46-60",A225&gt;60,"60+")</f>
        <v>18-25</v>
      </c>
      <c r="J225" t="str" cm="1">
        <f t="array" ref="J225">_xlfn.IFS(C225&lt;18.5,"Underweight",C225&lt;25,"Normal",C225&lt;30,"Overweight",C225&gt;=30,"Obese")</f>
        <v>Normal</v>
      </c>
      <c r="K225" t="str" cm="1">
        <f t="array" ref="K225">_xlfn.IFS(G225&lt;10000, "Low", G225&lt;=25000, "Medium", G225&gt;25000, "High")</f>
        <v>Low</v>
      </c>
    </row>
    <row r="226" spans="1:11" x14ac:dyDescent="0.3">
      <c r="A226">
        <v>23</v>
      </c>
      <c r="B226" s="1" t="s">
        <v>8</v>
      </c>
      <c r="C226">
        <v>24.6</v>
      </c>
      <c r="D226">
        <v>0</v>
      </c>
      <c r="E226" t="s">
        <v>9</v>
      </c>
      <c r="F226" t="s">
        <v>12</v>
      </c>
      <c r="G226" s="2">
        <v>3410.3240000000001</v>
      </c>
      <c r="H226" t="str" cm="1">
        <f t="array" ref="H226">_xlfn.IFS(A226&lt;=30, "Youth", A226&lt;=50, "Adult", A226&gt;50, "Older")</f>
        <v>Youth</v>
      </c>
      <c r="I226" t="str" cm="1">
        <f t="array" ref="I226">_xlfn.IFS(A226&lt;=25,"18-25",A226&lt;=35,"26-35",A226&lt;=45,"36-45",A226&lt;=60,"46-60",A226&gt;60,"60+")</f>
        <v>18-25</v>
      </c>
      <c r="J226" t="str" cm="1">
        <f t="array" ref="J226">_xlfn.IFS(C226&lt;18.5,"Underweight",C226&lt;25,"Normal",C226&lt;30,"Overweight",C226&gt;=30,"Obese")</f>
        <v>Normal</v>
      </c>
      <c r="K226" t="str" cm="1">
        <f t="array" ref="K226">_xlfn.IFS(G226&lt;10000, "Low", G226&lt;=25000, "Medium", G226&gt;25000, "High")</f>
        <v>Low</v>
      </c>
    </row>
    <row r="227" spans="1:11" x14ac:dyDescent="0.3">
      <c r="A227">
        <v>23</v>
      </c>
      <c r="B227" s="1" t="s">
        <v>8</v>
      </c>
      <c r="C227">
        <v>24.605</v>
      </c>
      <c r="D227">
        <v>0</v>
      </c>
      <c r="E227" t="s">
        <v>10</v>
      </c>
      <c r="F227" t="s">
        <v>12</v>
      </c>
      <c r="G227" s="2">
        <v>3443.0639999999999</v>
      </c>
      <c r="H227" t="str" cm="1">
        <f t="array" ref="H227">_xlfn.IFS(A227&lt;=30, "Youth", A227&lt;=50, "Adult", A227&gt;50, "Older")</f>
        <v>Youth</v>
      </c>
      <c r="I227" t="str" cm="1">
        <f t="array" ref="I227">_xlfn.IFS(A227&lt;=25,"18-25",A227&lt;=35,"26-35",A227&lt;=45,"36-45",A227&lt;=60,"46-60",A227&gt;60,"60+")</f>
        <v>18-25</v>
      </c>
      <c r="J227" t="str" cm="1">
        <f t="array" ref="J227">_xlfn.IFS(C227&lt;18.5,"Underweight",C227&lt;25,"Normal",C227&lt;30,"Overweight",C227&gt;=30,"Obese")</f>
        <v>Normal</v>
      </c>
      <c r="K227" t="str" cm="1">
        <f t="array" ref="K227">_xlfn.IFS(G227&lt;10000, "Low", G227&lt;=25000, "Medium", G227&gt;25000, "High")</f>
        <v>Low</v>
      </c>
    </row>
    <row r="228" spans="1:11" x14ac:dyDescent="0.3">
      <c r="A228">
        <v>23</v>
      </c>
      <c r="B228" s="1" t="s">
        <v>8</v>
      </c>
      <c r="C228">
        <v>24.605</v>
      </c>
      <c r="D228">
        <v>0</v>
      </c>
      <c r="E228" t="s">
        <v>10</v>
      </c>
      <c r="F228" t="s">
        <v>12</v>
      </c>
      <c r="G228" s="2">
        <v>3471.4096</v>
      </c>
      <c r="H228" t="str" cm="1">
        <f t="array" ref="H228">_xlfn.IFS(A228&lt;=30, "Youth", A228&lt;=50, "Adult", A228&gt;50, "Older")</f>
        <v>Youth</v>
      </c>
      <c r="I228" t="str" cm="1">
        <f t="array" ref="I228">_xlfn.IFS(A228&lt;=25,"18-25",A228&lt;=35,"26-35",A228&lt;=45,"36-45",A228&lt;=60,"46-60",A228&gt;60,"60+")</f>
        <v>18-25</v>
      </c>
      <c r="J228" t="str" cm="1">
        <f t="array" ref="J228">_xlfn.IFS(C228&lt;18.5,"Underweight",C228&lt;25,"Normal",C228&lt;30,"Overweight",C228&gt;=30,"Obese")</f>
        <v>Normal</v>
      </c>
      <c r="K228" t="str" cm="1">
        <f t="array" ref="K228">_xlfn.IFS(G228&lt;10000, "Low", G228&lt;=25000, "Medium", G228&gt;25000, "High")</f>
        <v>Low</v>
      </c>
    </row>
    <row r="229" spans="1:11" x14ac:dyDescent="0.3">
      <c r="A229">
        <v>23</v>
      </c>
      <c r="B229" s="1" t="s">
        <v>7</v>
      </c>
      <c r="C229">
        <v>24.605</v>
      </c>
      <c r="D229">
        <v>0</v>
      </c>
      <c r="E229" t="s">
        <v>10</v>
      </c>
      <c r="F229" t="s">
        <v>12</v>
      </c>
      <c r="G229" s="2">
        <v>3481.8679999999999</v>
      </c>
      <c r="H229" t="str" cm="1">
        <f t="array" ref="H229">_xlfn.IFS(A229&lt;=30, "Youth", A229&lt;=50, "Adult", A229&gt;50, "Older")</f>
        <v>Youth</v>
      </c>
      <c r="I229" t="str" cm="1">
        <f t="array" ref="I229">_xlfn.IFS(A229&lt;=25,"18-25",A229&lt;=35,"26-35",A229&lt;=45,"36-45",A229&lt;=60,"46-60",A229&gt;60,"60+")</f>
        <v>18-25</v>
      </c>
      <c r="J229" t="str" cm="1">
        <f t="array" ref="J229">_xlfn.IFS(C229&lt;18.5,"Underweight",C229&lt;25,"Normal",C229&lt;30,"Overweight",C229&gt;=30,"Obese")</f>
        <v>Normal</v>
      </c>
      <c r="K229" t="str" cm="1">
        <f t="array" ref="K229">_xlfn.IFS(G229&lt;10000, "Low", G229&lt;=25000, "Medium", G229&gt;25000, "High")</f>
        <v>Low</v>
      </c>
    </row>
    <row r="230" spans="1:11" x14ac:dyDescent="0.3">
      <c r="A230">
        <v>23</v>
      </c>
      <c r="B230" s="1" t="s">
        <v>7</v>
      </c>
      <c r="C230">
        <v>24.605</v>
      </c>
      <c r="D230">
        <v>0</v>
      </c>
      <c r="E230" t="s">
        <v>10</v>
      </c>
      <c r="F230" t="s">
        <v>14</v>
      </c>
      <c r="G230" s="2">
        <v>3484.3310000000001</v>
      </c>
      <c r="H230" t="str" cm="1">
        <f t="array" ref="H230">_xlfn.IFS(A230&lt;=30, "Youth", A230&lt;=50, "Adult", A230&gt;50, "Older")</f>
        <v>Youth</v>
      </c>
      <c r="I230" t="str" cm="1">
        <f t="array" ref="I230">_xlfn.IFS(A230&lt;=25,"18-25",A230&lt;=35,"26-35",A230&lt;=45,"36-45",A230&lt;=60,"46-60",A230&gt;60,"60+")</f>
        <v>18-25</v>
      </c>
      <c r="J230" t="str" cm="1">
        <f t="array" ref="J230">_xlfn.IFS(C230&lt;18.5,"Underweight",C230&lt;25,"Normal",C230&lt;30,"Overweight",C230&gt;=30,"Obese")</f>
        <v>Normal</v>
      </c>
      <c r="K230" t="str" cm="1">
        <f t="array" ref="K230">_xlfn.IFS(G230&lt;10000, "Low", G230&lt;=25000, "Medium", G230&gt;25000, "High")</f>
        <v>Low</v>
      </c>
    </row>
    <row r="231" spans="1:11" x14ac:dyDescent="0.3">
      <c r="A231">
        <v>23</v>
      </c>
      <c r="B231" s="1" t="s">
        <v>8</v>
      </c>
      <c r="C231">
        <v>24.64</v>
      </c>
      <c r="D231">
        <v>0</v>
      </c>
      <c r="E231" t="s">
        <v>10</v>
      </c>
      <c r="F231" t="s">
        <v>14</v>
      </c>
      <c r="G231" s="2">
        <v>3490.5491000000002</v>
      </c>
      <c r="H231" t="str" cm="1">
        <f t="array" ref="H231">_xlfn.IFS(A231&lt;=30, "Youth", A231&lt;=50, "Adult", A231&gt;50, "Older")</f>
        <v>Youth</v>
      </c>
      <c r="I231" t="str" cm="1">
        <f t="array" ref="I231">_xlfn.IFS(A231&lt;=25,"18-25",A231&lt;=35,"26-35",A231&lt;=45,"36-45",A231&lt;=60,"46-60",A231&gt;60,"60+")</f>
        <v>18-25</v>
      </c>
      <c r="J231" t="str" cm="1">
        <f t="array" ref="J231">_xlfn.IFS(C231&lt;18.5,"Underweight",C231&lt;25,"Normal",C231&lt;30,"Overweight",C231&gt;=30,"Obese")</f>
        <v>Normal</v>
      </c>
      <c r="K231" t="str" cm="1">
        <f t="array" ref="K231">_xlfn.IFS(G231&lt;10000, "Low", G231&lt;=25000, "Medium", G231&gt;25000, "High")</f>
        <v>Low</v>
      </c>
    </row>
    <row r="232" spans="1:11" x14ac:dyDescent="0.3">
      <c r="A232">
        <v>23</v>
      </c>
      <c r="B232" s="1" t="s">
        <v>7</v>
      </c>
      <c r="C232">
        <v>24.7</v>
      </c>
      <c r="D232">
        <v>0</v>
      </c>
      <c r="E232" t="s">
        <v>10</v>
      </c>
      <c r="F232" t="s">
        <v>13</v>
      </c>
      <c r="G232" s="2">
        <v>3500.6122999999998</v>
      </c>
      <c r="H232" t="str" cm="1">
        <f t="array" ref="H232">_xlfn.IFS(A232&lt;=30, "Youth", A232&lt;=50, "Adult", A232&gt;50, "Older")</f>
        <v>Youth</v>
      </c>
      <c r="I232" t="str" cm="1">
        <f t="array" ref="I232">_xlfn.IFS(A232&lt;=25,"18-25",A232&lt;=35,"26-35",A232&lt;=45,"36-45",A232&lt;=60,"46-60",A232&gt;60,"60+")</f>
        <v>18-25</v>
      </c>
      <c r="J232" t="str" cm="1">
        <f t="array" ref="J232">_xlfn.IFS(C232&lt;18.5,"Underweight",C232&lt;25,"Normal",C232&lt;30,"Overweight",C232&gt;=30,"Obese")</f>
        <v>Normal</v>
      </c>
      <c r="K232" t="str" cm="1">
        <f t="array" ref="K232">_xlfn.IFS(G232&lt;10000, "Low", G232&lt;=25000, "Medium", G232&gt;25000, "High")</f>
        <v>Low</v>
      </c>
    </row>
    <row r="233" spans="1:11" x14ac:dyDescent="0.3">
      <c r="A233">
        <v>23</v>
      </c>
      <c r="B233" s="1" t="s">
        <v>7</v>
      </c>
      <c r="C233">
        <v>24.7</v>
      </c>
      <c r="D233">
        <v>0</v>
      </c>
      <c r="E233" t="s">
        <v>10</v>
      </c>
      <c r="F233" t="s">
        <v>12</v>
      </c>
      <c r="G233" s="2">
        <v>3537.703</v>
      </c>
      <c r="H233" t="str" cm="1">
        <f t="array" ref="H233">_xlfn.IFS(A233&lt;=30, "Youth", A233&lt;=50, "Adult", A233&gt;50, "Older")</f>
        <v>Youth</v>
      </c>
      <c r="I233" t="str" cm="1">
        <f t="array" ref="I233">_xlfn.IFS(A233&lt;=25,"18-25",A233&lt;=35,"26-35",A233&lt;=45,"36-45",A233&lt;=60,"46-60",A233&gt;60,"60+")</f>
        <v>18-25</v>
      </c>
      <c r="J233" t="str" cm="1">
        <f t="array" ref="J233">_xlfn.IFS(C233&lt;18.5,"Underweight",C233&lt;25,"Normal",C233&lt;30,"Overweight",C233&gt;=30,"Obese")</f>
        <v>Normal</v>
      </c>
      <c r="K233" t="str" cm="1">
        <f t="array" ref="K233">_xlfn.IFS(G233&lt;10000, "Low", G233&lt;=25000, "Medium", G233&gt;25000, "High")</f>
        <v>Low</v>
      </c>
    </row>
    <row r="234" spans="1:11" x14ac:dyDescent="0.3">
      <c r="A234">
        <v>23</v>
      </c>
      <c r="B234" s="1" t="s">
        <v>7</v>
      </c>
      <c r="C234">
        <v>24.7</v>
      </c>
      <c r="D234">
        <v>0</v>
      </c>
      <c r="E234" t="s">
        <v>10</v>
      </c>
      <c r="F234" t="s">
        <v>11</v>
      </c>
      <c r="G234" s="2">
        <v>3554.203</v>
      </c>
      <c r="H234" t="str" cm="1">
        <f t="array" ref="H234">_xlfn.IFS(A234&lt;=30, "Youth", A234&lt;=50, "Adult", A234&gt;50, "Older")</f>
        <v>Youth</v>
      </c>
      <c r="I234" t="str" cm="1">
        <f t="array" ref="I234">_xlfn.IFS(A234&lt;=25,"18-25",A234&lt;=35,"26-35",A234&lt;=45,"36-45",A234&lt;=60,"46-60",A234&gt;60,"60+")</f>
        <v>18-25</v>
      </c>
      <c r="J234" t="str" cm="1">
        <f t="array" ref="J234">_xlfn.IFS(C234&lt;18.5,"Underweight",C234&lt;25,"Normal",C234&lt;30,"Overweight",C234&gt;=30,"Obese")</f>
        <v>Normal</v>
      </c>
      <c r="K234" t="str" cm="1">
        <f t="array" ref="K234">_xlfn.IFS(G234&lt;10000, "Low", G234&lt;=25000, "Medium", G234&gt;25000, "High")</f>
        <v>Low</v>
      </c>
    </row>
    <row r="235" spans="1:11" x14ac:dyDescent="0.3">
      <c r="A235">
        <v>23</v>
      </c>
      <c r="B235" s="1" t="s">
        <v>8</v>
      </c>
      <c r="C235">
        <v>24.7</v>
      </c>
      <c r="D235">
        <v>0</v>
      </c>
      <c r="E235" t="s">
        <v>10</v>
      </c>
      <c r="F235" t="s">
        <v>11</v>
      </c>
      <c r="G235" s="2">
        <v>3556.9223000000002</v>
      </c>
      <c r="H235" t="str" cm="1">
        <f t="array" ref="H235">_xlfn.IFS(A235&lt;=30, "Youth", A235&lt;=50, "Adult", A235&gt;50, "Older")</f>
        <v>Youth</v>
      </c>
      <c r="I235" t="str" cm="1">
        <f t="array" ref="I235">_xlfn.IFS(A235&lt;=25,"18-25",A235&lt;=35,"26-35",A235&lt;=45,"36-45",A235&lt;=60,"46-60",A235&gt;60,"60+")</f>
        <v>18-25</v>
      </c>
      <c r="J235" t="str" cm="1">
        <f t="array" ref="J235">_xlfn.IFS(C235&lt;18.5,"Underweight",C235&lt;25,"Normal",C235&lt;30,"Overweight",C235&gt;=30,"Obese")</f>
        <v>Normal</v>
      </c>
      <c r="K235" t="str" cm="1">
        <f t="array" ref="K235">_xlfn.IFS(G235&lt;10000, "Low", G235&lt;=25000, "Medium", G235&gt;25000, "High")</f>
        <v>Low</v>
      </c>
    </row>
    <row r="236" spans="1:11" x14ac:dyDescent="0.3">
      <c r="A236">
        <v>23</v>
      </c>
      <c r="B236" s="1" t="s">
        <v>8</v>
      </c>
      <c r="C236">
        <v>24.75</v>
      </c>
      <c r="D236">
        <v>0</v>
      </c>
      <c r="E236" t="s">
        <v>10</v>
      </c>
      <c r="F236" t="s">
        <v>13</v>
      </c>
      <c r="G236" s="2">
        <v>3558.6202499999999</v>
      </c>
      <c r="H236" t="str" cm="1">
        <f t="array" ref="H236">_xlfn.IFS(A236&lt;=30, "Youth", A236&lt;=50, "Adult", A236&gt;50, "Older")</f>
        <v>Youth</v>
      </c>
      <c r="I236" t="str" cm="1">
        <f t="array" ref="I236">_xlfn.IFS(A236&lt;=25,"18-25",A236&lt;=35,"26-35",A236&lt;=45,"36-45",A236&lt;=60,"46-60",A236&gt;60,"60+")</f>
        <v>18-25</v>
      </c>
      <c r="J236" t="str" cm="1">
        <f t="array" ref="J236">_xlfn.IFS(C236&lt;18.5,"Underweight",C236&lt;25,"Normal",C236&lt;30,"Overweight",C236&gt;=30,"Obese")</f>
        <v>Normal</v>
      </c>
      <c r="K236" t="str" cm="1">
        <f t="array" ref="K236">_xlfn.IFS(G236&lt;10000, "Low", G236&lt;=25000, "Medium", G236&gt;25000, "High")</f>
        <v>Low</v>
      </c>
    </row>
    <row r="237" spans="1:11" x14ac:dyDescent="0.3">
      <c r="A237">
        <v>23</v>
      </c>
      <c r="B237" s="1" t="s">
        <v>7</v>
      </c>
      <c r="C237">
        <v>24.795000000000002</v>
      </c>
      <c r="D237">
        <v>0</v>
      </c>
      <c r="E237" t="s">
        <v>9</v>
      </c>
      <c r="F237" t="s">
        <v>12</v>
      </c>
      <c r="G237" s="2">
        <v>3561.8888999999999</v>
      </c>
      <c r="H237" t="str" cm="1">
        <f t="array" ref="H237">_xlfn.IFS(A237&lt;=30, "Youth", A237&lt;=50, "Adult", A237&gt;50, "Older")</f>
        <v>Youth</v>
      </c>
      <c r="I237" t="str" cm="1">
        <f t="array" ref="I237">_xlfn.IFS(A237&lt;=25,"18-25",A237&lt;=35,"26-35",A237&lt;=45,"36-45",A237&lt;=60,"46-60",A237&gt;60,"60+")</f>
        <v>18-25</v>
      </c>
      <c r="J237" t="str" cm="1">
        <f t="array" ref="J237">_xlfn.IFS(C237&lt;18.5,"Underweight",C237&lt;25,"Normal",C237&lt;30,"Overweight",C237&gt;=30,"Obese")</f>
        <v>Normal</v>
      </c>
      <c r="K237" t="str" cm="1">
        <f t="array" ref="K237">_xlfn.IFS(G237&lt;10000, "Low", G237&lt;=25000, "Medium", G237&gt;25000, "High")</f>
        <v>Low</v>
      </c>
    </row>
    <row r="238" spans="1:11" x14ac:dyDescent="0.3">
      <c r="A238">
        <v>23</v>
      </c>
      <c r="B238" s="1" t="s">
        <v>7</v>
      </c>
      <c r="C238">
        <v>24.795000000000002</v>
      </c>
      <c r="D238">
        <v>0</v>
      </c>
      <c r="E238" t="s">
        <v>10</v>
      </c>
      <c r="F238" t="s">
        <v>12</v>
      </c>
      <c r="G238" s="2">
        <v>3577.9989999999998</v>
      </c>
      <c r="H238" t="str" cm="1">
        <f t="array" ref="H238">_xlfn.IFS(A238&lt;=30, "Youth", A238&lt;=50, "Adult", A238&gt;50, "Older")</f>
        <v>Youth</v>
      </c>
      <c r="I238" t="str" cm="1">
        <f t="array" ref="I238">_xlfn.IFS(A238&lt;=25,"18-25",A238&lt;=35,"26-35",A238&lt;=45,"36-45",A238&lt;=60,"46-60",A238&gt;60,"60+")</f>
        <v>18-25</v>
      </c>
      <c r="J238" t="str" cm="1">
        <f t="array" ref="J238">_xlfn.IFS(C238&lt;18.5,"Underweight",C238&lt;25,"Normal",C238&lt;30,"Overweight",C238&gt;=30,"Obese")</f>
        <v>Normal</v>
      </c>
      <c r="K238" t="str" cm="1">
        <f t="array" ref="K238">_xlfn.IFS(G238&lt;10000, "Low", G238&lt;=25000, "Medium", G238&gt;25000, "High")</f>
        <v>Low</v>
      </c>
    </row>
    <row r="239" spans="1:11" x14ac:dyDescent="0.3">
      <c r="A239">
        <v>23</v>
      </c>
      <c r="B239" s="1" t="s">
        <v>8</v>
      </c>
      <c r="C239">
        <v>24.795000000000002</v>
      </c>
      <c r="D239">
        <v>0</v>
      </c>
      <c r="E239" t="s">
        <v>10</v>
      </c>
      <c r="F239" t="s">
        <v>12</v>
      </c>
      <c r="G239" s="2">
        <v>3579.8287</v>
      </c>
      <c r="H239" t="str" cm="1">
        <f t="array" ref="H239">_xlfn.IFS(A239&lt;=30, "Youth", A239&lt;=50, "Adult", A239&gt;50, "Older")</f>
        <v>Youth</v>
      </c>
      <c r="I239" t="str" cm="1">
        <f t="array" ref="I239">_xlfn.IFS(A239&lt;=25,"18-25",A239&lt;=35,"26-35",A239&lt;=45,"36-45",A239&lt;=60,"46-60",A239&gt;60,"60+")</f>
        <v>18-25</v>
      </c>
      <c r="J239" t="str" cm="1">
        <f t="array" ref="J239">_xlfn.IFS(C239&lt;18.5,"Underweight",C239&lt;25,"Normal",C239&lt;30,"Overweight",C239&gt;=30,"Obese")</f>
        <v>Normal</v>
      </c>
      <c r="K239" t="str" cm="1">
        <f t="array" ref="K239">_xlfn.IFS(G239&lt;10000, "Low", G239&lt;=25000, "Medium", G239&gt;25000, "High")</f>
        <v>Low</v>
      </c>
    </row>
    <row r="240" spans="1:11" x14ac:dyDescent="0.3">
      <c r="A240">
        <v>23</v>
      </c>
      <c r="B240" s="1" t="s">
        <v>8</v>
      </c>
      <c r="C240">
        <v>24.795000000000002</v>
      </c>
      <c r="D240">
        <v>0</v>
      </c>
      <c r="E240" t="s">
        <v>9</v>
      </c>
      <c r="F240" t="s">
        <v>13</v>
      </c>
      <c r="G240" s="2">
        <v>3591.48</v>
      </c>
      <c r="H240" t="str" cm="1">
        <f t="array" ref="H240">_xlfn.IFS(A240&lt;=30, "Youth", A240&lt;=50, "Adult", A240&gt;50, "Older")</f>
        <v>Youth</v>
      </c>
      <c r="I240" t="str" cm="1">
        <f t="array" ref="I240">_xlfn.IFS(A240&lt;=25,"18-25",A240&lt;=35,"26-35",A240&lt;=45,"36-45",A240&lt;=60,"46-60",A240&gt;60,"60+")</f>
        <v>18-25</v>
      </c>
      <c r="J240" t="str" cm="1">
        <f t="array" ref="J240">_xlfn.IFS(C240&lt;18.5,"Underweight",C240&lt;25,"Normal",C240&lt;30,"Overweight",C240&gt;=30,"Obese")</f>
        <v>Normal</v>
      </c>
      <c r="K240" t="str" cm="1">
        <f t="array" ref="K240">_xlfn.IFS(G240&lt;10000, "Low", G240&lt;=25000, "Medium", G240&gt;25000, "High")</f>
        <v>Low</v>
      </c>
    </row>
    <row r="241" spans="1:11" x14ac:dyDescent="0.3">
      <c r="A241">
        <v>23</v>
      </c>
      <c r="B241" s="1" t="s">
        <v>8</v>
      </c>
      <c r="C241">
        <v>24.86</v>
      </c>
      <c r="D241">
        <v>0</v>
      </c>
      <c r="E241" t="s">
        <v>10</v>
      </c>
      <c r="F241" t="s">
        <v>12</v>
      </c>
      <c r="G241" s="2">
        <v>3594.17085</v>
      </c>
      <c r="H241" t="str" cm="1">
        <f t="array" ref="H241">_xlfn.IFS(A241&lt;=30, "Youth", A241&lt;=50, "Adult", A241&gt;50, "Older")</f>
        <v>Youth</v>
      </c>
      <c r="I241" t="str" cm="1">
        <f t="array" ref="I241">_xlfn.IFS(A241&lt;=25,"18-25",A241&lt;=35,"26-35",A241&lt;=45,"36-45",A241&lt;=60,"46-60",A241&gt;60,"60+")</f>
        <v>18-25</v>
      </c>
      <c r="J241" t="str" cm="1">
        <f t="array" ref="J241">_xlfn.IFS(C241&lt;18.5,"Underweight",C241&lt;25,"Normal",C241&lt;30,"Overweight",C241&gt;=30,"Obese")</f>
        <v>Normal</v>
      </c>
      <c r="K241" t="str" cm="1">
        <f t="array" ref="K241">_xlfn.IFS(G241&lt;10000, "Low", G241&lt;=25000, "Medium", G241&gt;25000, "High")</f>
        <v>Low</v>
      </c>
    </row>
    <row r="242" spans="1:11" x14ac:dyDescent="0.3">
      <c r="A242">
        <v>23</v>
      </c>
      <c r="B242" s="1" t="s">
        <v>7</v>
      </c>
      <c r="C242">
        <v>24.86</v>
      </c>
      <c r="D242">
        <v>0</v>
      </c>
      <c r="E242" t="s">
        <v>9</v>
      </c>
      <c r="F242" t="s">
        <v>14</v>
      </c>
      <c r="G242" s="2">
        <v>3597.596</v>
      </c>
      <c r="H242" t="str" cm="1">
        <f t="array" ref="H242">_xlfn.IFS(A242&lt;=30, "Youth", A242&lt;=50, "Adult", A242&gt;50, "Older")</f>
        <v>Youth</v>
      </c>
      <c r="I242" t="str" cm="1">
        <f t="array" ref="I242">_xlfn.IFS(A242&lt;=25,"18-25",A242&lt;=35,"26-35",A242&lt;=45,"36-45",A242&lt;=60,"46-60",A242&gt;60,"60+")</f>
        <v>18-25</v>
      </c>
      <c r="J242" t="str" cm="1">
        <f t="array" ref="J242">_xlfn.IFS(C242&lt;18.5,"Underweight",C242&lt;25,"Normal",C242&lt;30,"Overweight",C242&gt;=30,"Obese")</f>
        <v>Normal</v>
      </c>
      <c r="K242" t="str" cm="1">
        <f t="array" ref="K242">_xlfn.IFS(G242&lt;10000, "Low", G242&lt;=25000, "Medium", G242&gt;25000, "High")</f>
        <v>Low</v>
      </c>
    </row>
    <row r="243" spans="1:11" x14ac:dyDescent="0.3">
      <c r="A243">
        <v>23</v>
      </c>
      <c r="B243" s="1" t="s">
        <v>7</v>
      </c>
      <c r="C243">
        <v>24.89</v>
      </c>
      <c r="D243">
        <v>0</v>
      </c>
      <c r="E243" t="s">
        <v>10</v>
      </c>
      <c r="F243" t="s">
        <v>14</v>
      </c>
      <c r="G243" s="2">
        <v>3645.0893999999998</v>
      </c>
      <c r="H243" t="str" cm="1">
        <f t="array" ref="H243">_xlfn.IFS(A243&lt;=30, "Youth", A243&lt;=50, "Adult", A243&gt;50, "Older")</f>
        <v>Youth</v>
      </c>
      <c r="I243" t="str" cm="1">
        <f t="array" ref="I243">_xlfn.IFS(A243&lt;=25,"18-25",A243&lt;=35,"26-35",A243&lt;=45,"36-45",A243&lt;=60,"46-60",A243&gt;60,"60+")</f>
        <v>18-25</v>
      </c>
      <c r="J243" t="str" cm="1">
        <f t="array" ref="J243">_xlfn.IFS(C243&lt;18.5,"Underweight",C243&lt;25,"Normal",C243&lt;30,"Overweight",C243&gt;=30,"Obese")</f>
        <v>Normal</v>
      </c>
      <c r="K243" t="str" cm="1">
        <f t="array" ref="K243">_xlfn.IFS(G243&lt;10000, "Low", G243&lt;=25000, "Medium", G243&gt;25000, "High")</f>
        <v>Low</v>
      </c>
    </row>
    <row r="244" spans="1:11" x14ac:dyDescent="0.3">
      <c r="A244">
        <v>23</v>
      </c>
      <c r="B244" s="1" t="s">
        <v>7</v>
      </c>
      <c r="C244">
        <v>24.97</v>
      </c>
      <c r="D244">
        <v>0</v>
      </c>
      <c r="E244" t="s">
        <v>10</v>
      </c>
      <c r="F244" t="s">
        <v>11</v>
      </c>
      <c r="G244" s="2">
        <v>3659.346</v>
      </c>
      <c r="H244" t="str" cm="1">
        <f t="array" ref="H244">_xlfn.IFS(A244&lt;=30, "Youth", A244&lt;=50, "Adult", A244&gt;50, "Older")</f>
        <v>Youth</v>
      </c>
      <c r="I244" t="str" cm="1">
        <f t="array" ref="I244">_xlfn.IFS(A244&lt;=25,"18-25",A244&lt;=35,"26-35",A244&lt;=45,"36-45",A244&lt;=60,"46-60",A244&gt;60,"60+")</f>
        <v>18-25</v>
      </c>
      <c r="J244" t="str" cm="1">
        <f t="array" ref="J244">_xlfn.IFS(C244&lt;18.5,"Underweight",C244&lt;25,"Normal",C244&lt;30,"Overweight",C244&gt;=30,"Obese")</f>
        <v>Normal</v>
      </c>
      <c r="K244" t="str" cm="1">
        <f t="array" ref="K244">_xlfn.IFS(G244&lt;10000, "Low", G244&lt;=25000, "Medium", G244&gt;25000, "High")</f>
        <v>Low</v>
      </c>
    </row>
    <row r="245" spans="1:11" x14ac:dyDescent="0.3">
      <c r="A245">
        <v>23</v>
      </c>
      <c r="B245" s="1" t="s">
        <v>8</v>
      </c>
      <c r="C245">
        <v>24.984999999999999</v>
      </c>
      <c r="D245">
        <v>0</v>
      </c>
      <c r="E245" t="s">
        <v>10</v>
      </c>
      <c r="F245" t="s">
        <v>11</v>
      </c>
      <c r="G245" s="2">
        <v>3693.4279999999999</v>
      </c>
      <c r="H245" t="str" cm="1">
        <f t="array" ref="H245">_xlfn.IFS(A245&lt;=30, "Youth", A245&lt;=50, "Adult", A245&gt;50, "Older")</f>
        <v>Youth</v>
      </c>
      <c r="I245" t="str" cm="1">
        <f t="array" ref="I245">_xlfn.IFS(A245&lt;=25,"18-25",A245&lt;=35,"26-35",A245&lt;=45,"36-45",A245&lt;=60,"46-60",A245&gt;60,"60+")</f>
        <v>18-25</v>
      </c>
      <c r="J245" t="str" cm="1">
        <f t="array" ref="J245">_xlfn.IFS(C245&lt;18.5,"Underweight",C245&lt;25,"Normal",C245&lt;30,"Overweight",C245&gt;=30,"Obese")</f>
        <v>Normal</v>
      </c>
      <c r="K245" t="str" cm="1">
        <f t="array" ref="K245">_xlfn.IFS(G245&lt;10000, "Low", G245&lt;=25000, "Medium", G245&gt;25000, "High")</f>
        <v>Low</v>
      </c>
    </row>
    <row r="246" spans="1:11" x14ac:dyDescent="0.3">
      <c r="A246">
        <v>23</v>
      </c>
      <c r="B246" s="1" t="s">
        <v>7</v>
      </c>
      <c r="C246">
        <v>24.984999999999999</v>
      </c>
      <c r="D246">
        <v>0</v>
      </c>
      <c r="E246" t="s">
        <v>9</v>
      </c>
      <c r="F246" t="s">
        <v>14</v>
      </c>
      <c r="G246" s="2">
        <v>3704.3544999999999</v>
      </c>
      <c r="H246" t="str" cm="1">
        <f t="array" ref="H246">_xlfn.IFS(A246&lt;=30, "Youth", A246&lt;=50, "Adult", A246&gt;50, "Older")</f>
        <v>Youth</v>
      </c>
      <c r="I246" t="str" cm="1">
        <f t="array" ref="I246">_xlfn.IFS(A246&lt;=25,"18-25",A246&lt;=35,"26-35",A246&lt;=45,"36-45",A246&lt;=60,"46-60",A246&gt;60,"60+")</f>
        <v>18-25</v>
      </c>
      <c r="J246" t="str" cm="1">
        <f t="array" ref="J246">_xlfn.IFS(C246&lt;18.5,"Underweight",C246&lt;25,"Normal",C246&lt;30,"Overweight",C246&gt;=30,"Obese")</f>
        <v>Normal</v>
      </c>
      <c r="K246" t="str" cm="1">
        <f t="array" ref="K246">_xlfn.IFS(G246&lt;10000, "Low", G246&lt;=25000, "Medium", G246&gt;25000, "High")</f>
        <v>Low</v>
      </c>
    </row>
    <row r="247" spans="1:11" x14ac:dyDescent="0.3">
      <c r="A247">
        <v>23</v>
      </c>
      <c r="B247" s="1" t="s">
        <v>8</v>
      </c>
      <c r="C247">
        <v>25</v>
      </c>
      <c r="D247">
        <v>0</v>
      </c>
      <c r="E247" t="s">
        <v>10</v>
      </c>
      <c r="F247" t="s">
        <v>13</v>
      </c>
      <c r="G247" s="2">
        <v>3732.6251000000002</v>
      </c>
      <c r="H247" t="str" cm="1">
        <f t="array" ref="H247">_xlfn.IFS(A247&lt;=30, "Youth", A247&lt;=50, "Adult", A247&gt;50, "Older")</f>
        <v>Youth</v>
      </c>
      <c r="I247" t="str" cm="1">
        <f t="array" ref="I247">_xlfn.IFS(A247&lt;=25,"18-25",A247&lt;=35,"26-35",A247&lt;=45,"36-45",A247&lt;=60,"46-60",A247&gt;60,"60+")</f>
        <v>18-25</v>
      </c>
      <c r="J247" t="str" cm="1">
        <f t="array" ref="J247">_xlfn.IFS(C247&lt;18.5,"Underweight",C247&lt;25,"Normal",C247&lt;30,"Overweight",C247&gt;=30,"Obese")</f>
        <v>Overweight</v>
      </c>
      <c r="K247" t="str" cm="1">
        <f t="array" ref="K247">_xlfn.IFS(G247&lt;10000, "Low", G247&lt;=25000, "Medium", G247&gt;25000, "High")</f>
        <v>Low</v>
      </c>
    </row>
    <row r="248" spans="1:11" x14ac:dyDescent="0.3">
      <c r="A248">
        <v>23</v>
      </c>
      <c r="B248" s="1" t="s">
        <v>7</v>
      </c>
      <c r="C248">
        <v>25</v>
      </c>
      <c r="D248">
        <v>0</v>
      </c>
      <c r="E248" t="s">
        <v>10</v>
      </c>
      <c r="F248" t="s">
        <v>12</v>
      </c>
      <c r="G248" s="2">
        <v>3736.4647</v>
      </c>
      <c r="H248" t="str" cm="1">
        <f t="array" ref="H248">_xlfn.IFS(A248&lt;=30, "Youth", A248&lt;=50, "Adult", A248&gt;50, "Older")</f>
        <v>Youth</v>
      </c>
      <c r="I248" t="str" cm="1">
        <f t="array" ref="I248">_xlfn.IFS(A248&lt;=25,"18-25",A248&lt;=35,"26-35",A248&lt;=45,"36-45",A248&lt;=60,"46-60",A248&gt;60,"60+")</f>
        <v>18-25</v>
      </c>
      <c r="J248" t="str" cm="1">
        <f t="array" ref="J248">_xlfn.IFS(C248&lt;18.5,"Underweight",C248&lt;25,"Normal",C248&lt;30,"Overweight",C248&gt;=30,"Obese")</f>
        <v>Overweight</v>
      </c>
      <c r="K248" t="str" cm="1">
        <f t="array" ref="K248">_xlfn.IFS(G248&lt;10000, "Low", G248&lt;=25000, "Medium", G248&gt;25000, "High")</f>
        <v>Low</v>
      </c>
    </row>
    <row r="249" spans="1:11" x14ac:dyDescent="0.3">
      <c r="A249">
        <v>23</v>
      </c>
      <c r="B249" s="1" t="s">
        <v>8</v>
      </c>
      <c r="C249">
        <v>25.08</v>
      </c>
      <c r="D249">
        <v>0</v>
      </c>
      <c r="E249" t="s">
        <v>10</v>
      </c>
      <c r="F249" t="s">
        <v>12</v>
      </c>
      <c r="G249" s="2">
        <v>3756.6215999999999</v>
      </c>
      <c r="H249" t="str" cm="1">
        <f t="array" ref="H249">_xlfn.IFS(A249&lt;=30, "Youth", A249&lt;=50, "Adult", A249&gt;50, "Older")</f>
        <v>Youth</v>
      </c>
      <c r="I249" t="str" cm="1">
        <f t="array" ref="I249">_xlfn.IFS(A249&lt;=25,"18-25",A249&lt;=35,"26-35",A249&lt;=45,"36-45",A249&lt;=60,"46-60",A249&gt;60,"60+")</f>
        <v>18-25</v>
      </c>
      <c r="J249" t="str" cm="1">
        <f t="array" ref="J249">_xlfn.IFS(C249&lt;18.5,"Underweight",C249&lt;25,"Normal",C249&lt;30,"Overweight",C249&gt;=30,"Obese")</f>
        <v>Overweight</v>
      </c>
      <c r="K249" t="str" cm="1">
        <f t="array" ref="K249">_xlfn.IFS(G249&lt;10000, "Low", G249&lt;=25000, "Medium", G249&gt;25000, "High")</f>
        <v>Low</v>
      </c>
    </row>
    <row r="250" spans="1:11" x14ac:dyDescent="0.3">
      <c r="A250">
        <v>23</v>
      </c>
      <c r="B250" s="1" t="s">
        <v>8</v>
      </c>
      <c r="C250">
        <v>25.08</v>
      </c>
      <c r="D250">
        <v>0</v>
      </c>
      <c r="E250" t="s">
        <v>10</v>
      </c>
      <c r="F250" t="s">
        <v>11</v>
      </c>
      <c r="G250" s="2">
        <v>3757.8447999999999</v>
      </c>
      <c r="H250" t="str" cm="1">
        <f t="array" ref="H250">_xlfn.IFS(A250&lt;=30, "Youth", A250&lt;=50, "Adult", A250&gt;50, "Older")</f>
        <v>Youth</v>
      </c>
      <c r="I250" t="str" cm="1">
        <f t="array" ref="I250">_xlfn.IFS(A250&lt;=25,"18-25",A250&lt;=35,"26-35",A250&lt;=45,"36-45",A250&lt;=60,"46-60",A250&gt;60,"60+")</f>
        <v>18-25</v>
      </c>
      <c r="J250" t="str" cm="1">
        <f t="array" ref="J250">_xlfn.IFS(C250&lt;18.5,"Underweight",C250&lt;25,"Normal",C250&lt;30,"Overweight",C250&gt;=30,"Obese")</f>
        <v>Overweight</v>
      </c>
      <c r="K250" t="str" cm="1">
        <f t="array" ref="K250">_xlfn.IFS(G250&lt;10000, "Low", G250&lt;=25000, "Medium", G250&gt;25000, "High")</f>
        <v>Low</v>
      </c>
    </row>
    <row r="251" spans="1:11" x14ac:dyDescent="0.3">
      <c r="A251">
        <v>24</v>
      </c>
      <c r="B251" s="1" t="s">
        <v>8</v>
      </c>
      <c r="C251">
        <v>25.08</v>
      </c>
      <c r="D251">
        <v>0</v>
      </c>
      <c r="E251" t="s">
        <v>10</v>
      </c>
      <c r="F251" t="s">
        <v>14</v>
      </c>
      <c r="G251" s="2">
        <v>3761.2919999999999</v>
      </c>
      <c r="H251" t="str" cm="1">
        <f t="array" ref="H251">_xlfn.IFS(A251&lt;=30, "Youth", A251&lt;=50, "Adult", A251&gt;50, "Older")</f>
        <v>Youth</v>
      </c>
      <c r="I251" t="str" cm="1">
        <f t="array" ref="I251">_xlfn.IFS(A251&lt;=25,"18-25",A251&lt;=35,"26-35",A251&lt;=45,"36-45",A251&lt;=60,"46-60",A251&gt;60,"60+")</f>
        <v>18-25</v>
      </c>
      <c r="J251" t="str" cm="1">
        <f t="array" ref="J251">_xlfn.IFS(C251&lt;18.5,"Underweight",C251&lt;25,"Normal",C251&lt;30,"Overweight",C251&gt;=30,"Obese")</f>
        <v>Overweight</v>
      </c>
      <c r="K251" t="str" cm="1">
        <f t="array" ref="K251">_xlfn.IFS(G251&lt;10000, "Low", G251&lt;=25000, "Medium", G251&gt;25000, "High")</f>
        <v>Low</v>
      </c>
    </row>
    <row r="252" spans="1:11" x14ac:dyDescent="0.3">
      <c r="A252">
        <v>24</v>
      </c>
      <c r="B252" s="1" t="s">
        <v>8</v>
      </c>
      <c r="C252">
        <v>25.08</v>
      </c>
      <c r="D252">
        <v>0</v>
      </c>
      <c r="E252" t="s">
        <v>9</v>
      </c>
      <c r="F252" t="s">
        <v>14</v>
      </c>
      <c r="G252" s="2">
        <v>3766.8838000000001</v>
      </c>
      <c r="H252" t="str" cm="1">
        <f t="array" ref="H252">_xlfn.IFS(A252&lt;=30, "Youth", A252&lt;=50, "Adult", A252&gt;50, "Older")</f>
        <v>Youth</v>
      </c>
      <c r="I252" t="str" cm="1">
        <f t="array" ref="I252">_xlfn.IFS(A252&lt;=25,"18-25",A252&lt;=35,"26-35",A252&lt;=45,"36-45",A252&lt;=60,"46-60",A252&gt;60,"60+")</f>
        <v>18-25</v>
      </c>
      <c r="J252" t="str" cm="1">
        <f t="array" ref="J252">_xlfn.IFS(C252&lt;18.5,"Underweight",C252&lt;25,"Normal",C252&lt;30,"Overweight",C252&gt;=30,"Obese")</f>
        <v>Overweight</v>
      </c>
      <c r="K252" t="str" cm="1">
        <f t="array" ref="K252">_xlfn.IFS(G252&lt;10000, "Low", G252&lt;=25000, "Medium", G252&gt;25000, "High")</f>
        <v>Low</v>
      </c>
    </row>
    <row r="253" spans="1:11" x14ac:dyDescent="0.3">
      <c r="A253">
        <v>24</v>
      </c>
      <c r="B253" s="1" t="s">
        <v>7</v>
      </c>
      <c r="C253">
        <v>25.08</v>
      </c>
      <c r="D253">
        <v>0</v>
      </c>
      <c r="E253" t="s">
        <v>9</v>
      </c>
      <c r="F253" t="s">
        <v>11</v>
      </c>
      <c r="G253" s="2">
        <v>3847.674</v>
      </c>
      <c r="H253" t="str" cm="1">
        <f t="array" ref="H253">_xlfn.IFS(A253&lt;=30, "Youth", A253&lt;=50, "Adult", A253&gt;50, "Older")</f>
        <v>Youth</v>
      </c>
      <c r="I253" t="str" cm="1">
        <f t="array" ref="I253">_xlfn.IFS(A253&lt;=25,"18-25",A253&lt;=35,"26-35",A253&lt;=45,"36-45",A253&lt;=60,"46-60",A253&gt;60,"60+")</f>
        <v>18-25</v>
      </c>
      <c r="J253" t="str" cm="1">
        <f t="array" ref="J253">_xlfn.IFS(C253&lt;18.5,"Underweight",C253&lt;25,"Normal",C253&lt;30,"Overweight",C253&gt;=30,"Obese")</f>
        <v>Overweight</v>
      </c>
      <c r="K253" t="str" cm="1">
        <f t="array" ref="K253">_xlfn.IFS(G253&lt;10000, "Low", G253&lt;=25000, "Medium", G253&gt;25000, "High")</f>
        <v>Low</v>
      </c>
    </row>
    <row r="254" spans="1:11" x14ac:dyDescent="0.3">
      <c r="A254">
        <v>24</v>
      </c>
      <c r="B254" s="1" t="s">
        <v>8</v>
      </c>
      <c r="C254">
        <v>25.1</v>
      </c>
      <c r="D254">
        <v>0</v>
      </c>
      <c r="E254" t="s">
        <v>9</v>
      </c>
      <c r="F254" t="s">
        <v>12</v>
      </c>
      <c r="G254" s="2">
        <v>3857.7592500000001</v>
      </c>
      <c r="H254" t="str" cm="1">
        <f t="array" ref="H254">_xlfn.IFS(A254&lt;=30, "Youth", A254&lt;=50, "Adult", A254&gt;50, "Older")</f>
        <v>Youth</v>
      </c>
      <c r="I254" t="str" cm="1">
        <f t="array" ref="I254">_xlfn.IFS(A254&lt;=25,"18-25",A254&lt;=35,"26-35",A254&lt;=45,"36-45",A254&lt;=60,"46-60",A254&gt;60,"60+")</f>
        <v>18-25</v>
      </c>
      <c r="J254" t="str" cm="1">
        <f t="array" ref="J254">_xlfn.IFS(C254&lt;18.5,"Underweight",C254&lt;25,"Normal",C254&lt;30,"Overweight",C254&gt;=30,"Obese")</f>
        <v>Overweight</v>
      </c>
      <c r="K254" t="str" cm="1">
        <f t="array" ref="K254">_xlfn.IFS(G254&lt;10000, "Low", G254&lt;=25000, "Medium", G254&gt;25000, "High")</f>
        <v>Low</v>
      </c>
    </row>
    <row r="255" spans="1:11" x14ac:dyDescent="0.3">
      <c r="A255">
        <v>24</v>
      </c>
      <c r="B255" s="1" t="s">
        <v>8</v>
      </c>
      <c r="C255">
        <v>25.175000000000001</v>
      </c>
      <c r="D255">
        <v>0</v>
      </c>
      <c r="E255" t="s">
        <v>10</v>
      </c>
      <c r="F255" t="s">
        <v>11</v>
      </c>
      <c r="G255" s="2">
        <v>3861.2096499999998</v>
      </c>
      <c r="H255" t="str" cm="1">
        <f t="array" ref="H255">_xlfn.IFS(A255&lt;=30, "Youth", A255&lt;=50, "Adult", A255&gt;50, "Older")</f>
        <v>Youth</v>
      </c>
      <c r="I255" t="str" cm="1">
        <f t="array" ref="I255">_xlfn.IFS(A255&lt;=25,"18-25",A255&lt;=35,"26-35",A255&lt;=45,"36-45",A255&lt;=60,"46-60",A255&gt;60,"60+")</f>
        <v>18-25</v>
      </c>
      <c r="J255" t="str" cm="1">
        <f t="array" ref="J255">_xlfn.IFS(C255&lt;18.5,"Underweight",C255&lt;25,"Normal",C255&lt;30,"Overweight",C255&gt;=30,"Obese")</f>
        <v>Overweight</v>
      </c>
      <c r="K255" t="str" cm="1">
        <f t="array" ref="K255">_xlfn.IFS(G255&lt;10000, "Low", G255&lt;=25000, "Medium", G255&gt;25000, "High")</f>
        <v>Low</v>
      </c>
    </row>
    <row r="256" spans="1:11" x14ac:dyDescent="0.3">
      <c r="A256">
        <v>24</v>
      </c>
      <c r="B256" s="1" t="s">
        <v>8</v>
      </c>
      <c r="C256">
        <v>25.175000000000001</v>
      </c>
      <c r="D256">
        <v>0</v>
      </c>
      <c r="E256" t="s">
        <v>9</v>
      </c>
      <c r="F256" t="s">
        <v>14</v>
      </c>
      <c r="G256" s="2">
        <v>3866.8552</v>
      </c>
      <c r="H256" t="str" cm="1">
        <f t="array" ref="H256">_xlfn.IFS(A256&lt;=30, "Youth", A256&lt;=50, "Adult", A256&gt;50, "Older")</f>
        <v>Youth</v>
      </c>
      <c r="I256" t="str" cm="1">
        <f t="array" ref="I256">_xlfn.IFS(A256&lt;=25,"18-25",A256&lt;=35,"26-35",A256&lt;=45,"36-45",A256&lt;=60,"46-60",A256&gt;60,"60+")</f>
        <v>18-25</v>
      </c>
      <c r="J256" t="str" cm="1">
        <f t="array" ref="J256">_xlfn.IFS(C256&lt;18.5,"Underweight",C256&lt;25,"Normal",C256&lt;30,"Overweight",C256&gt;=30,"Obese")</f>
        <v>Overweight</v>
      </c>
      <c r="K256" t="str" cm="1">
        <f t="array" ref="K256">_xlfn.IFS(G256&lt;10000, "Low", G256&lt;=25000, "Medium", G256&gt;25000, "High")</f>
        <v>Low</v>
      </c>
    </row>
    <row r="257" spans="1:11" x14ac:dyDescent="0.3">
      <c r="A257">
        <v>24</v>
      </c>
      <c r="B257" s="1" t="s">
        <v>7</v>
      </c>
      <c r="C257">
        <v>25.175000000000001</v>
      </c>
      <c r="D257">
        <v>0</v>
      </c>
      <c r="E257" t="s">
        <v>10</v>
      </c>
      <c r="F257" t="s">
        <v>14</v>
      </c>
      <c r="G257" s="2">
        <v>3875.7341000000001</v>
      </c>
      <c r="H257" t="str" cm="1">
        <f t="array" ref="H257">_xlfn.IFS(A257&lt;=30, "Youth", A257&lt;=50, "Adult", A257&gt;50, "Older")</f>
        <v>Youth</v>
      </c>
      <c r="I257" t="str" cm="1">
        <f t="array" ref="I257">_xlfn.IFS(A257&lt;=25,"18-25",A257&lt;=35,"26-35",A257&lt;=45,"36-45",A257&lt;=60,"46-60",A257&gt;60,"60+")</f>
        <v>18-25</v>
      </c>
      <c r="J257" t="str" cm="1">
        <f t="array" ref="J257">_xlfn.IFS(C257&lt;18.5,"Underweight",C257&lt;25,"Normal",C257&lt;30,"Overweight",C257&gt;=30,"Obese")</f>
        <v>Overweight</v>
      </c>
      <c r="K257" t="str" cm="1">
        <f t="array" ref="K257">_xlfn.IFS(G257&lt;10000, "Low", G257&lt;=25000, "Medium", G257&gt;25000, "High")</f>
        <v>Low</v>
      </c>
    </row>
    <row r="258" spans="1:11" x14ac:dyDescent="0.3">
      <c r="A258">
        <v>24</v>
      </c>
      <c r="B258" s="1" t="s">
        <v>8</v>
      </c>
      <c r="C258">
        <v>25.175000000000001</v>
      </c>
      <c r="D258">
        <v>0</v>
      </c>
      <c r="E258" t="s">
        <v>9</v>
      </c>
      <c r="F258" t="s">
        <v>13</v>
      </c>
      <c r="G258" s="2">
        <v>3877.3042500000001</v>
      </c>
      <c r="H258" t="str" cm="1">
        <f t="array" ref="H258">_xlfn.IFS(A258&lt;=30, "Youth", A258&lt;=50, "Adult", A258&gt;50, "Older")</f>
        <v>Youth</v>
      </c>
      <c r="I258" t="str" cm="1">
        <f t="array" ref="I258">_xlfn.IFS(A258&lt;=25,"18-25",A258&lt;=35,"26-35",A258&lt;=45,"36-45",A258&lt;=60,"46-60",A258&gt;60,"60+")</f>
        <v>18-25</v>
      </c>
      <c r="J258" t="str" cm="1">
        <f t="array" ref="J258">_xlfn.IFS(C258&lt;18.5,"Underweight",C258&lt;25,"Normal",C258&lt;30,"Overweight",C258&gt;=30,"Obese")</f>
        <v>Overweight</v>
      </c>
      <c r="K258" t="str" cm="1">
        <f t="array" ref="K258">_xlfn.IFS(G258&lt;10000, "Low", G258&lt;=25000, "Medium", G258&gt;25000, "High")</f>
        <v>Low</v>
      </c>
    </row>
    <row r="259" spans="1:11" x14ac:dyDescent="0.3">
      <c r="A259">
        <v>24</v>
      </c>
      <c r="B259" s="1" t="s">
        <v>7</v>
      </c>
      <c r="C259">
        <v>25.175000000000001</v>
      </c>
      <c r="D259">
        <v>0</v>
      </c>
      <c r="E259" t="s">
        <v>10</v>
      </c>
      <c r="F259" t="s">
        <v>12</v>
      </c>
      <c r="G259" s="2">
        <v>3906.127</v>
      </c>
      <c r="H259" t="str" cm="1">
        <f t="array" ref="H259">_xlfn.IFS(A259&lt;=30, "Youth", A259&lt;=50, "Adult", A259&gt;50, "Older")</f>
        <v>Youth</v>
      </c>
      <c r="I259" t="str" cm="1">
        <f t="array" ref="I259">_xlfn.IFS(A259&lt;=25,"18-25",A259&lt;=35,"26-35",A259&lt;=45,"36-45",A259&lt;=60,"46-60",A259&gt;60,"60+")</f>
        <v>18-25</v>
      </c>
      <c r="J259" t="str" cm="1">
        <f t="array" ref="J259">_xlfn.IFS(C259&lt;18.5,"Underweight",C259&lt;25,"Normal",C259&lt;30,"Overweight",C259&gt;=30,"Obese")</f>
        <v>Overweight</v>
      </c>
      <c r="K259" t="str" cm="1">
        <f t="array" ref="K259">_xlfn.IFS(G259&lt;10000, "Low", G259&lt;=25000, "Medium", G259&gt;25000, "High")</f>
        <v>Low</v>
      </c>
    </row>
    <row r="260" spans="1:11" x14ac:dyDescent="0.3">
      <c r="A260">
        <v>24</v>
      </c>
      <c r="B260" s="1" t="s">
        <v>8</v>
      </c>
      <c r="C260">
        <v>25.175000000000001</v>
      </c>
      <c r="D260">
        <v>0</v>
      </c>
      <c r="E260" t="s">
        <v>10</v>
      </c>
      <c r="F260" t="s">
        <v>13</v>
      </c>
      <c r="G260" s="2">
        <v>3925.7582000000002</v>
      </c>
      <c r="H260" t="str" cm="1">
        <f t="array" ref="H260">_xlfn.IFS(A260&lt;=30, "Youth", A260&lt;=50, "Adult", A260&gt;50, "Older")</f>
        <v>Youth</v>
      </c>
      <c r="I260" t="str" cm="1">
        <f t="array" ref="I260">_xlfn.IFS(A260&lt;=25,"18-25",A260&lt;=35,"26-35",A260&lt;=45,"36-45",A260&lt;=60,"46-60",A260&gt;60,"60+")</f>
        <v>18-25</v>
      </c>
      <c r="J260" t="str" cm="1">
        <f t="array" ref="J260">_xlfn.IFS(C260&lt;18.5,"Underweight",C260&lt;25,"Normal",C260&lt;30,"Overweight",C260&gt;=30,"Obese")</f>
        <v>Overweight</v>
      </c>
      <c r="K260" t="str" cm="1">
        <f t="array" ref="K260">_xlfn.IFS(G260&lt;10000, "Low", G260&lt;=25000, "Medium", G260&gt;25000, "High")</f>
        <v>Low</v>
      </c>
    </row>
    <row r="261" spans="1:11" x14ac:dyDescent="0.3">
      <c r="A261">
        <v>24</v>
      </c>
      <c r="B261" s="1" t="s">
        <v>8</v>
      </c>
      <c r="C261">
        <v>25.2</v>
      </c>
      <c r="D261">
        <v>0</v>
      </c>
      <c r="E261" t="s">
        <v>9</v>
      </c>
      <c r="F261" t="s">
        <v>13</v>
      </c>
      <c r="G261" s="2">
        <v>3935.1799000000001</v>
      </c>
      <c r="H261" t="str" cm="1">
        <f t="array" ref="H261">_xlfn.IFS(A261&lt;=30, "Youth", A261&lt;=50, "Adult", A261&gt;50, "Older")</f>
        <v>Youth</v>
      </c>
      <c r="I261" t="str" cm="1">
        <f t="array" ref="I261">_xlfn.IFS(A261&lt;=25,"18-25",A261&lt;=35,"26-35",A261&lt;=45,"36-45",A261&lt;=60,"46-60",A261&gt;60,"60+")</f>
        <v>18-25</v>
      </c>
      <c r="J261" t="str" cm="1">
        <f t="array" ref="J261">_xlfn.IFS(C261&lt;18.5,"Underweight",C261&lt;25,"Normal",C261&lt;30,"Overweight",C261&gt;=30,"Obese")</f>
        <v>Overweight</v>
      </c>
      <c r="K261" t="str" cm="1">
        <f t="array" ref="K261">_xlfn.IFS(G261&lt;10000, "Low", G261&lt;=25000, "Medium", G261&gt;25000, "High")</f>
        <v>Low</v>
      </c>
    </row>
    <row r="262" spans="1:11" x14ac:dyDescent="0.3">
      <c r="A262">
        <v>24</v>
      </c>
      <c r="B262" s="1" t="s">
        <v>7</v>
      </c>
      <c r="C262">
        <v>25.27</v>
      </c>
      <c r="D262">
        <v>0</v>
      </c>
      <c r="E262" t="s">
        <v>10</v>
      </c>
      <c r="F262" t="s">
        <v>11</v>
      </c>
      <c r="G262" s="2">
        <v>3943.5954000000002</v>
      </c>
      <c r="H262" t="str" cm="1">
        <f t="array" ref="H262">_xlfn.IFS(A262&lt;=30, "Youth", A262&lt;=50, "Adult", A262&gt;50, "Older")</f>
        <v>Youth</v>
      </c>
      <c r="I262" t="str" cm="1">
        <f t="array" ref="I262">_xlfn.IFS(A262&lt;=25,"18-25",A262&lt;=35,"26-35",A262&lt;=45,"36-45",A262&lt;=60,"46-60",A262&gt;60,"60+")</f>
        <v>18-25</v>
      </c>
      <c r="J262" t="str" cm="1">
        <f t="array" ref="J262">_xlfn.IFS(C262&lt;18.5,"Underweight",C262&lt;25,"Normal",C262&lt;30,"Overweight",C262&gt;=30,"Obese")</f>
        <v>Overweight</v>
      </c>
      <c r="K262" t="str" cm="1">
        <f t="array" ref="K262">_xlfn.IFS(G262&lt;10000, "Low", G262&lt;=25000, "Medium", G262&gt;25000, "High")</f>
        <v>Low</v>
      </c>
    </row>
    <row r="263" spans="1:11" x14ac:dyDescent="0.3">
      <c r="A263">
        <v>24</v>
      </c>
      <c r="B263" s="1" t="s">
        <v>7</v>
      </c>
      <c r="C263">
        <v>25.27</v>
      </c>
      <c r="D263">
        <v>0</v>
      </c>
      <c r="E263" t="s">
        <v>9</v>
      </c>
      <c r="F263" t="s">
        <v>12</v>
      </c>
      <c r="G263" s="2">
        <v>3947.4131000000002</v>
      </c>
      <c r="H263" t="str" cm="1">
        <f t="array" ref="H263">_xlfn.IFS(A263&lt;=30, "Youth", A263&lt;=50, "Adult", A263&gt;50, "Older")</f>
        <v>Youth</v>
      </c>
      <c r="I263" t="str" cm="1">
        <f t="array" ref="I263">_xlfn.IFS(A263&lt;=25,"18-25",A263&lt;=35,"26-35",A263&lt;=45,"36-45",A263&lt;=60,"46-60",A263&gt;60,"60+")</f>
        <v>18-25</v>
      </c>
      <c r="J263" t="str" cm="1">
        <f t="array" ref="J263">_xlfn.IFS(C263&lt;18.5,"Underweight",C263&lt;25,"Normal",C263&lt;30,"Overweight",C263&gt;=30,"Obese")</f>
        <v>Overweight</v>
      </c>
      <c r="K263" t="str" cm="1">
        <f t="array" ref="K263">_xlfn.IFS(G263&lt;10000, "Low", G263&lt;=25000, "Medium", G263&gt;25000, "High")</f>
        <v>Low</v>
      </c>
    </row>
    <row r="264" spans="1:11" x14ac:dyDescent="0.3">
      <c r="A264">
        <v>24</v>
      </c>
      <c r="B264" s="1" t="s">
        <v>8</v>
      </c>
      <c r="C264">
        <v>25.27</v>
      </c>
      <c r="D264">
        <v>0</v>
      </c>
      <c r="E264" t="s">
        <v>9</v>
      </c>
      <c r="F264" t="s">
        <v>14</v>
      </c>
      <c r="G264" s="2">
        <v>3956.0714499999999</v>
      </c>
      <c r="H264" t="str" cm="1">
        <f t="array" ref="H264">_xlfn.IFS(A264&lt;=30, "Youth", A264&lt;=50, "Adult", A264&gt;50, "Older")</f>
        <v>Youth</v>
      </c>
      <c r="I264" t="str" cm="1">
        <f t="array" ref="I264">_xlfn.IFS(A264&lt;=25,"18-25",A264&lt;=35,"26-35",A264&lt;=45,"36-45",A264&lt;=60,"46-60",A264&gt;60,"60+")</f>
        <v>18-25</v>
      </c>
      <c r="J264" t="str" cm="1">
        <f t="array" ref="J264">_xlfn.IFS(C264&lt;18.5,"Underweight",C264&lt;25,"Normal",C264&lt;30,"Overweight",C264&gt;=30,"Obese")</f>
        <v>Overweight</v>
      </c>
      <c r="K264" t="str" cm="1">
        <f t="array" ref="K264">_xlfn.IFS(G264&lt;10000, "Low", G264&lt;=25000, "Medium", G264&gt;25000, "High")</f>
        <v>Low</v>
      </c>
    </row>
    <row r="265" spans="1:11" x14ac:dyDescent="0.3">
      <c r="A265">
        <v>24</v>
      </c>
      <c r="B265" s="1" t="s">
        <v>8</v>
      </c>
      <c r="C265">
        <v>25.3</v>
      </c>
      <c r="D265">
        <v>0</v>
      </c>
      <c r="E265" t="s">
        <v>9</v>
      </c>
      <c r="F265" t="s">
        <v>13</v>
      </c>
      <c r="G265" s="2">
        <v>3972.9247</v>
      </c>
      <c r="H265" t="str" cm="1">
        <f t="array" ref="H265">_xlfn.IFS(A265&lt;=30, "Youth", A265&lt;=50, "Adult", A265&gt;50, "Older")</f>
        <v>Youth</v>
      </c>
      <c r="I265" t="str" cm="1">
        <f t="array" ref="I265">_xlfn.IFS(A265&lt;=25,"18-25",A265&lt;=35,"26-35",A265&lt;=45,"36-45",A265&lt;=60,"46-60",A265&gt;60,"60+")</f>
        <v>18-25</v>
      </c>
      <c r="J265" t="str" cm="1">
        <f t="array" ref="J265">_xlfn.IFS(C265&lt;18.5,"Underweight",C265&lt;25,"Normal",C265&lt;30,"Overweight",C265&gt;=30,"Obese")</f>
        <v>Overweight</v>
      </c>
      <c r="K265" t="str" cm="1">
        <f t="array" ref="K265">_xlfn.IFS(G265&lt;10000, "Low", G265&lt;=25000, "Medium", G265&gt;25000, "High")</f>
        <v>Low</v>
      </c>
    </row>
    <row r="266" spans="1:11" x14ac:dyDescent="0.3">
      <c r="A266">
        <v>24</v>
      </c>
      <c r="B266" s="1" t="s">
        <v>7</v>
      </c>
      <c r="C266">
        <v>25.3</v>
      </c>
      <c r="D266">
        <v>0</v>
      </c>
      <c r="E266" t="s">
        <v>10</v>
      </c>
      <c r="F266" t="s">
        <v>12</v>
      </c>
      <c r="G266" s="2">
        <v>3981.9767999999999</v>
      </c>
      <c r="H266" t="str" cm="1">
        <f t="array" ref="H266">_xlfn.IFS(A266&lt;=30, "Youth", A266&lt;=50, "Adult", A266&gt;50, "Older")</f>
        <v>Youth</v>
      </c>
      <c r="I266" t="str" cm="1">
        <f t="array" ref="I266">_xlfn.IFS(A266&lt;=25,"18-25",A266&lt;=35,"26-35",A266&lt;=45,"36-45",A266&lt;=60,"46-60",A266&gt;60,"60+")</f>
        <v>18-25</v>
      </c>
      <c r="J266" t="str" cm="1">
        <f t="array" ref="J266">_xlfn.IFS(C266&lt;18.5,"Underweight",C266&lt;25,"Normal",C266&lt;30,"Overweight",C266&gt;=30,"Obese")</f>
        <v>Overweight</v>
      </c>
      <c r="K266" t="str" cm="1">
        <f t="array" ref="K266">_xlfn.IFS(G266&lt;10000, "Low", G266&lt;=25000, "Medium", G266&gt;25000, "High")</f>
        <v>Low</v>
      </c>
    </row>
    <row r="267" spans="1:11" x14ac:dyDescent="0.3">
      <c r="A267">
        <v>24</v>
      </c>
      <c r="B267" s="1" t="s">
        <v>8</v>
      </c>
      <c r="C267">
        <v>25.3</v>
      </c>
      <c r="D267">
        <v>0</v>
      </c>
      <c r="E267" t="s">
        <v>9</v>
      </c>
      <c r="F267" t="s">
        <v>12</v>
      </c>
      <c r="G267" s="2">
        <v>3987.9259999999999</v>
      </c>
      <c r="H267" t="str" cm="1">
        <f t="array" ref="H267">_xlfn.IFS(A267&lt;=30, "Youth", A267&lt;=50, "Adult", A267&gt;50, "Older")</f>
        <v>Youth</v>
      </c>
      <c r="I267" t="str" cm="1">
        <f t="array" ref="I267">_xlfn.IFS(A267&lt;=25,"18-25",A267&lt;=35,"26-35",A267&lt;=45,"36-45",A267&lt;=60,"46-60",A267&gt;60,"60+")</f>
        <v>18-25</v>
      </c>
      <c r="J267" t="str" cm="1">
        <f t="array" ref="J267">_xlfn.IFS(C267&lt;18.5,"Underweight",C267&lt;25,"Normal",C267&lt;30,"Overweight",C267&gt;=30,"Obese")</f>
        <v>Overweight</v>
      </c>
      <c r="K267" t="str" cm="1">
        <f t="array" ref="K267">_xlfn.IFS(G267&lt;10000, "Low", G267&lt;=25000, "Medium", G267&gt;25000, "High")</f>
        <v>Low</v>
      </c>
    </row>
    <row r="268" spans="1:11" x14ac:dyDescent="0.3">
      <c r="A268">
        <v>24</v>
      </c>
      <c r="B268" s="1" t="s">
        <v>8</v>
      </c>
      <c r="C268">
        <v>25.3</v>
      </c>
      <c r="D268">
        <v>0</v>
      </c>
      <c r="E268" t="s">
        <v>9</v>
      </c>
      <c r="F268" t="s">
        <v>12</v>
      </c>
      <c r="G268" s="2">
        <v>3989.8409999999999</v>
      </c>
      <c r="H268" t="str" cm="1">
        <f t="array" ref="H268">_xlfn.IFS(A268&lt;=30, "Youth", A268&lt;=50, "Adult", A268&gt;50, "Older")</f>
        <v>Youth</v>
      </c>
      <c r="I268" t="str" cm="1">
        <f t="array" ref="I268">_xlfn.IFS(A268&lt;=25,"18-25",A268&lt;=35,"26-35",A268&lt;=45,"36-45",A268&lt;=60,"46-60",A268&gt;60,"60+")</f>
        <v>18-25</v>
      </c>
      <c r="J268" t="str" cm="1">
        <f t="array" ref="J268">_xlfn.IFS(C268&lt;18.5,"Underweight",C268&lt;25,"Normal",C268&lt;30,"Overweight",C268&gt;=30,"Obese")</f>
        <v>Overweight</v>
      </c>
      <c r="K268" t="str" cm="1">
        <f t="array" ref="K268">_xlfn.IFS(G268&lt;10000, "Low", G268&lt;=25000, "Medium", G268&gt;25000, "High")</f>
        <v>Low</v>
      </c>
    </row>
    <row r="269" spans="1:11" x14ac:dyDescent="0.3">
      <c r="A269">
        <v>24</v>
      </c>
      <c r="B269" s="1" t="s">
        <v>7</v>
      </c>
      <c r="C269">
        <v>25.3</v>
      </c>
      <c r="D269">
        <v>0</v>
      </c>
      <c r="E269" t="s">
        <v>10</v>
      </c>
      <c r="F269" t="s">
        <v>14</v>
      </c>
      <c r="G269" s="2">
        <v>3994.1777999999999</v>
      </c>
      <c r="H269" t="str" cm="1">
        <f t="array" ref="H269">_xlfn.IFS(A269&lt;=30, "Youth", A269&lt;=50, "Adult", A269&gt;50, "Older")</f>
        <v>Youth</v>
      </c>
      <c r="I269" t="str" cm="1">
        <f t="array" ref="I269">_xlfn.IFS(A269&lt;=25,"18-25",A269&lt;=35,"26-35",A269&lt;=45,"36-45",A269&lt;=60,"46-60",A269&gt;60,"60+")</f>
        <v>18-25</v>
      </c>
      <c r="J269" t="str" cm="1">
        <f t="array" ref="J269">_xlfn.IFS(C269&lt;18.5,"Underweight",C269&lt;25,"Normal",C269&lt;30,"Overweight",C269&gt;=30,"Obese")</f>
        <v>Overweight</v>
      </c>
      <c r="K269" t="str" cm="1">
        <f t="array" ref="K269">_xlfn.IFS(G269&lt;10000, "Low", G269&lt;=25000, "Medium", G269&gt;25000, "High")</f>
        <v>Low</v>
      </c>
    </row>
    <row r="270" spans="1:11" x14ac:dyDescent="0.3">
      <c r="A270">
        <v>24</v>
      </c>
      <c r="B270" s="1" t="s">
        <v>8</v>
      </c>
      <c r="C270">
        <v>25.364999999999998</v>
      </c>
      <c r="D270">
        <v>0</v>
      </c>
      <c r="E270" t="s">
        <v>10</v>
      </c>
      <c r="F270" t="s">
        <v>11</v>
      </c>
      <c r="G270" s="2">
        <v>4005.4225000000001</v>
      </c>
      <c r="H270" t="str" cm="1">
        <f t="array" ref="H270">_xlfn.IFS(A270&lt;=30, "Youth", A270&lt;=50, "Adult", A270&gt;50, "Older")</f>
        <v>Youth</v>
      </c>
      <c r="I270" t="str" cm="1">
        <f t="array" ref="I270">_xlfn.IFS(A270&lt;=25,"18-25",A270&lt;=35,"26-35",A270&lt;=45,"36-45",A270&lt;=60,"46-60",A270&gt;60,"60+")</f>
        <v>18-25</v>
      </c>
      <c r="J270" t="str" cm="1">
        <f t="array" ref="J270">_xlfn.IFS(C270&lt;18.5,"Underweight",C270&lt;25,"Normal",C270&lt;30,"Overweight",C270&gt;=30,"Obese")</f>
        <v>Overweight</v>
      </c>
      <c r="K270" t="str" cm="1">
        <f t="array" ref="K270">_xlfn.IFS(G270&lt;10000, "Low", G270&lt;=25000, "Medium", G270&gt;25000, "High")</f>
        <v>Low</v>
      </c>
    </row>
    <row r="271" spans="1:11" x14ac:dyDescent="0.3">
      <c r="A271">
        <v>24</v>
      </c>
      <c r="B271" s="1" t="s">
        <v>8</v>
      </c>
      <c r="C271">
        <v>25.364999999999998</v>
      </c>
      <c r="D271">
        <v>0</v>
      </c>
      <c r="E271" t="s">
        <v>10</v>
      </c>
      <c r="F271" t="s">
        <v>14</v>
      </c>
      <c r="G271" s="2">
        <v>4032.2406999999998</v>
      </c>
      <c r="H271" t="str" cm="1">
        <f t="array" ref="H271">_xlfn.IFS(A271&lt;=30, "Youth", A271&lt;=50, "Adult", A271&gt;50, "Older")</f>
        <v>Youth</v>
      </c>
      <c r="I271" t="str" cm="1">
        <f t="array" ref="I271">_xlfn.IFS(A271&lt;=25,"18-25",A271&lt;=35,"26-35",A271&lt;=45,"36-45",A271&lt;=60,"46-60",A271&gt;60,"60+")</f>
        <v>18-25</v>
      </c>
      <c r="J271" t="str" cm="1">
        <f t="array" ref="J271">_xlfn.IFS(C271&lt;18.5,"Underweight",C271&lt;25,"Normal",C271&lt;30,"Overweight",C271&gt;=30,"Obese")</f>
        <v>Overweight</v>
      </c>
      <c r="K271" t="str" cm="1">
        <f t="array" ref="K271">_xlfn.IFS(G271&lt;10000, "Low", G271&lt;=25000, "Medium", G271&gt;25000, "High")</f>
        <v>Low</v>
      </c>
    </row>
    <row r="272" spans="1:11" x14ac:dyDescent="0.3">
      <c r="A272">
        <v>24</v>
      </c>
      <c r="B272" s="1" t="s">
        <v>8</v>
      </c>
      <c r="C272">
        <v>25.364999999999998</v>
      </c>
      <c r="D272">
        <v>0</v>
      </c>
      <c r="E272" t="s">
        <v>10</v>
      </c>
      <c r="F272" t="s">
        <v>12</v>
      </c>
      <c r="G272" s="2">
        <v>4040.55825</v>
      </c>
      <c r="H272" t="str" cm="1">
        <f t="array" ref="H272">_xlfn.IFS(A272&lt;=30, "Youth", A272&lt;=50, "Adult", A272&gt;50, "Older")</f>
        <v>Youth</v>
      </c>
      <c r="I272" t="str" cm="1">
        <f t="array" ref="I272">_xlfn.IFS(A272&lt;=25,"18-25",A272&lt;=35,"26-35",A272&lt;=45,"36-45",A272&lt;=60,"46-60",A272&gt;60,"60+")</f>
        <v>18-25</v>
      </c>
      <c r="J272" t="str" cm="1">
        <f t="array" ref="J272">_xlfn.IFS(C272&lt;18.5,"Underweight",C272&lt;25,"Normal",C272&lt;30,"Overweight",C272&gt;=30,"Obese")</f>
        <v>Overweight</v>
      </c>
      <c r="K272" t="str" cm="1">
        <f t="array" ref="K272">_xlfn.IFS(G272&lt;10000, "Low", G272&lt;=25000, "Medium", G272&gt;25000, "High")</f>
        <v>Low</v>
      </c>
    </row>
    <row r="273" spans="1:11" x14ac:dyDescent="0.3">
      <c r="A273">
        <v>24</v>
      </c>
      <c r="B273" s="1" t="s">
        <v>8</v>
      </c>
      <c r="C273">
        <v>25.4</v>
      </c>
      <c r="D273">
        <v>0</v>
      </c>
      <c r="E273" t="s">
        <v>9</v>
      </c>
      <c r="F273" t="s">
        <v>11</v>
      </c>
      <c r="G273" s="2">
        <v>4058.1161000000002</v>
      </c>
      <c r="H273" t="str" cm="1">
        <f t="array" ref="H273">_xlfn.IFS(A273&lt;=30, "Youth", A273&lt;=50, "Adult", A273&gt;50, "Older")</f>
        <v>Youth</v>
      </c>
      <c r="I273" t="str" cm="1">
        <f t="array" ref="I273">_xlfn.IFS(A273&lt;=25,"18-25",A273&lt;=35,"26-35",A273&lt;=45,"36-45",A273&lt;=60,"46-60",A273&gt;60,"60+")</f>
        <v>18-25</v>
      </c>
      <c r="J273" t="str" cm="1">
        <f t="array" ref="J273">_xlfn.IFS(C273&lt;18.5,"Underweight",C273&lt;25,"Normal",C273&lt;30,"Overweight",C273&gt;=30,"Obese")</f>
        <v>Overweight</v>
      </c>
      <c r="K273" t="str" cm="1">
        <f t="array" ref="K273">_xlfn.IFS(G273&lt;10000, "Low", G273&lt;=25000, "Medium", G273&gt;25000, "High")</f>
        <v>Low</v>
      </c>
    </row>
    <row r="274" spans="1:11" x14ac:dyDescent="0.3">
      <c r="A274">
        <v>24</v>
      </c>
      <c r="B274" s="1" t="s">
        <v>8</v>
      </c>
      <c r="C274">
        <v>25.41</v>
      </c>
      <c r="D274">
        <v>0</v>
      </c>
      <c r="E274" t="s">
        <v>10</v>
      </c>
      <c r="F274" t="s">
        <v>13</v>
      </c>
      <c r="G274" s="2">
        <v>4058.71245</v>
      </c>
      <c r="H274" t="str" cm="1">
        <f t="array" ref="H274">_xlfn.IFS(A274&lt;=30, "Youth", A274&lt;=50, "Adult", A274&gt;50, "Older")</f>
        <v>Youth</v>
      </c>
      <c r="I274" t="str" cm="1">
        <f t="array" ref="I274">_xlfn.IFS(A274&lt;=25,"18-25",A274&lt;=35,"26-35",A274&lt;=45,"36-45",A274&lt;=60,"46-60",A274&gt;60,"60+")</f>
        <v>18-25</v>
      </c>
      <c r="J274" t="str" cm="1">
        <f t="array" ref="J274">_xlfn.IFS(C274&lt;18.5,"Underweight",C274&lt;25,"Normal",C274&lt;30,"Overweight",C274&gt;=30,"Obese")</f>
        <v>Overweight</v>
      </c>
      <c r="K274" t="str" cm="1">
        <f t="array" ref="K274">_xlfn.IFS(G274&lt;10000, "Low", G274&lt;=25000, "Medium", G274&gt;25000, "High")</f>
        <v>Low</v>
      </c>
    </row>
    <row r="275" spans="1:11" x14ac:dyDescent="0.3">
      <c r="A275">
        <v>24</v>
      </c>
      <c r="B275" s="1" t="s">
        <v>8</v>
      </c>
      <c r="C275">
        <v>25.46</v>
      </c>
      <c r="D275">
        <v>0</v>
      </c>
      <c r="E275" t="s">
        <v>10</v>
      </c>
      <c r="F275" t="s">
        <v>14</v>
      </c>
      <c r="G275" s="2">
        <v>4074.4537</v>
      </c>
      <c r="H275" t="str" cm="1">
        <f t="array" ref="H275">_xlfn.IFS(A275&lt;=30, "Youth", A275&lt;=50, "Adult", A275&gt;50, "Older")</f>
        <v>Youth</v>
      </c>
      <c r="I275" t="str" cm="1">
        <f t="array" ref="I275">_xlfn.IFS(A275&lt;=25,"18-25",A275&lt;=35,"26-35",A275&lt;=45,"36-45",A275&lt;=60,"46-60",A275&gt;60,"60+")</f>
        <v>18-25</v>
      </c>
      <c r="J275" t="str" cm="1">
        <f t="array" ref="J275">_xlfn.IFS(C275&lt;18.5,"Underweight",C275&lt;25,"Normal",C275&lt;30,"Overweight",C275&gt;=30,"Obese")</f>
        <v>Overweight</v>
      </c>
      <c r="K275" t="str" cm="1">
        <f t="array" ref="K275">_xlfn.IFS(G275&lt;10000, "Low", G275&lt;=25000, "Medium", G275&gt;25000, "High")</f>
        <v>Low</v>
      </c>
    </row>
    <row r="276" spans="1:11" x14ac:dyDescent="0.3">
      <c r="A276">
        <v>24</v>
      </c>
      <c r="B276" s="1" t="s">
        <v>8</v>
      </c>
      <c r="C276">
        <v>25.46</v>
      </c>
      <c r="D276">
        <v>0</v>
      </c>
      <c r="E276" t="s">
        <v>10</v>
      </c>
      <c r="F276" t="s">
        <v>13</v>
      </c>
      <c r="G276" s="2">
        <v>4076.4969999999998</v>
      </c>
      <c r="H276" t="str" cm="1">
        <f t="array" ref="H276">_xlfn.IFS(A276&lt;=30, "Youth", A276&lt;=50, "Adult", A276&gt;50, "Older")</f>
        <v>Youth</v>
      </c>
      <c r="I276" t="str" cm="1">
        <f t="array" ref="I276">_xlfn.IFS(A276&lt;=25,"18-25",A276&lt;=35,"26-35",A276&lt;=45,"36-45",A276&lt;=60,"46-60",A276&gt;60,"60+")</f>
        <v>18-25</v>
      </c>
      <c r="J276" t="str" cm="1">
        <f t="array" ref="J276">_xlfn.IFS(C276&lt;18.5,"Underweight",C276&lt;25,"Normal",C276&lt;30,"Overweight",C276&gt;=30,"Obese")</f>
        <v>Overweight</v>
      </c>
      <c r="K276" t="str" cm="1">
        <f t="array" ref="K276">_xlfn.IFS(G276&lt;10000, "Low", G276&lt;=25000, "Medium", G276&gt;25000, "High")</f>
        <v>Low</v>
      </c>
    </row>
    <row r="277" spans="1:11" x14ac:dyDescent="0.3">
      <c r="A277">
        <v>24</v>
      </c>
      <c r="B277" s="1" t="s">
        <v>7</v>
      </c>
      <c r="C277">
        <v>25.46</v>
      </c>
      <c r="D277">
        <v>0</v>
      </c>
      <c r="E277" t="s">
        <v>10</v>
      </c>
      <c r="F277" t="s">
        <v>14</v>
      </c>
      <c r="G277" s="2">
        <v>4133.6416499999996</v>
      </c>
      <c r="H277" t="str" cm="1">
        <f t="array" ref="H277">_xlfn.IFS(A277&lt;=30, "Youth", A277&lt;=50, "Adult", A277&gt;50, "Older")</f>
        <v>Youth</v>
      </c>
      <c r="I277" t="str" cm="1">
        <f t="array" ref="I277">_xlfn.IFS(A277&lt;=25,"18-25",A277&lt;=35,"26-35",A277&lt;=45,"36-45",A277&lt;=60,"46-60",A277&gt;60,"60+")</f>
        <v>18-25</v>
      </c>
      <c r="J277" t="str" cm="1">
        <f t="array" ref="J277">_xlfn.IFS(C277&lt;18.5,"Underweight",C277&lt;25,"Normal",C277&lt;30,"Overweight",C277&gt;=30,"Obese")</f>
        <v>Overweight</v>
      </c>
      <c r="K277" t="str" cm="1">
        <f t="array" ref="K277">_xlfn.IFS(G277&lt;10000, "Low", G277&lt;=25000, "Medium", G277&gt;25000, "High")</f>
        <v>Low</v>
      </c>
    </row>
    <row r="278" spans="1:11" x14ac:dyDescent="0.3">
      <c r="A278">
        <v>24</v>
      </c>
      <c r="B278" s="1" t="s">
        <v>8</v>
      </c>
      <c r="C278">
        <v>25.46</v>
      </c>
      <c r="D278">
        <v>0</v>
      </c>
      <c r="E278" t="s">
        <v>10</v>
      </c>
      <c r="F278" t="s">
        <v>13</v>
      </c>
      <c r="G278" s="2">
        <v>4134.0824499999999</v>
      </c>
      <c r="H278" t="str" cm="1">
        <f t="array" ref="H278">_xlfn.IFS(A278&lt;=30, "Youth", A278&lt;=50, "Adult", A278&gt;50, "Older")</f>
        <v>Youth</v>
      </c>
      <c r="I278" t="str" cm="1">
        <f t="array" ref="I278">_xlfn.IFS(A278&lt;=25,"18-25",A278&lt;=35,"26-35",A278&lt;=45,"36-45",A278&lt;=60,"46-60",A278&gt;60,"60+")</f>
        <v>18-25</v>
      </c>
      <c r="J278" t="str" cm="1">
        <f t="array" ref="J278">_xlfn.IFS(C278&lt;18.5,"Underweight",C278&lt;25,"Normal",C278&lt;30,"Overweight",C278&gt;=30,"Obese")</f>
        <v>Overweight</v>
      </c>
      <c r="K278" t="str" cm="1">
        <f t="array" ref="K278">_xlfn.IFS(G278&lt;10000, "Low", G278&lt;=25000, "Medium", G278&gt;25000, "High")</f>
        <v>Low</v>
      </c>
    </row>
    <row r="279" spans="1:11" x14ac:dyDescent="0.3">
      <c r="A279">
        <v>25</v>
      </c>
      <c r="B279" s="1" t="s">
        <v>7</v>
      </c>
      <c r="C279">
        <v>25.46</v>
      </c>
      <c r="D279">
        <v>0</v>
      </c>
      <c r="E279" t="s">
        <v>10</v>
      </c>
      <c r="F279" t="s">
        <v>11</v>
      </c>
      <c r="G279" s="2">
        <v>4137.5227000000004</v>
      </c>
      <c r="H279" t="str" cm="1">
        <f t="array" ref="H279">_xlfn.IFS(A279&lt;=30, "Youth", A279&lt;=50, "Adult", A279&gt;50, "Older")</f>
        <v>Youth</v>
      </c>
      <c r="I279" t="str" cm="1">
        <f t="array" ref="I279">_xlfn.IFS(A279&lt;=25,"18-25",A279&lt;=35,"26-35",A279&lt;=45,"36-45",A279&lt;=60,"46-60",A279&gt;60,"60+")</f>
        <v>18-25</v>
      </c>
      <c r="J279" t="str" cm="1">
        <f t="array" ref="J279">_xlfn.IFS(C279&lt;18.5,"Underweight",C279&lt;25,"Normal",C279&lt;30,"Overweight",C279&gt;=30,"Obese")</f>
        <v>Overweight</v>
      </c>
      <c r="K279" t="str" cm="1">
        <f t="array" ref="K279">_xlfn.IFS(G279&lt;10000, "Low", G279&lt;=25000, "Medium", G279&gt;25000, "High")</f>
        <v>Low</v>
      </c>
    </row>
    <row r="280" spans="1:11" x14ac:dyDescent="0.3">
      <c r="A280">
        <v>25</v>
      </c>
      <c r="B280" s="1" t="s">
        <v>8</v>
      </c>
      <c r="C280">
        <v>25.46</v>
      </c>
      <c r="D280">
        <v>0</v>
      </c>
      <c r="E280" t="s">
        <v>10</v>
      </c>
      <c r="F280" t="s">
        <v>12</v>
      </c>
      <c r="G280" s="2">
        <v>4149.7359999999999</v>
      </c>
      <c r="H280" t="str" cm="1">
        <f t="array" ref="H280">_xlfn.IFS(A280&lt;=30, "Youth", A280&lt;=50, "Adult", A280&gt;50, "Older")</f>
        <v>Youth</v>
      </c>
      <c r="I280" t="str" cm="1">
        <f t="array" ref="I280">_xlfn.IFS(A280&lt;=25,"18-25",A280&lt;=35,"26-35",A280&lt;=45,"36-45",A280&lt;=60,"46-60",A280&gt;60,"60+")</f>
        <v>18-25</v>
      </c>
      <c r="J280" t="str" cm="1">
        <f t="array" ref="J280">_xlfn.IFS(C280&lt;18.5,"Underweight",C280&lt;25,"Normal",C280&lt;30,"Overweight",C280&gt;=30,"Obese")</f>
        <v>Overweight</v>
      </c>
      <c r="K280" t="str" cm="1">
        <f t="array" ref="K280">_xlfn.IFS(G280&lt;10000, "Low", G280&lt;=25000, "Medium", G280&gt;25000, "High")</f>
        <v>Low</v>
      </c>
    </row>
    <row r="281" spans="1:11" x14ac:dyDescent="0.3">
      <c r="A281">
        <v>25</v>
      </c>
      <c r="B281" s="1" t="s">
        <v>7</v>
      </c>
      <c r="C281">
        <v>25.46</v>
      </c>
      <c r="D281">
        <v>0</v>
      </c>
      <c r="E281" t="s">
        <v>10</v>
      </c>
      <c r="F281" t="s">
        <v>12</v>
      </c>
      <c r="G281" s="2">
        <v>4151.0286999999998</v>
      </c>
      <c r="H281" t="str" cm="1">
        <f t="array" ref="H281">_xlfn.IFS(A281&lt;=30, "Youth", A281&lt;=50, "Adult", A281&gt;50, "Older")</f>
        <v>Youth</v>
      </c>
      <c r="I281" t="str" cm="1">
        <f t="array" ref="I281">_xlfn.IFS(A281&lt;=25,"18-25",A281&lt;=35,"26-35",A281&lt;=45,"36-45",A281&lt;=60,"46-60",A281&gt;60,"60+")</f>
        <v>18-25</v>
      </c>
      <c r="J281" t="str" cm="1">
        <f t="array" ref="J281">_xlfn.IFS(C281&lt;18.5,"Underweight",C281&lt;25,"Normal",C281&lt;30,"Overweight",C281&gt;=30,"Obese")</f>
        <v>Overweight</v>
      </c>
      <c r="K281" t="str" cm="1">
        <f t="array" ref="K281">_xlfn.IFS(G281&lt;10000, "Low", G281&lt;=25000, "Medium", G281&gt;25000, "High")</f>
        <v>Low</v>
      </c>
    </row>
    <row r="282" spans="1:11" x14ac:dyDescent="0.3">
      <c r="A282">
        <v>25</v>
      </c>
      <c r="B282" s="1" t="s">
        <v>7</v>
      </c>
      <c r="C282">
        <v>25.52</v>
      </c>
      <c r="D282">
        <v>0</v>
      </c>
      <c r="E282" t="s">
        <v>9</v>
      </c>
      <c r="F282" t="s">
        <v>14</v>
      </c>
      <c r="G282" s="2">
        <v>4185.0978999999998</v>
      </c>
      <c r="H282" t="str" cm="1">
        <f t="array" ref="H282">_xlfn.IFS(A282&lt;=30, "Youth", A282&lt;=50, "Adult", A282&gt;50, "Older")</f>
        <v>Youth</v>
      </c>
      <c r="I282" t="str" cm="1">
        <f t="array" ref="I282">_xlfn.IFS(A282&lt;=25,"18-25",A282&lt;=35,"26-35",A282&lt;=45,"36-45",A282&lt;=60,"46-60",A282&gt;60,"60+")</f>
        <v>18-25</v>
      </c>
      <c r="J282" t="str" cm="1">
        <f t="array" ref="J282">_xlfn.IFS(C282&lt;18.5,"Underweight",C282&lt;25,"Normal",C282&lt;30,"Overweight",C282&gt;=30,"Obese")</f>
        <v>Overweight</v>
      </c>
      <c r="K282" t="str" cm="1">
        <f t="array" ref="K282">_xlfn.IFS(G282&lt;10000, "Low", G282&lt;=25000, "Medium", G282&gt;25000, "High")</f>
        <v>Low</v>
      </c>
    </row>
    <row r="283" spans="1:11" x14ac:dyDescent="0.3">
      <c r="A283">
        <v>25</v>
      </c>
      <c r="B283" s="1" t="s">
        <v>8</v>
      </c>
      <c r="C283">
        <v>25.555</v>
      </c>
      <c r="D283">
        <v>0</v>
      </c>
      <c r="E283" t="s">
        <v>9</v>
      </c>
      <c r="F283" t="s">
        <v>14</v>
      </c>
      <c r="G283" s="2">
        <v>4189.1130999999996</v>
      </c>
      <c r="H283" t="str" cm="1">
        <f t="array" ref="H283">_xlfn.IFS(A283&lt;=30, "Youth", A283&lt;=50, "Adult", A283&gt;50, "Older")</f>
        <v>Youth</v>
      </c>
      <c r="I283" t="str" cm="1">
        <f t="array" ref="I283">_xlfn.IFS(A283&lt;=25,"18-25",A283&lt;=35,"26-35",A283&lt;=45,"36-45",A283&lt;=60,"46-60",A283&gt;60,"60+")</f>
        <v>18-25</v>
      </c>
      <c r="J283" t="str" cm="1">
        <f t="array" ref="J283">_xlfn.IFS(C283&lt;18.5,"Underweight",C283&lt;25,"Normal",C283&lt;30,"Overweight",C283&gt;=30,"Obese")</f>
        <v>Overweight</v>
      </c>
      <c r="K283" t="str" cm="1">
        <f t="array" ref="K283">_xlfn.IFS(G283&lt;10000, "Low", G283&lt;=25000, "Medium", G283&gt;25000, "High")</f>
        <v>Low</v>
      </c>
    </row>
    <row r="284" spans="1:11" x14ac:dyDescent="0.3">
      <c r="A284">
        <v>25</v>
      </c>
      <c r="B284" s="1" t="s">
        <v>8</v>
      </c>
      <c r="C284">
        <v>25.555</v>
      </c>
      <c r="D284">
        <v>0</v>
      </c>
      <c r="E284" t="s">
        <v>10</v>
      </c>
      <c r="F284" t="s">
        <v>14</v>
      </c>
      <c r="G284" s="2">
        <v>4234.9269999999997</v>
      </c>
      <c r="H284" t="str" cm="1">
        <f t="array" ref="H284">_xlfn.IFS(A284&lt;=30, "Youth", A284&lt;=50, "Adult", A284&gt;50, "Older")</f>
        <v>Youth</v>
      </c>
      <c r="I284" t="str" cm="1">
        <f t="array" ref="I284">_xlfn.IFS(A284&lt;=25,"18-25",A284&lt;=35,"26-35",A284&lt;=45,"36-45",A284&lt;=60,"46-60",A284&gt;60,"60+")</f>
        <v>18-25</v>
      </c>
      <c r="J284" t="str" cm="1">
        <f t="array" ref="J284">_xlfn.IFS(C284&lt;18.5,"Underweight",C284&lt;25,"Normal",C284&lt;30,"Overweight",C284&gt;=30,"Obese")</f>
        <v>Overweight</v>
      </c>
      <c r="K284" t="str" cm="1">
        <f t="array" ref="K284">_xlfn.IFS(G284&lt;10000, "Low", G284&lt;=25000, "Medium", G284&gt;25000, "High")</f>
        <v>Low</v>
      </c>
    </row>
    <row r="285" spans="1:11" x14ac:dyDescent="0.3">
      <c r="A285">
        <v>25</v>
      </c>
      <c r="B285" s="1" t="s">
        <v>7</v>
      </c>
      <c r="C285">
        <v>25.555</v>
      </c>
      <c r="D285">
        <v>0</v>
      </c>
      <c r="E285" t="s">
        <v>10</v>
      </c>
      <c r="F285" t="s">
        <v>14</v>
      </c>
      <c r="G285" s="2">
        <v>4237.12655</v>
      </c>
      <c r="H285" t="str" cm="1">
        <f t="array" ref="H285">_xlfn.IFS(A285&lt;=30, "Youth", A285&lt;=50, "Adult", A285&gt;50, "Older")</f>
        <v>Youth</v>
      </c>
      <c r="I285" t="str" cm="1">
        <f t="array" ref="I285">_xlfn.IFS(A285&lt;=25,"18-25",A285&lt;=35,"26-35",A285&lt;=45,"36-45",A285&lt;=60,"46-60",A285&gt;60,"60+")</f>
        <v>18-25</v>
      </c>
      <c r="J285" t="str" cm="1">
        <f t="array" ref="J285">_xlfn.IFS(C285&lt;18.5,"Underweight",C285&lt;25,"Normal",C285&lt;30,"Overweight",C285&gt;=30,"Obese")</f>
        <v>Overweight</v>
      </c>
      <c r="K285" t="str" cm="1">
        <f t="array" ref="K285">_xlfn.IFS(G285&lt;10000, "Low", G285&lt;=25000, "Medium", G285&gt;25000, "High")</f>
        <v>Low</v>
      </c>
    </row>
    <row r="286" spans="1:11" x14ac:dyDescent="0.3">
      <c r="A286">
        <v>25</v>
      </c>
      <c r="B286" s="1" t="s">
        <v>7</v>
      </c>
      <c r="C286">
        <v>25.6</v>
      </c>
      <c r="D286">
        <v>0</v>
      </c>
      <c r="E286" t="s">
        <v>10</v>
      </c>
      <c r="F286" t="s">
        <v>11</v>
      </c>
      <c r="G286" s="2">
        <v>4239.8926499999998</v>
      </c>
      <c r="H286" t="str" cm="1">
        <f t="array" ref="H286">_xlfn.IFS(A286&lt;=30, "Youth", A286&lt;=50, "Adult", A286&gt;50, "Older")</f>
        <v>Youth</v>
      </c>
      <c r="I286" t="str" cm="1">
        <f t="array" ref="I286">_xlfn.IFS(A286&lt;=25,"18-25",A286&lt;=35,"26-35",A286&lt;=45,"36-45",A286&lt;=60,"46-60",A286&gt;60,"60+")</f>
        <v>18-25</v>
      </c>
      <c r="J286" t="str" cm="1">
        <f t="array" ref="J286">_xlfn.IFS(C286&lt;18.5,"Underweight",C286&lt;25,"Normal",C286&lt;30,"Overweight",C286&gt;=30,"Obese")</f>
        <v>Overweight</v>
      </c>
      <c r="K286" t="str" cm="1">
        <f t="array" ref="K286">_xlfn.IFS(G286&lt;10000, "Low", G286&lt;=25000, "Medium", G286&gt;25000, "High")</f>
        <v>Low</v>
      </c>
    </row>
    <row r="287" spans="1:11" x14ac:dyDescent="0.3">
      <c r="A287">
        <v>25</v>
      </c>
      <c r="B287" s="1" t="s">
        <v>8</v>
      </c>
      <c r="C287">
        <v>25.6</v>
      </c>
      <c r="D287">
        <v>0</v>
      </c>
      <c r="E287" t="s">
        <v>10</v>
      </c>
      <c r="F287" t="s">
        <v>12</v>
      </c>
      <c r="G287" s="2">
        <v>4243.5900499999998</v>
      </c>
      <c r="H287" t="str" cm="1">
        <f t="array" ref="H287">_xlfn.IFS(A287&lt;=30, "Youth", A287&lt;=50, "Adult", A287&gt;50, "Older")</f>
        <v>Youth</v>
      </c>
      <c r="I287" t="str" cm="1">
        <f t="array" ref="I287">_xlfn.IFS(A287&lt;=25,"18-25",A287&lt;=35,"26-35",A287&lt;=45,"36-45",A287&lt;=60,"46-60",A287&gt;60,"60+")</f>
        <v>18-25</v>
      </c>
      <c r="J287" t="str" cm="1">
        <f t="array" ref="J287">_xlfn.IFS(C287&lt;18.5,"Underweight",C287&lt;25,"Normal",C287&lt;30,"Overweight",C287&gt;=30,"Obese")</f>
        <v>Overweight</v>
      </c>
      <c r="K287" t="str" cm="1">
        <f t="array" ref="K287">_xlfn.IFS(G287&lt;10000, "Low", G287&lt;=25000, "Medium", G287&gt;25000, "High")</f>
        <v>Low</v>
      </c>
    </row>
    <row r="288" spans="1:11" x14ac:dyDescent="0.3">
      <c r="A288">
        <v>25</v>
      </c>
      <c r="B288" s="1" t="s">
        <v>7</v>
      </c>
      <c r="C288">
        <v>25.6</v>
      </c>
      <c r="D288">
        <v>0</v>
      </c>
      <c r="E288" t="s">
        <v>10</v>
      </c>
      <c r="F288" t="s">
        <v>14</v>
      </c>
      <c r="G288" s="2">
        <v>4260.7439999999997</v>
      </c>
      <c r="H288" t="str" cm="1">
        <f t="array" ref="H288">_xlfn.IFS(A288&lt;=30, "Youth", A288&lt;=50, "Adult", A288&gt;50, "Older")</f>
        <v>Youth</v>
      </c>
      <c r="I288" t="str" cm="1">
        <f t="array" ref="I288">_xlfn.IFS(A288&lt;=25,"18-25",A288&lt;=35,"26-35",A288&lt;=45,"36-45",A288&lt;=60,"46-60",A288&gt;60,"60+")</f>
        <v>18-25</v>
      </c>
      <c r="J288" t="str" cm="1">
        <f t="array" ref="J288">_xlfn.IFS(C288&lt;18.5,"Underweight",C288&lt;25,"Normal",C288&lt;30,"Overweight",C288&gt;=30,"Obese")</f>
        <v>Overweight</v>
      </c>
      <c r="K288" t="str" cm="1">
        <f t="array" ref="K288">_xlfn.IFS(G288&lt;10000, "Low", G288&lt;=25000, "Medium", G288&gt;25000, "High")</f>
        <v>Low</v>
      </c>
    </row>
    <row r="289" spans="1:11" x14ac:dyDescent="0.3">
      <c r="A289">
        <v>25</v>
      </c>
      <c r="B289" s="1" t="s">
        <v>7</v>
      </c>
      <c r="C289">
        <v>25.6</v>
      </c>
      <c r="D289">
        <v>0</v>
      </c>
      <c r="E289" t="s">
        <v>10</v>
      </c>
      <c r="F289" t="s">
        <v>13</v>
      </c>
      <c r="G289" s="2">
        <v>4266.1657999999998</v>
      </c>
      <c r="H289" t="str" cm="1">
        <f t="array" ref="H289">_xlfn.IFS(A289&lt;=30, "Youth", A289&lt;=50, "Adult", A289&gt;50, "Older")</f>
        <v>Youth</v>
      </c>
      <c r="I289" t="str" cm="1">
        <f t="array" ref="I289">_xlfn.IFS(A289&lt;=25,"18-25",A289&lt;=35,"26-35",A289&lt;=45,"36-45",A289&lt;=60,"46-60",A289&gt;60,"60+")</f>
        <v>18-25</v>
      </c>
      <c r="J289" t="str" cm="1">
        <f t="array" ref="J289">_xlfn.IFS(C289&lt;18.5,"Underweight",C289&lt;25,"Normal",C289&lt;30,"Overweight",C289&gt;=30,"Obese")</f>
        <v>Overweight</v>
      </c>
      <c r="K289" t="str" cm="1">
        <f t="array" ref="K289">_xlfn.IFS(G289&lt;10000, "Low", G289&lt;=25000, "Medium", G289&gt;25000, "High")</f>
        <v>Low</v>
      </c>
    </row>
    <row r="290" spans="1:11" x14ac:dyDescent="0.3">
      <c r="A290">
        <v>25</v>
      </c>
      <c r="B290" s="1" t="s">
        <v>7</v>
      </c>
      <c r="C290">
        <v>25.65</v>
      </c>
      <c r="D290">
        <v>0</v>
      </c>
      <c r="E290" t="s">
        <v>9</v>
      </c>
      <c r="F290" t="s">
        <v>14</v>
      </c>
      <c r="G290" s="2">
        <v>4296.2712000000001</v>
      </c>
      <c r="H290" t="str" cm="1">
        <f t="array" ref="H290">_xlfn.IFS(A290&lt;=30, "Youth", A290&lt;=50, "Adult", A290&gt;50, "Older")</f>
        <v>Youth</v>
      </c>
      <c r="I290" t="str" cm="1">
        <f t="array" ref="I290">_xlfn.IFS(A290&lt;=25,"18-25",A290&lt;=35,"26-35",A290&lt;=45,"36-45",A290&lt;=60,"46-60",A290&gt;60,"60+")</f>
        <v>18-25</v>
      </c>
      <c r="J290" t="str" cm="1">
        <f t="array" ref="J290">_xlfn.IFS(C290&lt;18.5,"Underweight",C290&lt;25,"Normal",C290&lt;30,"Overweight",C290&gt;=30,"Obese")</f>
        <v>Overweight</v>
      </c>
      <c r="K290" t="str" cm="1">
        <f t="array" ref="K290">_xlfn.IFS(G290&lt;10000, "Low", G290&lt;=25000, "Medium", G290&gt;25000, "High")</f>
        <v>Low</v>
      </c>
    </row>
    <row r="291" spans="1:11" x14ac:dyDescent="0.3">
      <c r="A291">
        <v>25</v>
      </c>
      <c r="B291" s="1" t="s">
        <v>8</v>
      </c>
      <c r="C291">
        <v>25.7</v>
      </c>
      <c r="D291">
        <v>0</v>
      </c>
      <c r="E291" t="s">
        <v>10</v>
      </c>
      <c r="F291" t="s">
        <v>12</v>
      </c>
      <c r="G291" s="2">
        <v>4320.4108500000002</v>
      </c>
      <c r="H291" t="str" cm="1">
        <f t="array" ref="H291">_xlfn.IFS(A291&lt;=30, "Youth", A291&lt;=50, "Adult", A291&gt;50, "Older")</f>
        <v>Youth</v>
      </c>
      <c r="I291" t="str" cm="1">
        <f t="array" ref="I291">_xlfn.IFS(A291&lt;=25,"18-25",A291&lt;=35,"26-35",A291&lt;=45,"36-45",A291&lt;=60,"46-60",A291&gt;60,"60+")</f>
        <v>18-25</v>
      </c>
      <c r="J291" t="str" cm="1">
        <f t="array" ref="J291">_xlfn.IFS(C291&lt;18.5,"Underweight",C291&lt;25,"Normal",C291&lt;30,"Overweight",C291&gt;=30,"Obese")</f>
        <v>Overweight</v>
      </c>
      <c r="K291" t="str" cm="1">
        <f t="array" ref="K291">_xlfn.IFS(G291&lt;10000, "Low", G291&lt;=25000, "Medium", G291&gt;25000, "High")</f>
        <v>Low</v>
      </c>
    </row>
    <row r="292" spans="1:11" x14ac:dyDescent="0.3">
      <c r="A292">
        <v>25</v>
      </c>
      <c r="B292" s="1" t="s">
        <v>7</v>
      </c>
      <c r="C292">
        <v>25.7</v>
      </c>
      <c r="D292">
        <v>0</v>
      </c>
      <c r="E292" t="s">
        <v>10</v>
      </c>
      <c r="F292" t="s">
        <v>11</v>
      </c>
      <c r="G292" s="2">
        <v>4337.7352000000001</v>
      </c>
      <c r="H292" t="str" cm="1">
        <f t="array" ref="H292">_xlfn.IFS(A292&lt;=30, "Youth", A292&lt;=50, "Adult", A292&gt;50, "Older")</f>
        <v>Youth</v>
      </c>
      <c r="I292" t="str" cm="1">
        <f t="array" ref="I292">_xlfn.IFS(A292&lt;=25,"18-25",A292&lt;=35,"26-35",A292&lt;=45,"36-45",A292&lt;=60,"46-60",A292&gt;60,"60+")</f>
        <v>18-25</v>
      </c>
      <c r="J292" t="str" cm="1">
        <f t="array" ref="J292">_xlfn.IFS(C292&lt;18.5,"Underweight",C292&lt;25,"Normal",C292&lt;30,"Overweight",C292&gt;=30,"Obese")</f>
        <v>Overweight</v>
      </c>
      <c r="K292" t="str" cm="1">
        <f t="array" ref="K292">_xlfn.IFS(G292&lt;10000, "Low", G292&lt;=25000, "Medium", G292&gt;25000, "High")</f>
        <v>Low</v>
      </c>
    </row>
    <row r="293" spans="1:11" x14ac:dyDescent="0.3">
      <c r="A293">
        <v>25</v>
      </c>
      <c r="B293" s="1" t="s">
        <v>8</v>
      </c>
      <c r="C293">
        <v>25.74</v>
      </c>
      <c r="D293">
        <v>0</v>
      </c>
      <c r="E293" t="s">
        <v>10</v>
      </c>
      <c r="F293" t="s">
        <v>14</v>
      </c>
      <c r="G293" s="2">
        <v>4340.4408999999996</v>
      </c>
      <c r="H293" t="str" cm="1">
        <f t="array" ref="H293">_xlfn.IFS(A293&lt;=30, "Youth", A293&lt;=50, "Adult", A293&gt;50, "Older")</f>
        <v>Youth</v>
      </c>
      <c r="I293" t="str" cm="1">
        <f t="array" ref="I293">_xlfn.IFS(A293&lt;=25,"18-25",A293&lt;=35,"26-35",A293&lt;=45,"36-45",A293&lt;=60,"46-60",A293&gt;60,"60+")</f>
        <v>18-25</v>
      </c>
      <c r="J293" t="str" cm="1">
        <f t="array" ref="J293">_xlfn.IFS(C293&lt;18.5,"Underweight",C293&lt;25,"Normal",C293&lt;30,"Overweight",C293&gt;=30,"Obese")</f>
        <v>Overweight</v>
      </c>
      <c r="K293" t="str" cm="1">
        <f t="array" ref="K293">_xlfn.IFS(G293&lt;10000, "Low", G293&lt;=25000, "Medium", G293&gt;25000, "High")</f>
        <v>Low</v>
      </c>
    </row>
    <row r="294" spans="1:11" x14ac:dyDescent="0.3">
      <c r="A294">
        <v>25</v>
      </c>
      <c r="B294" s="1" t="s">
        <v>8</v>
      </c>
      <c r="C294">
        <v>25.74</v>
      </c>
      <c r="D294">
        <v>0</v>
      </c>
      <c r="E294" t="s">
        <v>9</v>
      </c>
      <c r="F294" t="s">
        <v>12</v>
      </c>
      <c r="G294" s="2">
        <v>4347.0233500000004</v>
      </c>
      <c r="H294" t="str" cm="1">
        <f t="array" ref="H294">_xlfn.IFS(A294&lt;=30, "Youth", A294&lt;=50, "Adult", A294&gt;50, "Older")</f>
        <v>Youth</v>
      </c>
      <c r="I294" t="str" cm="1">
        <f t="array" ref="I294">_xlfn.IFS(A294&lt;=25,"18-25",A294&lt;=35,"26-35",A294&lt;=45,"36-45",A294&lt;=60,"46-60",A294&gt;60,"60+")</f>
        <v>18-25</v>
      </c>
      <c r="J294" t="str" cm="1">
        <f t="array" ref="J294">_xlfn.IFS(C294&lt;18.5,"Underweight",C294&lt;25,"Normal",C294&lt;30,"Overweight",C294&gt;=30,"Obese")</f>
        <v>Overweight</v>
      </c>
      <c r="K294" t="str" cm="1">
        <f t="array" ref="K294">_xlfn.IFS(G294&lt;10000, "Low", G294&lt;=25000, "Medium", G294&gt;25000, "High")</f>
        <v>Low</v>
      </c>
    </row>
    <row r="295" spans="1:11" x14ac:dyDescent="0.3">
      <c r="A295">
        <v>25</v>
      </c>
      <c r="B295" s="1" t="s">
        <v>7</v>
      </c>
      <c r="C295">
        <v>25.74</v>
      </c>
      <c r="D295">
        <v>0</v>
      </c>
      <c r="E295" t="s">
        <v>10</v>
      </c>
      <c r="F295" t="s">
        <v>12</v>
      </c>
      <c r="G295" s="2">
        <v>4349.4620000000004</v>
      </c>
      <c r="H295" t="str" cm="1">
        <f t="array" ref="H295">_xlfn.IFS(A295&lt;=30, "Youth", A295&lt;=50, "Adult", A295&gt;50, "Older")</f>
        <v>Youth</v>
      </c>
      <c r="I295" t="str" cm="1">
        <f t="array" ref="I295">_xlfn.IFS(A295&lt;=25,"18-25",A295&lt;=35,"26-35",A295&lt;=45,"36-45",A295&lt;=60,"46-60",A295&gt;60,"60+")</f>
        <v>18-25</v>
      </c>
      <c r="J295" t="str" cm="1">
        <f t="array" ref="J295">_xlfn.IFS(C295&lt;18.5,"Underweight",C295&lt;25,"Normal",C295&lt;30,"Overweight",C295&gt;=30,"Obese")</f>
        <v>Overweight</v>
      </c>
      <c r="K295" t="str" cm="1">
        <f t="array" ref="K295">_xlfn.IFS(G295&lt;10000, "Low", G295&lt;=25000, "Medium", G295&gt;25000, "High")</f>
        <v>Low</v>
      </c>
    </row>
    <row r="296" spans="1:11" x14ac:dyDescent="0.3">
      <c r="A296">
        <v>25</v>
      </c>
      <c r="B296" s="1" t="s">
        <v>8</v>
      </c>
      <c r="C296">
        <v>25.74</v>
      </c>
      <c r="D296">
        <v>0</v>
      </c>
      <c r="E296" t="s">
        <v>10</v>
      </c>
      <c r="F296" t="s">
        <v>11</v>
      </c>
      <c r="G296" s="2">
        <v>4350.5144</v>
      </c>
      <c r="H296" t="str" cm="1">
        <f t="array" ref="H296">_xlfn.IFS(A296&lt;=30, "Youth", A296&lt;=50, "Adult", A296&gt;50, "Older")</f>
        <v>Youth</v>
      </c>
      <c r="I296" t="str" cm="1">
        <f t="array" ref="I296">_xlfn.IFS(A296&lt;=25,"18-25",A296&lt;=35,"26-35",A296&lt;=45,"36-45",A296&lt;=60,"46-60",A296&gt;60,"60+")</f>
        <v>18-25</v>
      </c>
      <c r="J296" t="str" cm="1">
        <f t="array" ref="J296">_xlfn.IFS(C296&lt;18.5,"Underweight",C296&lt;25,"Normal",C296&lt;30,"Overweight",C296&gt;=30,"Obese")</f>
        <v>Overweight</v>
      </c>
      <c r="K296" t="str" cm="1">
        <f t="array" ref="K296">_xlfn.IFS(G296&lt;10000, "Low", G296&lt;=25000, "Medium", G296&gt;25000, "High")</f>
        <v>Low</v>
      </c>
    </row>
    <row r="297" spans="1:11" x14ac:dyDescent="0.3">
      <c r="A297">
        <v>25</v>
      </c>
      <c r="B297" s="1" t="s">
        <v>8</v>
      </c>
      <c r="C297">
        <v>25.745000000000001</v>
      </c>
      <c r="D297">
        <v>0</v>
      </c>
      <c r="E297" t="s">
        <v>10</v>
      </c>
      <c r="F297" t="s">
        <v>14</v>
      </c>
      <c r="G297" s="2">
        <v>4357.0436499999996</v>
      </c>
      <c r="H297" t="str" cm="1">
        <f t="array" ref="H297">_xlfn.IFS(A297&lt;=30, "Youth", A297&lt;=50, "Adult", A297&gt;50, "Older")</f>
        <v>Youth</v>
      </c>
      <c r="I297" t="str" cm="1">
        <f t="array" ref="I297">_xlfn.IFS(A297&lt;=25,"18-25",A297&lt;=35,"26-35",A297&lt;=45,"36-45",A297&lt;=60,"46-60",A297&gt;60,"60+")</f>
        <v>18-25</v>
      </c>
      <c r="J297" t="str" cm="1">
        <f t="array" ref="J297">_xlfn.IFS(C297&lt;18.5,"Underweight",C297&lt;25,"Normal",C297&lt;30,"Overweight",C297&gt;=30,"Obese")</f>
        <v>Overweight</v>
      </c>
      <c r="K297" t="str" cm="1">
        <f t="array" ref="K297">_xlfn.IFS(G297&lt;10000, "Low", G297&lt;=25000, "Medium", G297&gt;25000, "High")</f>
        <v>Low</v>
      </c>
    </row>
    <row r="298" spans="1:11" x14ac:dyDescent="0.3">
      <c r="A298">
        <v>25</v>
      </c>
      <c r="B298" s="1" t="s">
        <v>8</v>
      </c>
      <c r="C298">
        <v>25.745000000000001</v>
      </c>
      <c r="D298">
        <v>0</v>
      </c>
      <c r="E298" t="s">
        <v>9</v>
      </c>
      <c r="F298" t="s">
        <v>11</v>
      </c>
      <c r="G298" s="2">
        <v>4391.652</v>
      </c>
      <c r="H298" t="str" cm="1">
        <f t="array" ref="H298">_xlfn.IFS(A298&lt;=30, "Youth", A298&lt;=50, "Adult", A298&gt;50, "Older")</f>
        <v>Youth</v>
      </c>
      <c r="I298" t="str" cm="1">
        <f t="array" ref="I298">_xlfn.IFS(A298&lt;=25,"18-25",A298&lt;=35,"26-35",A298&lt;=45,"36-45",A298&lt;=60,"46-60",A298&gt;60,"60+")</f>
        <v>18-25</v>
      </c>
      <c r="J298" t="str" cm="1">
        <f t="array" ref="J298">_xlfn.IFS(C298&lt;18.5,"Underweight",C298&lt;25,"Normal",C298&lt;30,"Overweight",C298&gt;=30,"Obese")</f>
        <v>Overweight</v>
      </c>
      <c r="K298" t="str" cm="1">
        <f t="array" ref="K298">_xlfn.IFS(G298&lt;10000, "Low", G298&lt;=25000, "Medium", G298&gt;25000, "High")</f>
        <v>Low</v>
      </c>
    </row>
    <row r="299" spans="1:11" x14ac:dyDescent="0.3">
      <c r="A299">
        <v>25</v>
      </c>
      <c r="B299" s="1" t="s">
        <v>8</v>
      </c>
      <c r="C299">
        <v>25.745000000000001</v>
      </c>
      <c r="D299">
        <v>0</v>
      </c>
      <c r="E299" t="s">
        <v>9</v>
      </c>
      <c r="F299" t="s">
        <v>12</v>
      </c>
      <c r="G299" s="2">
        <v>4399.7309999999998</v>
      </c>
      <c r="H299" t="str" cm="1">
        <f t="array" ref="H299">_xlfn.IFS(A299&lt;=30, "Youth", A299&lt;=50, "Adult", A299&gt;50, "Older")</f>
        <v>Youth</v>
      </c>
      <c r="I299" t="str" cm="1">
        <f t="array" ref="I299">_xlfn.IFS(A299&lt;=25,"18-25",A299&lt;=35,"26-35",A299&lt;=45,"36-45",A299&lt;=60,"46-60",A299&gt;60,"60+")</f>
        <v>18-25</v>
      </c>
      <c r="J299" t="str" cm="1">
        <f t="array" ref="J299">_xlfn.IFS(C299&lt;18.5,"Underweight",C299&lt;25,"Normal",C299&lt;30,"Overweight",C299&gt;=30,"Obese")</f>
        <v>Overweight</v>
      </c>
      <c r="K299" t="str" cm="1">
        <f t="array" ref="K299">_xlfn.IFS(G299&lt;10000, "Low", G299&lt;=25000, "Medium", G299&gt;25000, "High")</f>
        <v>Low</v>
      </c>
    </row>
    <row r="300" spans="1:11" x14ac:dyDescent="0.3">
      <c r="A300">
        <v>25</v>
      </c>
      <c r="B300" s="1" t="s">
        <v>8</v>
      </c>
      <c r="C300">
        <v>25.8</v>
      </c>
      <c r="D300">
        <v>0</v>
      </c>
      <c r="E300" t="s">
        <v>9</v>
      </c>
      <c r="F300" t="s">
        <v>13</v>
      </c>
      <c r="G300" s="2">
        <v>4402.2330000000002</v>
      </c>
      <c r="H300" t="str" cm="1">
        <f t="array" ref="H300">_xlfn.IFS(A300&lt;=30, "Youth", A300&lt;=50, "Adult", A300&gt;50, "Older")</f>
        <v>Youth</v>
      </c>
      <c r="I300" t="str" cm="1">
        <f t="array" ref="I300">_xlfn.IFS(A300&lt;=25,"18-25",A300&lt;=35,"26-35",A300&lt;=45,"36-45",A300&lt;=60,"46-60",A300&gt;60,"60+")</f>
        <v>18-25</v>
      </c>
      <c r="J300" t="str" cm="1">
        <f t="array" ref="J300">_xlfn.IFS(C300&lt;18.5,"Underweight",C300&lt;25,"Normal",C300&lt;30,"Overweight",C300&gt;=30,"Obese")</f>
        <v>Overweight</v>
      </c>
      <c r="K300" t="str" cm="1">
        <f t="array" ref="K300">_xlfn.IFS(G300&lt;10000, "Low", G300&lt;=25000, "Medium", G300&gt;25000, "High")</f>
        <v>Low</v>
      </c>
    </row>
    <row r="301" spans="1:11" x14ac:dyDescent="0.3">
      <c r="A301">
        <v>25</v>
      </c>
      <c r="B301" s="1" t="s">
        <v>7</v>
      </c>
      <c r="C301">
        <v>25.8</v>
      </c>
      <c r="D301">
        <v>0</v>
      </c>
      <c r="E301" t="s">
        <v>10</v>
      </c>
      <c r="F301" t="s">
        <v>13</v>
      </c>
      <c r="G301" s="2">
        <v>4415.1588000000002</v>
      </c>
      <c r="H301" t="str" cm="1">
        <f t="array" ref="H301">_xlfn.IFS(A301&lt;=30, "Youth", A301&lt;=50, "Adult", A301&gt;50, "Older")</f>
        <v>Youth</v>
      </c>
      <c r="I301" t="str" cm="1">
        <f t="array" ref="I301">_xlfn.IFS(A301&lt;=25,"18-25",A301&lt;=35,"26-35",A301&lt;=45,"36-45",A301&lt;=60,"46-60",A301&gt;60,"60+")</f>
        <v>18-25</v>
      </c>
      <c r="J301" t="str" cm="1">
        <f t="array" ref="J301">_xlfn.IFS(C301&lt;18.5,"Underweight",C301&lt;25,"Normal",C301&lt;30,"Overweight",C301&gt;=30,"Obese")</f>
        <v>Overweight</v>
      </c>
      <c r="K301" t="str" cm="1">
        <f t="array" ref="K301">_xlfn.IFS(G301&lt;10000, "Low", G301&lt;=25000, "Medium", G301&gt;25000, "High")</f>
        <v>Low</v>
      </c>
    </row>
    <row r="302" spans="1:11" x14ac:dyDescent="0.3">
      <c r="A302">
        <v>25</v>
      </c>
      <c r="B302" s="1" t="s">
        <v>8</v>
      </c>
      <c r="C302">
        <v>25.8</v>
      </c>
      <c r="D302">
        <v>0</v>
      </c>
      <c r="E302" t="s">
        <v>10</v>
      </c>
      <c r="F302" t="s">
        <v>14</v>
      </c>
      <c r="G302" s="2">
        <v>4428.8878500000001</v>
      </c>
      <c r="H302" t="str" cm="1">
        <f t="array" ref="H302">_xlfn.IFS(A302&lt;=30, "Youth", A302&lt;=50, "Adult", A302&gt;50, "Older")</f>
        <v>Youth</v>
      </c>
      <c r="I302" t="str" cm="1">
        <f t="array" ref="I302">_xlfn.IFS(A302&lt;=25,"18-25",A302&lt;=35,"26-35",A302&lt;=45,"36-45",A302&lt;=60,"46-60",A302&gt;60,"60+")</f>
        <v>18-25</v>
      </c>
      <c r="J302" t="str" cm="1">
        <f t="array" ref="J302">_xlfn.IFS(C302&lt;18.5,"Underweight",C302&lt;25,"Normal",C302&lt;30,"Overweight",C302&gt;=30,"Obese")</f>
        <v>Overweight</v>
      </c>
      <c r="K302" t="str" cm="1">
        <f t="array" ref="K302">_xlfn.IFS(G302&lt;10000, "Low", G302&lt;=25000, "Medium", G302&gt;25000, "High")</f>
        <v>Low</v>
      </c>
    </row>
    <row r="303" spans="1:11" x14ac:dyDescent="0.3">
      <c r="A303">
        <v>25</v>
      </c>
      <c r="B303" s="1" t="s">
        <v>7</v>
      </c>
      <c r="C303">
        <v>25.8</v>
      </c>
      <c r="D303">
        <v>0</v>
      </c>
      <c r="E303" t="s">
        <v>9</v>
      </c>
      <c r="F303" t="s">
        <v>14</v>
      </c>
      <c r="G303" s="2">
        <v>4433.3877000000002</v>
      </c>
      <c r="H303" t="str" cm="1">
        <f t="array" ref="H303">_xlfn.IFS(A303&lt;=30, "Youth", A303&lt;=50, "Adult", A303&gt;50, "Older")</f>
        <v>Youth</v>
      </c>
      <c r="I303" t="str" cm="1">
        <f t="array" ref="I303">_xlfn.IFS(A303&lt;=25,"18-25",A303&lt;=35,"26-35",A303&lt;=45,"36-45",A303&lt;=60,"46-60",A303&gt;60,"60+")</f>
        <v>18-25</v>
      </c>
      <c r="J303" t="str" cm="1">
        <f t="array" ref="J303">_xlfn.IFS(C303&lt;18.5,"Underweight",C303&lt;25,"Normal",C303&lt;30,"Overweight",C303&gt;=30,"Obese")</f>
        <v>Overweight</v>
      </c>
      <c r="K303" t="str" cm="1">
        <f t="array" ref="K303">_xlfn.IFS(G303&lt;10000, "Low", G303&lt;=25000, "Medium", G303&gt;25000, "High")</f>
        <v>Low</v>
      </c>
    </row>
    <row r="304" spans="1:11" x14ac:dyDescent="0.3">
      <c r="A304">
        <v>25</v>
      </c>
      <c r="B304" s="1" t="s">
        <v>7</v>
      </c>
      <c r="C304">
        <v>25.8</v>
      </c>
      <c r="D304">
        <v>0</v>
      </c>
      <c r="E304" t="s">
        <v>10</v>
      </c>
      <c r="F304" t="s">
        <v>12</v>
      </c>
      <c r="G304" s="2">
        <v>4433.9159</v>
      </c>
      <c r="H304" t="str" cm="1">
        <f t="array" ref="H304">_xlfn.IFS(A304&lt;=30, "Youth", A304&lt;=50, "Adult", A304&gt;50, "Older")</f>
        <v>Youth</v>
      </c>
      <c r="I304" t="str" cm="1">
        <f t="array" ref="I304">_xlfn.IFS(A304&lt;=25,"18-25",A304&lt;=35,"26-35",A304&lt;=45,"36-45",A304&lt;=60,"46-60",A304&gt;60,"60+")</f>
        <v>18-25</v>
      </c>
      <c r="J304" t="str" cm="1">
        <f t="array" ref="J304">_xlfn.IFS(C304&lt;18.5,"Underweight",C304&lt;25,"Normal",C304&lt;30,"Overweight",C304&gt;=30,"Obese")</f>
        <v>Overweight</v>
      </c>
      <c r="K304" t="str" cm="1">
        <f t="array" ref="K304">_xlfn.IFS(G304&lt;10000, "Low", G304&lt;=25000, "Medium", G304&gt;25000, "High")</f>
        <v>Low</v>
      </c>
    </row>
    <row r="305" spans="1:11" x14ac:dyDescent="0.3">
      <c r="A305">
        <v>25</v>
      </c>
      <c r="B305" s="1" t="s">
        <v>7</v>
      </c>
      <c r="C305">
        <v>25.8</v>
      </c>
      <c r="D305">
        <v>0</v>
      </c>
      <c r="E305" t="s">
        <v>10</v>
      </c>
      <c r="F305" t="s">
        <v>12</v>
      </c>
      <c r="G305" s="2">
        <v>4435.0941999999995</v>
      </c>
      <c r="H305" t="str" cm="1">
        <f t="array" ref="H305">_xlfn.IFS(A305&lt;=30, "Youth", A305&lt;=50, "Adult", A305&gt;50, "Older")</f>
        <v>Youth</v>
      </c>
      <c r="I305" t="str" cm="1">
        <f t="array" ref="I305">_xlfn.IFS(A305&lt;=25,"18-25",A305&lt;=35,"26-35",A305&lt;=45,"36-45",A305&lt;=60,"46-60",A305&gt;60,"60+")</f>
        <v>18-25</v>
      </c>
      <c r="J305" t="str" cm="1">
        <f t="array" ref="J305">_xlfn.IFS(C305&lt;18.5,"Underweight",C305&lt;25,"Normal",C305&lt;30,"Overweight",C305&gt;=30,"Obese")</f>
        <v>Overweight</v>
      </c>
      <c r="K305" t="str" cm="1">
        <f t="array" ref="K305">_xlfn.IFS(G305&lt;10000, "Low", G305&lt;=25000, "Medium", G305&gt;25000, "High")</f>
        <v>Low</v>
      </c>
    </row>
    <row r="306" spans="1:11" x14ac:dyDescent="0.3">
      <c r="A306">
        <v>25</v>
      </c>
      <c r="B306" s="1" t="s">
        <v>7</v>
      </c>
      <c r="C306">
        <v>25.8</v>
      </c>
      <c r="D306">
        <v>0</v>
      </c>
      <c r="E306" t="s">
        <v>10</v>
      </c>
      <c r="F306" t="s">
        <v>11</v>
      </c>
      <c r="G306" s="2">
        <v>4438.2633999999998</v>
      </c>
      <c r="H306" t="str" cm="1">
        <f t="array" ref="H306">_xlfn.IFS(A306&lt;=30, "Youth", A306&lt;=50, "Adult", A306&gt;50, "Older")</f>
        <v>Youth</v>
      </c>
      <c r="I306" t="str" cm="1">
        <f t="array" ref="I306">_xlfn.IFS(A306&lt;=25,"18-25",A306&lt;=35,"26-35",A306&lt;=45,"36-45",A306&lt;=60,"46-60",A306&gt;60,"60+")</f>
        <v>18-25</v>
      </c>
      <c r="J306" t="str" cm="1">
        <f t="array" ref="J306">_xlfn.IFS(C306&lt;18.5,"Underweight",C306&lt;25,"Normal",C306&lt;30,"Overweight",C306&gt;=30,"Obese")</f>
        <v>Overweight</v>
      </c>
      <c r="K306" t="str" cm="1">
        <f t="array" ref="K306">_xlfn.IFS(G306&lt;10000, "Low", G306&lt;=25000, "Medium", G306&gt;25000, "High")</f>
        <v>Low</v>
      </c>
    </row>
    <row r="307" spans="1:11" x14ac:dyDescent="0.3">
      <c r="A307">
        <v>26</v>
      </c>
      <c r="B307" s="1" t="s">
        <v>8</v>
      </c>
      <c r="C307">
        <v>25.84</v>
      </c>
      <c r="D307">
        <v>0</v>
      </c>
      <c r="E307" t="s">
        <v>10</v>
      </c>
      <c r="F307" t="s">
        <v>13</v>
      </c>
      <c r="G307" s="2">
        <v>4441.2131499999996</v>
      </c>
      <c r="H307" t="str" cm="1">
        <f t="array" ref="H307">_xlfn.IFS(A307&lt;=30, "Youth", A307&lt;=50, "Adult", A307&gt;50, "Older")</f>
        <v>Youth</v>
      </c>
      <c r="I307" t="str" cm="1">
        <f t="array" ref="I307">_xlfn.IFS(A307&lt;=25,"18-25",A307&lt;=35,"26-35",A307&lt;=45,"36-45",A307&lt;=60,"46-60",A307&gt;60,"60+")</f>
        <v>26-35</v>
      </c>
      <c r="J307" t="str" cm="1">
        <f t="array" ref="J307">_xlfn.IFS(C307&lt;18.5,"Underweight",C307&lt;25,"Normal",C307&lt;30,"Overweight",C307&gt;=30,"Obese")</f>
        <v>Overweight</v>
      </c>
      <c r="K307" t="str" cm="1">
        <f t="array" ref="K307">_xlfn.IFS(G307&lt;10000, "Low", G307&lt;=25000, "Medium", G307&gt;25000, "High")</f>
        <v>Low</v>
      </c>
    </row>
    <row r="308" spans="1:11" x14ac:dyDescent="0.3">
      <c r="A308">
        <v>26</v>
      </c>
      <c r="B308" s="1" t="s">
        <v>7</v>
      </c>
      <c r="C308">
        <v>25.84</v>
      </c>
      <c r="D308">
        <v>0</v>
      </c>
      <c r="E308" t="s">
        <v>10</v>
      </c>
      <c r="F308" t="s">
        <v>11</v>
      </c>
      <c r="G308" s="2">
        <v>4449.4620000000004</v>
      </c>
      <c r="H308" t="str" cm="1">
        <f t="array" ref="H308">_xlfn.IFS(A308&lt;=30, "Youth", A308&lt;=50, "Adult", A308&gt;50, "Older")</f>
        <v>Youth</v>
      </c>
      <c r="I308" t="str" cm="1">
        <f t="array" ref="I308">_xlfn.IFS(A308&lt;=25,"18-25",A308&lt;=35,"26-35",A308&lt;=45,"36-45",A308&lt;=60,"46-60",A308&gt;60,"60+")</f>
        <v>26-35</v>
      </c>
      <c r="J308" t="str" cm="1">
        <f t="array" ref="J308">_xlfn.IFS(C308&lt;18.5,"Underweight",C308&lt;25,"Normal",C308&lt;30,"Overweight",C308&gt;=30,"Obese")</f>
        <v>Overweight</v>
      </c>
      <c r="K308" t="str" cm="1">
        <f t="array" ref="K308">_xlfn.IFS(G308&lt;10000, "Low", G308&lt;=25000, "Medium", G308&gt;25000, "High")</f>
        <v>Low</v>
      </c>
    </row>
    <row r="309" spans="1:11" x14ac:dyDescent="0.3">
      <c r="A309">
        <v>26</v>
      </c>
      <c r="B309" s="1" t="s">
        <v>7</v>
      </c>
      <c r="C309">
        <v>25.84</v>
      </c>
      <c r="D309">
        <v>0</v>
      </c>
      <c r="E309" t="s">
        <v>10</v>
      </c>
      <c r="F309" t="s">
        <v>12</v>
      </c>
      <c r="G309" s="2">
        <v>4454.40265</v>
      </c>
      <c r="H309" t="str" cm="1">
        <f t="array" ref="H309">_xlfn.IFS(A309&lt;=30, "Youth", A309&lt;=50, "Adult", A309&gt;50, "Older")</f>
        <v>Youth</v>
      </c>
      <c r="I309" t="str" cm="1">
        <f t="array" ref="I309">_xlfn.IFS(A309&lt;=25,"18-25",A309&lt;=35,"26-35",A309&lt;=45,"36-45",A309&lt;=60,"46-60",A309&gt;60,"60+")</f>
        <v>26-35</v>
      </c>
      <c r="J309" t="str" cm="1">
        <f t="array" ref="J309">_xlfn.IFS(C309&lt;18.5,"Underweight",C309&lt;25,"Normal",C309&lt;30,"Overweight",C309&gt;=30,"Obese")</f>
        <v>Overweight</v>
      </c>
      <c r="K309" t="str" cm="1">
        <f t="array" ref="K309">_xlfn.IFS(G309&lt;10000, "Low", G309&lt;=25000, "Medium", G309&gt;25000, "High")</f>
        <v>Low</v>
      </c>
    </row>
    <row r="310" spans="1:11" x14ac:dyDescent="0.3">
      <c r="A310">
        <v>26</v>
      </c>
      <c r="B310" s="1" t="s">
        <v>8</v>
      </c>
      <c r="C310">
        <v>25.84</v>
      </c>
      <c r="D310">
        <v>0</v>
      </c>
      <c r="E310" t="s">
        <v>10</v>
      </c>
      <c r="F310" t="s">
        <v>14</v>
      </c>
      <c r="G310" s="2">
        <v>4462.7218000000003</v>
      </c>
      <c r="H310" t="str" cm="1">
        <f t="array" ref="H310">_xlfn.IFS(A310&lt;=30, "Youth", A310&lt;=50, "Adult", A310&gt;50, "Older")</f>
        <v>Youth</v>
      </c>
      <c r="I310" t="str" cm="1">
        <f t="array" ref="I310">_xlfn.IFS(A310&lt;=25,"18-25",A310&lt;=35,"26-35",A310&lt;=45,"36-45",A310&lt;=60,"46-60",A310&gt;60,"60+")</f>
        <v>26-35</v>
      </c>
      <c r="J310" t="str" cm="1">
        <f t="array" ref="J310">_xlfn.IFS(C310&lt;18.5,"Underweight",C310&lt;25,"Normal",C310&lt;30,"Overweight",C310&gt;=30,"Obese")</f>
        <v>Overweight</v>
      </c>
      <c r="K310" t="str" cm="1">
        <f t="array" ref="K310">_xlfn.IFS(G310&lt;10000, "Low", G310&lt;=25000, "Medium", G310&gt;25000, "High")</f>
        <v>Low</v>
      </c>
    </row>
    <row r="311" spans="1:11" x14ac:dyDescent="0.3">
      <c r="A311">
        <v>26</v>
      </c>
      <c r="B311" s="1" t="s">
        <v>7</v>
      </c>
      <c r="C311">
        <v>25.84</v>
      </c>
      <c r="D311">
        <v>0</v>
      </c>
      <c r="E311" t="s">
        <v>10</v>
      </c>
      <c r="F311" t="s">
        <v>13</v>
      </c>
      <c r="G311" s="2">
        <v>4463.2051000000001</v>
      </c>
      <c r="H311" t="str" cm="1">
        <f t="array" ref="H311">_xlfn.IFS(A311&lt;=30, "Youth", A311&lt;=50, "Adult", A311&gt;50, "Older")</f>
        <v>Youth</v>
      </c>
      <c r="I311" t="str" cm="1">
        <f t="array" ref="I311">_xlfn.IFS(A311&lt;=25,"18-25",A311&lt;=35,"26-35",A311&lt;=45,"36-45",A311&lt;=60,"46-60",A311&gt;60,"60+")</f>
        <v>26-35</v>
      </c>
      <c r="J311" t="str" cm="1">
        <f t="array" ref="J311">_xlfn.IFS(C311&lt;18.5,"Underweight",C311&lt;25,"Normal",C311&lt;30,"Overweight",C311&gt;=30,"Obese")</f>
        <v>Overweight</v>
      </c>
      <c r="K311" t="str" cm="1">
        <f t="array" ref="K311">_xlfn.IFS(G311&lt;10000, "Low", G311&lt;=25000, "Medium", G311&gt;25000, "High")</f>
        <v>Low</v>
      </c>
    </row>
    <row r="312" spans="1:11" x14ac:dyDescent="0.3">
      <c r="A312">
        <v>26</v>
      </c>
      <c r="B312" s="1" t="s">
        <v>8</v>
      </c>
      <c r="C312">
        <v>25.85</v>
      </c>
      <c r="D312">
        <v>0</v>
      </c>
      <c r="E312" t="s">
        <v>10</v>
      </c>
      <c r="F312" t="s">
        <v>11</v>
      </c>
      <c r="G312" s="2">
        <v>4466.6214</v>
      </c>
      <c r="H312" t="str" cm="1">
        <f t="array" ref="H312">_xlfn.IFS(A312&lt;=30, "Youth", A312&lt;=50, "Adult", A312&gt;50, "Older")</f>
        <v>Youth</v>
      </c>
      <c r="I312" t="str" cm="1">
        <f t="array" ref="I312">_xlfn.IFS(A312&lt;=25,"18-25",A312&lt;=35,"26-35",A312&lt;=45,"36-45",A312&lt;=60,"46-60",A312&gt;60,"60+")</f>
        <v>26-35</v>
      </c>
      <c r="J312" t="str" cm="1">
        <f t="array" ref="J312">_xlfn.IFS(C312&lt;18.5,"Underweight",C312&lt;25,"Normal",C312&lt;30,"Overweight",C312&gt;=30,"Obese")</f>
        <v>Overweight</v>
      </c>
      <c r="K312" t="str" cm="1">
        <f t="array" ref="K312">_xlfn.IFS(G312&lt;10000, "Low", G312&lt;=25000, "Medium", G312&gt;25000, "High")</f>
        <v>Low</v>
      </c>
    </row>
    <row r="313" spans="1:11" x14ac:dyDescent="0.3">
      <c r="A313">
        <v>26</v>
      </c>
      <c r="B313" s="1" t="s">
        <v>7</v>
      </c>
      <c r="C313">
        <v>25.9</v>
      </c>
      <c r="D313">
        <v>0</v>
      </c>
      <c r="E313" t="s">
        <v>10</v>
      </c>
      <c r="F313" t="s">
        <v>11</v>
      </c>
      <c r="G313" s="2">
        <v>4500.33925</v>
      </c>
      <c r="H313" t="str" cm="1">
        <f t="array" ref="H313">_xlfn.IFS(A313&lt;=30, "Youth", A313&lt;=50, "Adult", A313&gt;50, "Older")</f>
        <v>Youth</v>
      </c>
      <c r="I313" t="str" cm="1">
        <f t="array" ref="I313">_xlfn.IFS(A313&lt;=25,"18-25",A313&lt;=35,"26-35",A313&lt;=45,"36-45",A313&lt;=60,"46-60",A313&gt;60,"60+")</f>
        <v>26-35</v>
      </c>
      <c r="J313" t="str" cm="1">
        <f t="array" ref="J313">_xlfn.IFS(C313&lt;18.5,"Underweight",C313&lt;25,"Normal",C313&lt;30,"Overweight",C313&gt;=30,"Obese")</f>
        <v>Overweight</v>
      </c>
      <c r="K313" t="str" cm="1">
        <f t="array" ref="K313">_xlfn.IFS(G313&lt;10000, "Low", G313&lt;=25000, "Medium", G313&gt;25000, "High")</f>
        <v>Low</v>
      </c>
    </row>
    <row r="314" spans="1:11" x14ac:dyDescent="0.3">
      <c r="A314">
        <v>26</v>
      </c>
      <c r="B314" s="1" t="s">
        <v>8</v>
      </c>
      <c r="C314">
        <v>25.9</v>
      </c>
      <c r="D314">
        <v>0</v>
      </c>
      <c r="E314" t="s">
        <v>9</v>
      </c>
      <c r="F314" t="s">
        <v>12</v>
      </c>
      <c r="G314" s="2">
        <v>4504.6624000000002</v>
      </c>
      <c r="H314" t="str" cm="1">
        <f t="array" ref="H314">_xlfn.IFS(A314&lt;=30, "Youth", A314&lt;=50, "Adult", A314&gt;50, "Older")</f>
        <v>Youth</v>
      </c>
      <c r="I314" t="str" cm="1">
        <f t="array" ref="I314">_xlfn.IFS(A314&lt;=25,"18-25",A314&lt;=35,"26-35",A314&lt;=45,"36-45",A314&lt;=60,"46-60",A314&gt;60,"60+")</f>
        <v>26-35</v>
      </c>
      <c r="J314" t="str" cm="1">
        <f t="array" ref="J314">_xlfn.IFS(C314&lt;18.5,"Underweight",C314&lt;25,"Normal",C314&lt;30,"Overweight",C314&gt;=30,"Obese")</f>
        <v>Overweight</v>
      </c>
      <c r="K314" t="str" cm="1">
        <f t="array" ref="K314">_xlfn.IFS(G314&lt;10000, "Low", G314&lt;=25000, "Medium", G314&gt;25000, "High")</f>
        <v>Low</v>
      </c>
    </row>
    <row r="315" spans="1:11" x14ac:dyDescent="0.3">
      <c r="A315">
        <v>26</v>
      </c>
      <c r="B315" s="1" t="s">
        <v>8</v>
      </c>
      <c r="C315">
        <v>25.9</v>
      </c>
      <c r="D315">
        <v>0</v>
      </c>
      <c r="E315" t="s">
        <v>10</v>
      </c>
      <c r="F315" t="s">
        <v>12</v>
      </c>
      <c r="G315" s="2">
        <v>4518.8262500000001</v>
      </c>
      <c r="H315" t="str" cm="1">
        <f t="array" ref="H315">_xlfn.IFS(A315&lt;=30, "Youth", A315&lt;=50, "Adult", A315&gt;50, "Older")</f>
        <v>Youth</v>
      </c>
      <c r="I315" t="str" cm="1">
        <f t="array" ref="I315">_xlfn.IFS(A315&lt;=25,"18-25",A315&lt;=35,"26-35",A315&lt;=45,"36-45",A315&lt;=60,"46-60",A315&gt;60,"60+")</f>
        <v>26-35</v>
      </c>
      <c r="J315" t="str" cm="1">
        <f t="array" ref="J315">_xlfn.IFS(C315&lt;18.5,"Underweight",C315&lt;25,"Normal",C315&lt;30,"Overweight",C315&gt;=30,"Obese")</f>
        <v>Overweight</v>
      </c>
      <c r="K315" t="str" cm="1">
        <f t="array" ref="K315">_xlfn.IFS(G315&lt;10000, "Low", G315&lt;=25000, "Medium", G315&gt;25000, "High")</f>
        <v>Low</v>
      </c>
    </row>
    <row r="316" spans="1:11" x14ac:dyDescent="0.3">
      <c r="A316">
        <v>26</v>
      </c>
      <c r="B316" s="1" t="s">
        <v>7</v>
      </c>
      <c r="C316">
        <v>25.934999999999999</v>
      </c>
      <c r="D316">
        <v>0</v>
      </c>
      <c r="E316" t="s">
        <v>9</v>
      </c>
      <c r="F316" t="s">
        <v>11</v>
      </c>
      <c r="G316" s="2">
        <v>4527.1829500000003</v>
      </c>
      <c r="H316" t="str" cm="1">
        <f t="array" ref="H316">_xlfn.IFS(A316&lt;=30, "Youth", A316&lt;=50, "Adult", A316&gt;50, "Older")</f>
        <v>Youth</v>
      </c>
      <c r="I316" t="str" cm="1">
        <f t="array" ref="I316">_xlfn.IFS(A316&lt;=25,"18-25",A316&lt;=35,"26-35",A316&lt;=45,"36-45",A316&lt;=60,"46-60",A316&gt;60,"60+")</f>
        <v>26-35</v>
      </c>
      <c r="J316" t="str" cm="1">
        <f t="array" ref="J316">_xlfn.IFS(C316&lt;18.5,"Underweight",C316&lt;25,"Normal",C316&lt;30,"Overweight",C316&gt;=30,"Obese")</f>
        <v>Overweight</v>
      </c>
      <c r="K316" t="str" cm="1">
        <f t="array" ref="K316">_xlfn.IFS(G316&lt;10000, "Low", G316&lt;=25000, "Medium", G316&gt;25000, "High")</f>
        <v>Low</v>
      </c>
    </row>
    <row r="317" spans="1:11" x14ac:dyDescent="0.3">
      <c r="A317">
        <v>26</v>
      </c>
      <c r="B317" s="1" t="s">
        <v>8</v>
      </c>
      <c r="C317">
        <v>25.934999999999999</v>
      </c>
      <c r="D317">
        <v>0</v>
      </c>
      <c r="E317" t="s">
        <v>10</v>
      </c>
      <c r="F317" t="s">
        <v>14</v>
      </c>
      <c r="G317" s="2">
        <v>4529.4769999999999</v>
      </c>
      <c r="H317" t="str" cm="1">
        <f t="array" ref="H317">_xlfn.IFS(A317&lt;=30, "Youth", A317&lt;=50, "Adult", A317&gt;50, "Older")</f>
        <v>Youth</v>
      </c>
      <c r="I317" t="str" cm="1">
        <f t="array" ref="I317">_xlfn.IFS(A317&lt;=25,"18-25",A317&lt;=35,"26-35",A317&lt;=45,"36-45",A317&lt;=60,"46-60",A317&gt;60,"60+")</f>
        <v>26-35</v>
      </c>
      <c r="J317" t="str" cm="1">
        <f t="array" ref="J317">_xlfn.IFS(C317&lt;18.5,"Underweight",C317&lt;25,"Normal",C317&lt;30,"Overweight",C317&gt;=30,"Obese")</f>
        <v>Overweight</v>
      </c>
      <c r="K317" t="str" cm="1">
        <f t="array" ref="K317">_xlfn.IFS(G317&lt;10000, "Low", G317&lt;=25000, "Medium", G317&gt;25000, "High")</f>
        <v>Low</v>
      </c>
    </row>
    <row r="318" spans="1:11" x14ac:dyDescent="0.3">
      <c r="A318">
        <v>26</v>
      </c>
      <c r="B318" s="1" t="s">
        <v>8</v>
      </c>
      <c r="C318">
        <v>25.934999999999999</v>
      </c>
      <c r="D318">
        <v>0</v>
      </c>
      <c r="E318" t="s">
        <v>10</v>
      </c>
      <c r="F318" t="s">
        <v>13</v>
      </c>
      <c r="G318" s="2">
        <v>4536.259</v>
      </c>
      <c r="H318" t="str" cm="1">
        <f t="array" ref="H318">_xlfn.IFS(A318&lt;=30, "Youth", A318&lt;=50, "Adult", A318&gt;50, "Older")</f>
        <v>Youth</v>
      </c>
      <c r="I318" t="str" cm="1">
        <f t="array" ref="I318">_xlfn.IFS(A318&lt;=25,"18-25",A318&lt;=35,"26-35",A318&lt;=45,"36-45",A318&lt;=60,"46-60",A318&gt;60,"60+")</f>
        <v>26-35</v>
      </c>
      <c r="J318" t="str" cm="1">
        <f t="array" ref="J318">_xlfn.IFS(C318&lt;18.5,"Underweight",C318&lt;25,"Normal",C318&lt;30,"Overweight",C318&gt;=30,"Obese")</f>
        <v>Overweight</v>
      </c>
      <c r="K318" t="str" cm="1">
        <f t="array" ref="K318">_xlfn.IFS(G318&lt;10000, "Low", G318&lt;=25000, "Medium", G318&gt;25000, "High")</f>
        <v>Low</v>
      </c>
    </row>
    <row r="319" spans="1:11" x14ac:dyDescent="0.3">
      <c r="A319">
        <v>26</v>
      </c>
      <c r="B319" s="1" t="s">
        <v>8</v>
      </c>
      <c r="C319">
        <v>26.03</v>
      </c>
      <c r="D319">
        <v>0</v>
      </c>
      <c r="E319" t="s">
        <v>10</v>
      </c>
      <c r="F319" t="s">
        <v>14</v>
      </c>
      <c r="G319" s="2">
        <v>4544.2348000000002</v>
      </c>
      <c r="H319" t="str" cm="1">
        <f t="array" ref="H319">_xlfn.IFS(A319&lt;=30, "Youth", A319&lt;=50, "Adult", A319&gt;50, "Older")</f>
        <v>Youth</v>
      </c>
      <c r="I319" t="str" cm="1">
        <f t="array" ref="I319">_xlfn.IFS(A319&lt;=25,"18-25",A319&lt;=35,"26-35",A319&lt;=45,"36-45",A319&lt;=60,"46-60",A319&gt;60,"60+")</f>
        <v>26-35</v>
      </c>
      <c r="J319" t="str" cm="1">
        <f t="array" ref="J319">_xlfn.IFS(C319&lt;18.5,"Underweight",C319&lt;25,"Normal",C319&lt;30,"Overweight",C319&gt;=30,"Obese")</f>
        <v>Overweight</v>
      </c>
      <c r="K319" t="str" cm="1">
        <f t="array" ref="K319">_xlfn.IFS(G319&lt;10000, "Low", G319&lt;=25000, "Medium", G319&gt;25000, "High")</f>
        <v>Low</v>
      </c>
    </row>
    <row r="320" spans="1:11" x14ac:dyDescent="0.3">
      <c r="A320">
        <v>26</v>
      </c>
      <c r="B320" s="1" t="s">
        <v>7</v>
      </c>
      <c r="C320">
        <v>26.03</v>
      </c>
      <c r="D320">
        <v>0</v>
      </c>
      <c r="E320" t="s">
        <v>10</v>
      </c>
      <c r="F320" t="s">
        <v>13</v>
      </c>
      <c r="G320" s="2">
        <v>4561.1885000000002</v>
      </c>
      <c r="H320" t="str" cm="1">
        <f t="array" ref="H320">_xlfn.IFS(A320&lt;=30, "Youth", A320&lt;=50, "Adult", A320&gt;50, "Older")</f>
        <v>Youth</v>
      </c>
      <c r="I320" t="str" cm="1">
        <f t="array" ref="I320">_xlfn.IFS(A320&lt;=25,"18-25",A320&lt;=35,"26-35",A320&lt;=45,"36-45",A320&lt;=60,"46-60",A320&gt;60,"60+")</f>
        <v>26-35</v>
      </c>
      <c r="J320" t="str" cm="1">
        <f t="array" ref="J320">_xlfn.IFS(C320&lt;18.5,"Underweight",C320&lt;25,"Normal",C320&lt;30,"Overweight",C320&gt;=30,"Obese")</f>
        <v>Overweight</v>
      </c>
      <c r="K320" t="str" cm="1">
        <f t="array" ref="K320">_xlfn.IFS(G320&lt;10000, "Low", G320&lt;=25000, "Medium", G320&gt;25000, "High")</f>
        <v>Low</v>
      </c>
    </row>
    <row r="321" spans="1:11" x14ac:dyDescent="0.3">
      <c r="A321">
        <v>26</v>
      </c>
      <c r="B321" s="1" t="s">
        <v>8</v>
      </c>
      <c r="C321">
        <v>26.03</v>
      </c>
      <c r="D321">
        <v>0</v>
      </c>
      <c r="E321" t="s">
        <v>10</v>
      </c>
      <c r="F321" t="s">
        <v>14</v>
      </c>
      <c r="G321" s="2">
        <v>4562.8420999999998</v>
      </c>
      <c r="H321" t="str" cm="1">
        <f t="array" ref="H321">_xlfn.IFS(A321&lt;=30, "Youth", A321&lt;=50, "Adult", A321&gt;50, "Older")</f>
        <v>Youth</v>
      </c>
      <c r="I321" t="str" cm="1">
        <f t="array" ref="I321">_xlfn.IFS(A321&lt;=25,"18-25",A321&lt;=35,"26-35",A321&lt;=45,"36-45",A321&lt;=60,"46-60",A321&gt;60,"60+")</f>
        <v>26-35</v>
      </c>
      <c r="J321" t="str" cm="1">
        <f t="array" ref="J321">_xlfn.IFS(C321&lt;18.5,"Underweight",C321&lt;25,"Normal",C321&lt;30,"Overweight",C321&gt;=30,"Obese")</f>
        <v>Overweight</v>
      </c>
      <c r="K321" t="str" cm="1">
        <f t="array" ref="K321">_xlfn.IFS(G321&lt;10000, "Low", G321&lt;=25000, "Medium", G321&gt;25000, "High")</f>
        <v>Low</v>
      </c>
    </row>
    <row r="322" spans="1:11" x14ac:dyDescent="0.3">
      <c r="A322">
        <v>26</v>
      </c>
      <c r="B322" s="1" t="s">
        <v>8</v>
      </c>
      <c r="C322">
        <v>26.03</v>
      </c>
      <c r="D322">
        <v>0</v>
      </c>
      <c r="E322" t="s">
        <v>10</v>
      </c>
      <c r="F322" t="s">
        <v>13</v>
      </c>
      <c r="G322" s="2">
        <v>4564.1914500000003</v>
      </c>
      <c r="H322" t="str" cm="1">
        <f t="array" ref="H322">_xlfn.IFS(A322&lt;=30, "Youth", A322&lt;=50, "Adult", A322&gt;50, "Older")</f>
        <v>Youth</v>
      </c>
      <c r="I322" t="str" cm="1">
        <f t="array" ref="I322">_xlfn.IFS(A322&lt;=25,"18-25",A322&lt;=35,"26-35",A322&lt;=45,"36-45",A322&lt;=60,"46-60",A322&gt;60,"60+")</f>
        <v>26-35</v>
      </c>
      <c r="J322" t="str" cm="1">
        <f t="array" ref="J322">_xlfn.IFS(C322&lt;18.5,"Underweight",C322&lt;25,"Normal",C322&lt;30,"Overweight",C322&gt;=30,"Obese")</f>
        <v>Overweight</v>
      </c>
      <c r="K322" t="str" cm="1">
        <f t="array" ref="K322">_xlfn.IFS(G322&lt;10000, "Low", G322&lt;=25000, "Medium", G322&gt;25000, "High")</f>
        <v>Low</v>
      </c>
    </row>
    <row r="323" spans="1:11" x14ac:dyDescent="0.3">
      <c r="A323">
        <v>26</v>
      </c>
      <c r="B323" s="1" t="s">
        <v>7</v>
      </c>
      <c r="C323">
        <v>26.03</v>
      </c>
      <c r="D323">
        <v>0</v>
      </c>
      <c r="E323" t="s">
        <v>10</v>
      </c>
      <c r="F323" t="s">
        <v>14</v>
      </c>
      <c r="G323" s="2">
        <v>4571.4130500000001</v>
      </c>
      <c r="H323" t="str" cm="1">
        <f t="array" ref="H323">_xlfn.IFS(A323&lt;=30, "Youth", A323&lt;=50, "Adult", A323&gt;50, "Older")</f>
        <v>Youth</v>
      </c>
      <c r="I323" t="str" cm="1">
        <f t="array" ref="I323">_xlfn.IFS(A323&lt;=25,"18-25",A323&lt;=35,"26-35",A323&lt;=45,"36-45",A323&lt;=60,"46-60",A323&gt;60,"60+")</f>
        <v>26-35</v>
      </c>
      <c r="J323" t="str" cm="1">
        <f t="array" ref="J323">_xlfn.IFS(C323&lt;18.5,"Underweight",C323&lt;25,"Normal",C323&lt;30,"Overweight",C323&gt;=30,"Obese")</f>
        <v>Overweight</v>
      </c>
      <c r="K323" t="str" cm="1">
        <f t="array" ref="K323">_xlfn.IFS(G323&lt;10000, "Low", G323&lt;=25000, "Medium", G323&gt;25000, "High")</f>
        <v>Low</v>
      </c>
    </row>
    <row r="324" spans="1:11" x14ac:dyDescent="0.3">
      <c r="A324">
        <v>26</v>
      </c>
      <c r="B324" s="1" t="s">
        <v>8</v>
      </c>
      <c r="C324">
        <v>26.07</v>
      </c>
      <c r="D324">
        <v>0</v>
      </c>
      <c r="E324" t="s">
        <v>9</v>
      </c>
      <c r="F324" t="s">
        <v>11</v>
      </c>
      <c r="G324" s="2">
        <v>4618.0798999999997</v>
      </c>
      <c r="H324" t="str" cm="1">
        <f t="array" ref="H324">_xlfn.IFS(A324&lt;=30, "Youth", A324&lt;=50, "Adult", A324&gt;50, "Older")</f>
        <v>Youth</v>
      </c>
      <c r="I324" t="str" cm="1">
        <f t="array" ref="I324">_xlfn.IFS(A324&lt;=25,"18-25",A324&lt;=35,"26-35",A324&lt;=45,"36-45",A324&lt;=60,"46-60",A324&gt;60,"60+")</f>
        <v>26-35</v>
      </c>
      <c r="J324" t="str" cm="1">
        <f t="array" ref="J324">_xlfn.IFS(C324&lt;18.5,"Underweight",C324&lt;25,"Normal",C324&lt;30,"Overweight",C324&gt;=30,"Obese")</f>
        <v>Overweight</v>
      </c>
      <c r="K324" t="str" cm="1">
        <f t="array" ref="K324">_xlfn.IFS(G324&lt;10000, "Low", G324&lt;=25000, "Medium", G324&gt;25000, "High")</f>
        <v>Low</v>
      </c>
    </row>
    <row r="325" spans="1:11" x14ac:dyDescent="0.3">
      <c r="A325">
        <v>26</v>
      </c>
      <c r="B325" s="1" t="s">
        <v>8</v>
      </c>
      <c r="C325">
        <v>26.125</v>
      </c>
      <c r="D325">
        <v>0</v>
      </c>
      <c r="E325" t="s">
        <v>10</v>
      </c>
      <c r="F325" t="s">
        <v>14</v>
      </c>
      <c r="G325" s="2">
        <v>4646.759</v>
      </c>
      <c r="H325" t="str" cm="1">
        <f t="array" ref="H325">_xlfn.IFS(A325&lt;=30, "Youth", A325&lt;=50, "Adult", A325&gt;50, "Older")</f>
        <v>Youth</v>
      </c>
      <c r="I325" t="str" cm="1">
        <f t="array" ref="I325">_xlfn.IFS(A325&lt;=25,"18-25",A325&lt;=35,"26-35",A325&lt;=45,"36-45",A325&lt;=60,"46-60",A325&gt;60,"60+")</f>
        <v>26-35</v>
      </c>
      <c r="J325" t="str" cm="1">
        <f t="array" ref="J325">_xlfn.IFS(C325&lt;18.5,"Underweight",C325&lt;25,"Normal",C325&lt;30,"Overweight",C325&gt;=30,"Obese")</f>
        <v>Overweight</v>
      </c>
      <c r="K325" t="str" cm="1">
        <f t="array" ref="K325">_xlfn.IFS(G325&lt;10000, "Low", G325&lt;=25000, "Medium", G325&gt;25000, "High")</f>
        <v>Low</v>
      </c>
    </row>
    <row r="326" spans="1:11" x14ac:dyDescent="0.3">
      <c r="A326">
        <v>26</v>
      </c>
      <c r="B326" s="1" t="s">
        <v>8</v>
      </c>
      <c r="C326">
        <v>26.125</v>
      </c>
      <c r="D326">
        <v>0</v>
      </c>
      <c r="E326" t="s">
        <v>10</v>
      </c>
      <c r="F326" t="s">
        <v>11</v>
      </c>
      <c r="G326" s="2">
        <v>4661.2863500000003</v>
      </c>
      <c r="H326" t="str" cm="1">
        <f t="array" ref="H326">_xlfn.IFS(A326&lt;=30, "Youth", A326&lt;=50, "Adult", A326&gt;50, "Older")</f>
        <v>Youth</v>
      </c>
      <c r="I326" t="str" cm="1">
        <f t="array" ref="I326">_xlfn.IFS(A326&lt;=25,"18-25",A326&lt;=35,"26-35",A326&lt;=45,"36-45",A326&lt;=60,"46-60",A326&gt;60,"60+")</f>
        <v>26-35</v>
      </c>
      <c r="J326" t="str" cm="1">
        <f t="array" ref="J326">_xlfn.IFS(C326&lt;18.5,"Underweight",C326&lt;25,"Normal",C326&lt;30,"Overweight",C326&gt;=30,"Obese")</f>
        <v>Overweight</v>
      </c>
      <c r="K326" t="str" cm="1">
        <f t="array" ref="K326">_xlfn.IFS(G326&lt;10000, "Low", G326&lt;=25000, "Medium", G326&gt;25000, "High")</f>
        <v>Low</v>
      </c>
    </row>
    <row r="327" spans="1:11" x14ac:dyDescent="0.3">
      <c r="A327">
        <v>26</v>
      </c>
      <c r="B327" s="1" t="s">
        <v>8</v>
      </c>
      <c r="C327">
        <v>26.125</v>
      </c>
      <c r="D327">
        <v>0</v>
      </c>
      <c r="E327" t="s">
        <v>10</v>
      </c>
      <c r="F327" t="s">
        <v>14</v>
      </c>
      <c r="G327" s="2">
        <v>4667.6076499999999</v>
      </c>
      <c r="H327" t="str" cm="1">
        <f t="array" ref="H327">_xlfn.IFS(A327&lt;=30, "Youth", A327&lt;=50, "Adult", A327&gt;50, "Older")</f>
        <v>Youth</v>
      </c>
      <c r="I327" t="str" cm="1">
        <f t="array" ref="I327">_xlfn.IFS(A327&lt;=25,"18-25",A327&lt;=35,"26-35",A327&lt;=45,"36-45",A327&lt;=60,"46-60",A327&gt;60,"60+")</f>
        <v>26-35</v>
      </c>
      <c r="J327" t="str" cm="1">
        <f t="array" ref="J327">_xlfn.IFS(C327&lt;18.5,"Underweight",C327&lt;25,"Normal",C327&lt;30,"Overweight",C327&gt;=30,"Obese")</f>
        <v>Overweight</v>
      </c>
      <c r="K327" t="str" cm="1">
        <f t="array" ref="K327">_xlfn.IFS(G327&lt;10000, "Low", G327&lt;=25000, "Medium", G327&gt;25000, "High")</f>
        <v>Low</v>
      </c>
    </row>
    <row r="328" spans="1:11" x14ac:dyDescent="0.3">
      <c r="A328">
        <v>26</v>
      </c>
      <c r="B328" s="1" t="s">
        <v>7</v>
      </c>
      <c r="C328">
        <v>26.125</v>
      </c>
      <c r="D328">
        <v>0</v>
      </c>
      <c r="E328" t="s">
        <v>10</v>
      </c>
      <c r="F328" t="s">
        <v>12</v>
      </c>
      <c r="G328" s="2">
        <v>4670.6400000000003</v>
      </c>
      <c r="H328" t="str" cm="1">
        <f t="array" ref="H328">_xlfn.IFS(A328&lt;=30, "Youth", A328&lt;=50, "Adult", A328&gt;50, "Older")</f>
        <v>Youth</v>
      </c>
      <c r="I328" t="str" cm="1">
        <f t="array" ref="I328">_xlfn.IFS(A328&lt;=25,"18-25",A328&lt;=35,"26-35",A328&lt;=45,"36-45",A328&lt;=60,"46-60",A328&gt;60,"60+")</f>
        <v>26-35</v>
      </c>
      <c r="J328" t="str" cm="1">
        <f t="array" ref="J328">_xlfn.IFS(C328&lt;18.5,"Underweight",C328&lt;25,"Normal",C328&lt;30,"Overweight",C328&gt;=30,"Obese")</f>
        <v>Overweight</v>
      </c>
      <c r="K328" t="str" cm="1">
        <f t="array" ref="K328">_xlfn.IFS(G328&lt;10000, "Low", G328&lt;=25000, "Medium", G328&gt;25000, "High")</f>
        <v>Low</v>
      </c>
    </row>
    <row r="329" spans="1:11" x14ac:dyDescent="0.3">
      <c r="A329">
        <v>26</v>
      </c>
      <c r="B329" s="1" t="s">
        <v>8</v>
      </c>
      <c r="C329">
        <v>26.18</v>
      </c>
      <c r="D329">
        <v>0</v>
      </c>
      <c r="E329" t="s">
        <v>9</v>
      </c>
      <c r="F329" t="s">
        <v>13</v>
      </c>
      <c r="G329" s="2">
        <v>4673.3922000000002</v>
      </c>
      <c r="H329" t="str" cm="1">
        <f t="array" ref="H329">_xlfn.IFS(A329&lt;=30, "Youth", A329&lt;=50, "Adult", A329&gt;50, "Older")</f>
        <v>Youth</v>
      </c>
      <c r="I329" t="str" cm="1">
        <f t="array" ref="I329">_xlfn.IFS(A329&lt;=25,"18-25",A329&lt;=35,"26-35",A329&lt;=45,"36-45",A329&lt;=60,"46-60",A329&gt;60,"60+")</f>
        <v>26-35</v>
      </c>
      <c r="J329" t="str" cm="1">
        <f t="array" ref="J329">_xlfn.IFS(C329&lt;18.5,"Underweight",C329&lt;25,"Normal",C329&lt;30,"Overweight",C329&gt;=30,"Obese")</f>
        <v>Overweight</v>
      </c>
      <c r="K329" t="str" cm="1">
        <f t="array" ref="K329">_xlfn.IFS(G329&lt;10000, "Low", G329&lt;=25000, "Medium", G329&gt;25000, "High")</f>
        <v>Low</v>
      </c>
    </row>
    <row r="330" spans="1:11" x14ac:dyDescent="0.3">
      <c r="A330">
        <v>26</v>
      </c>
      <c r="B330" s="1" t="s">
        <v>7</v>
      </c>
      <c r="C330">
        <v>26.18</v>
      </c>
      <c r="D330">
        <v>0</v>
      </c>
      <c r="E330" t="s">
        <v>9</v>
      </c>
      <c r="F330" t="s">
        <v>11</v>
      </c>
      <c r="G330" s="2">
        <v>4686.3887000000004</v>
      </c>
      <c r="H330" t="str" cm="1">
        <f t="array" ref="H330">_xlfn.IFS(A330&lt;=30, "Youth", A330&lt;=50, "Adult", A330&gt;50, "Older")</f>
        <v>Youth</v>
      </c>
      <c r="I330" t="str" cm="1">
        <f t="array" ref="I330">_xlfn.IFS(A330&lt;=25,"18-25",A330&lt;=35,"26-35",A330&lt;=45,"36-45",A330&lt;=60,"46-60",A330&gt;60,"60+")</f>
        <v>26-35</v>
      </c>
      <c r="J330" t="str" cm="1">
        <f t="array" ref="J330">_xlfn.IFS(C330&lt;18.5,"Underweight",C330&lt;25,"Normal",C330&lt;30,"Overweight",C330&gt;=30,"Obese")</f>
        <v>Overweight</v>
      </c>
      <c r="K330" t="str" cm="1">
        <f t="array" ref="K330">_xlfn.IFS(G330&lt;10000, "Low", G330&lt;=25000, "Medium", G330&gt;25000, "High")</f>
        <v>Low</v>
      </c>
    </row>
    <row r="331" spans="1:11" x14ac:dyDescent="0.3">
      <c r="A331">
        <v>26</v>
      </c>
      <c r="B331" s="1" t="s">
        <v>8</v>
      </c>
      <c r="C331">
        <v>26.2</v>
      </c>
      <c r="D331">
        <v>0</v>
      </c>
      <c r="E331" t="s">
        <v>10</v>
      </c>
      <c r="F331" t="s">
        <v>11</v>
      </c>
      <c r="G331" s="2">
        <v>4687.7969999999996</v>
      </c>
      <c r="H331" t="str" cm="1">
        <f t="array" ref="H331">_xlfn.IFS(A331&lt;=30, "Youth", A331&lt;=50, "Adult", A331&gt;50, "Older")</f>
        <v>Youth</v>
      </c>
      <c r="I331" t="str" cm="1">
        <f t="array" ref="I331">_xlfn.IFS(A331&lt;=25,"18-25",A331&lt;=35,"26-35",A331&lt;=45,"36-45",A331&lt;=60,"46-60",A331&gt;60,"60+")</f>
        <v>26-35</v>
      </c>
      <c r="J331" t="str" cm="1">
        <f t="array" ref="J331">_xlfn.IFS(C331&lt;18.5,"Underweight",C331&lt;25,"Normal",C331&lt;30,"Overweight",C331&gt;=30,"Obese")</f>
        <v>Overweight</v>
      </c>
      <c r="K331" t="str" cm="1">
        <f t="array" ref="K331">_xlfn.IFS(G331&lt;10000, "Low", G331&lt;=25000, "Medium", G331&gt;25000, "High")</f>
        <v>Low</v>
      </c>
    </row>
    <row r="332" spans="1:11" x14ac:dyDescent="0.3">
      <c r="A332">
        <v>26</v>
      </c>
      <c r="B332" s="1" t="s">
        <v>7</v>
      </c>
      <c r="C332">
        <v>26.22</v>
      </c>
      <c r="D332">
        <v>0</v>
      </c>
      <c r="E332" t="s">
        <v>9</v>
      </c>
      <c r="F332" t="s">
        <v>14</v>
      </c>
      <c r="G332" s="2">
        <v>4718.2035500000002</v>
      </c>
      <c r="H332" t="str" cm="1">
        <f t="array" ref="H332">_xlfn.IFS(A332&lt;=30, "Youth", A332&lt;=50, "Adult", A332&gt;50, "Older")</f>
        <v>Youth</v>
      </c>
      <c r="I332" t="str" cm="1">
        <f t="array" ref="I332">_xlfn.IFS(A332&lt;=25,"18-25",A332&lt;=35,"26-35",A332&lt;=45,"36-45",A332&lt;=60,"46-60",A332&gt;60,"60+")</f>
        <v>26-35</v>
      </c>
      <c r="J332" t="str" cm="1">
        <f t="array" ref="J332">_xlfn.IFS(C332&lt;18.5,"Underweight",C332&lt;25,"Normal",C332&lt;30,"Overweight",C332&gt;=30,"Obese")</f>
        <v>Overweight</v>
      </c>
      <c r="K332" t="str" cm="1">
        <f t="array" ref="K332">_xlfn.IFS(G332&lt;10000, "Low", G332&lt;=25000, "Medium", G332&gt;25000, "High")</f>
        <v>Low</v>
      </c>
    </row>
    <row r="333" spans="1:11" x14ac:dyDescent="0.3">
      <c r="A333">
        <v>26</v>
      </c>
      <c r="B333" s="1" t="s">
        <v>8</v>
      </c>
      <c r="C333">
        <v>26.22</v>
      </c>
      <c r="D333">
        <v>0</v>
      </c>
      <c r="E333" t="s">
        <v>9</v>
      </c>
      <c r="F333" t="s">
        <v>13</v>
      </c>
      <c r="G333" s="2">
        <v>4719.52405</v>
      </c>
      <c r="H333" t="str" cm="1">
        <f t="array" ref="H333">_xlfn.IFS(A333&lt;=30, "Youth", A333&lt;=50, "Adult", A333&gt;50, "Older")</f>
        <v>Youth</v>
      </c>
      <c r="I333" t="str" cm="1">
        <f t="array" ref="I333">_xlfn.IFS(A333&lt;=25,"18-25",A333&lt;=35,"26-35",A333&lt;=45,"36-45",A333&lt;=60,"46-60",A333&gt;60,"60+")</f>
        <v>26-35</v>
      </c>
      <c r="J333" t="str" cm="1">
        <f t="array" ref="J333">_xlfn.IFS(C333&lt;18.5,"Underweight",C333&lt;25,"Normal",C333&lt;30,"Overweight",C333&gt;=30,"Obese")</f>
        <v>Overweight</v>
      </c>
      <c r="K333" t="str" cm="1">
        <f t="array" ref="K333">_xlfn.IFS(G333&lt;10000, "Low", G333&lt;=25000, "Medium", G333&gt;25000, "High")</f>
        <v>Low</v>
      </c>
    </row>
    <row r="334" spans="1:11" x14ac:dyDescent="0.3">
      <c r="A334">
        <v>26</v>
      </c>
      <c r="B334" s="1" t="s">
        <v>7</v>
      </c>
      <c r="C334">
        <v>26.22</v>
      </c>
      <c r="D334">
        <v>0</v>
      </c>
      <c r="E334" t="s">
        <v>10</v>
      </c>
      <c r="F334" t="s">
        <v>13</v>
      </c>
      <c r="G334" s="2">
        <v>4719.7365499999996</v>
      </c>
      <c r="H334" t="str" cm="1">
        <f t="array" ref="H334">_xlfn.IFS(A334&lt;=30, "Youth", A334&lt;=50, "Adult", A334&gt;50, "Older")</f>
        <v>Youth</v>
      </c>
      <c r="I334" t="str" cm="1">
        <f t="array" ref="I334">_xlfn.IFS(A334&lt;=25,"18-25",A334&lt;=35,"26-35",A334&lt;=45,"36-45",A334&lt;=60,"46-60",A334&gt;60,"60+")</f>
        <v>26-35</v>
      </c>
      <c r="J334" t="str" cm="1">
        <f t="array" ref="J334">_xlfn.IFS(C334&lt;18.5,"Underweight",C334&lt;25,"Normal",C334&lt;30,"Overweight",C334&gt;=30,"Obese")</f>
        <v>Overweight</v>
      </c>
      <c r="K334" t="str" cm="1">
        <f t="array" ref="K334">_xlfn.IFS(G334&lt;10000, "Low", G334&lt;=25000, "Medium", G334&gt;25000, "High")</f>
        <v>Low</v>
      </c>
    </row>
    <row r="335" spans="1:11" x14ac:dyDescent="0.3">
      <c r="A335">
        <v>27</v>
      </c>
      <c r="B335" s="1" t="s">
        <v>7</v>
      </c>
      <c r="C335">
        <v>26.22</v>
      </c>
      <c r="D335">
        <v>0</v>
      </c>
      <c r="E335" t="s">
        <v>10</v>
      </c>
      <c r="F335" t="s">
        <v>14</v>
      </c>
      <c r="G335" s="2">
        <v>4738.2682000000004</v>
      </c>
      <c r="H335" t="str" cm="1">
        <f t="array" ref="H335">_xlfn.IFS(A335&lt;=30, "Youth", A335&lt;=50, "Adult", A335&gt;50, "Older")</f>
        <v>Youth</v>
      </c>
      <c r="I335" t="str" cm="1">
        <f t="array" ref="I335">_xlfn.IFS(A335&lt;=25,"18-25",A335&lt;=35,"26-35",A335&lt;=45,"36-45",A335&lt;=60,"46-60",A335&gt;60,"60+")</f>
        <v>26-35</v>
      </c>
      <c r="J335" t="str" cm="1">
        <f t="array" ref="J335">_xlfn.IFS(C335&lt;18.5,"Underweight",C335&lt;25,"Normal",C335&lt;30,"Overweight",C335&gt;=30,"Obese")</f>
        <v>Overweight</v>
      </c>
      <c r="K335" t="str" cm="1">
        <f t="array" ref="K335">_xlfn.IFS(G335&lt;10000, "Low", G335&lt;=25000, "Medium", G335&gt;25000, "High")</f>
        <v>Low</v>
      </c>
    </row>
    <row r="336" spans="1:11" x14ac:dyDescent="0.3">
      <c r="A336">
        <v>27</v>
      </c>
      <c r="B336" s="1" t="s">
        <v>7</v>
      </c>
      <c r="C336">
        <v>26.29</v>
      </c>
      <c r="D336">
        <v>0</v>
      </c>
      <c r="E336" t="s">
        <v>10</v>
      </c>
      <c r="F336" t="s">
        <v>14</v>
      </c>
      <c r="G336" s="2">
        <v>4746.3440000000001</v>
      </c>
      <c r="H336" t="str" cm="1">
        <f t="array" ref="H336">_xlfn.IFS(A336&lt;=30, "Youth", A336&lt;=50, "Adult", A336&gt;50, "Older")</f>
        <v>Youth</v>
      </c>
      <c r="I336" t="str" cm="1">
        <f t="array" ref="I336">_xlfn.IFS(A336&lt;=25,"18-25",A336&lt;=35,"26-35",A336&lt;=45,"36-45",A336&lt;=60,"46-60",A336&gt;60,"60+")</f>
        <v>26-35</v>
      </c>
      <c r="J336" t="str" cm="1">
        <f t="array" ref="J336">_xlfn.IFS(C336&lt;18.5,"Underweight",C336&lt;25,"Normal",C336&lt;30,"Overweight",C336&gt;=30,"Obese")</f>
        <v>Overweight</v>
      </c>
      <c r="K336" t="str" cm="1">
        <f t="array" ref="K336">_xlfn.IFS(G336&lt;10000, "Low", G336&lt;=25000, "Medium", G336&gt;25000, "High")</f>
        <v>Low</v>
      </c>
    </row>
    <row r="337" spans="1:11" x14ac:dyDescent="0.3">
      <c r="A337">
        <v>27</v>
      </c>
      <c r="B337" s="1" t="s">
        <v>8</v>
      </c>
      <c r="C337">
        <v>26.315000000000001</v>
      </c>
      <c r="D337">
        <v>0</v>
      </c>
      <c r="E337" t="s">
        <v>10</v>
      </c>
      <c r="F337" t="s">
        <v>11</v>
      </c>
      <c r="G337" s="2">
        <v>4747.0528999999997</v>
      </c>
      <c r="H337" t="str" cm="1">
        <f t="array" ref="H337">_xlfn.IFS(A337&lt;=30, "Youth", A337&lt;=50, "Adult", A337&gt;50, "Older")</f>
        <v>Youth</v>
      </c>
      <c r="I337" t="str" cm="1">
        <f t="array" ref="I337">_xlfn.IFS(A337&lt;=25,"18-25",A337&lt;=35,"26-35",A337&lt;=45,"36-45",A337&lt;=60,"46-60",A337&gt;60,"60+")</f>
        <v>26-35</v>
      </c>
      <c r="J337" t="str" cm="1">
        <f t="array" ref="J337">_xlfn.IFS(C337&lt;18.5,"Underweight",C337&lt;25,"Normal",C337&lt;30,"Overweight",C337&gt;=30,"Obese")</f>
        <v>Overweight</v>
      </c>
      <c r="K337" t="str" cm="1">
        <f t="array" ref="K337">_xlfn.IFS(G337&lt;10000, "Low", G337&lt;=25000, "Medium", G337&gt;25000, "High")</f>
        <v>Low</v>
      </c>
    </row>
    <row r="338" spans="1:11" x14ac:dyDescent="0.3">
      <c r="A338">
        <v>27</v>
      </c>
      <c r="B338" s="1" t="s">
        <v>8</v>
      </c>
      <c r="C338">
        <v>26.315000000000001</v>
      </c>
      <c r="D338">
        <v>0</v>
      </c>
      <c r="E338" t="s">
        <v>10</v>
      </c>
      <c r="F338" t="s">
        <v>12</v>
      </c>
      <c r="G338" s="2">
        <v>4751.07</v>
      </c>
      <c r="H338" t="str" cm="1">
        <f t="array" ref="H338">_xlfn.IFS(A338&lt;=30, "Youth", A338&lt;=50, "Adult", A338&gt;50, "Older")</f>
        <v>Youth</v>
      </c>
      <c r="I338" t="str" cm="1">
        <f t="array" ref="I338">_xlfn.IFS(A338&lt;=25,"18-25",A338&lt;=35,"26-35",A338&lt;=45,"36-45",A338&lt;=60,"46-60",A338&gt;60,"60+")</f>
        <v>26-35</v>
      </c>
      <c r="J338" t="str" cm="1">
        <f t="array" ref="J338">_xlfn.IFS(C338&lt;18.5,"Underweight",C338&lt;25,"Normal",C338&lt;30,"Overweight",C338&gt;=30,"Obese")</f>
        <v>Overweight</v>
      </c>
      <c r="K338" t="str" cm="1">
        <f t="array" ref="K338">_xlfn.IFS(G338&lt;10000, "Low", G338&lt;=25000, "Medium", G338&gt;25000, "High")</f>
        <v>Low</v>
      </c>
    </row>
    <row r="339" spans="1:11" x14ac:dyDescent="0.3">
      <c r="A339">
        <v>27</v>
      </c>
      <c r="B339" s="1" t="s">
        <v>8</v>
      </c>
      <c r="C339">
        <v>26.315000000000001</v>
      </c>
      <c r="D339">
        <v>0</v>
      </c>
      <c r="E339" t="s">
        <v>10</v>
      </c>
      <c r="F339" t="s">
        <v>13</v>
      </c>
      <c r="G339" s="2">
        <v>4753.6368000000002</v>
      </c>
      <c r="H339" t="str" cm="1">
        <f t="array" ref="H339">_xlfn.IFS(A339&lt;=30, "Youth", A339&lt;=50, "Adult", A339&gt;50, "Older")</f>
        <v>Youth</v>
      </c>
      <c r="I339" t="str" cm="1">
        <f t="array" ref="I339">_xlfn.IFS(A339&lt;=25,"18-25",A339&lt;=35,"26-35",A339&lt;=45,"36-45",A339&lt;=60,"46-60",A339&gt;60,"60+")</f>
        <v>26-35</v>
      </c>
      <c r="J339" t="str" cm="1">
        <f t="array" ref="J339">_xlfn.IFS(C339&lt;18.5,"Underweight",C339&lt;25,"Normal",C339&lt;30,"Overweight",C339&gt;=30,"Obese")</f>
        <v>Overweight</v>
      </c>
      <c r="K339" t="str" cm="1">
        <f t="array" ref="K339">_xlfn.IFS(G339&lt;10000, "Low", G339&lt;=25000, "Medium", G339&gt;25000, "High")</f>
        <v>Low</v>
      </c>
    </row>
    <row r="340" spans="1:11" x14ac:dyDescent="0.3">
      <c r="A340">
        <v>27</v>
      </c>
      <c r="B340" s="1" t="s">
        <v>8</v>
      </c>
      <c r="C340">
        <v>26.315000000000001</v>
      </c>
      <c r="D340">
        <v>0</v>
      </c>
      <c r="E340" t="s">
        <v>9</v>
      </c>
      <c r="F340" t="s">
        <v>14</v>
      </c>
      <c r="G340" s="2">
        <v>4762.3289999999997</v>
      </c>
      <c r="H340" t="str" cm="1">
        <f t="array" ref="H340">_xlfn.IFS(A340&lt;=30, "Youth", A340&lt;=50, "Adult", A340&gt;50, "Older")</f>
        <v>Youth</v>
      </c>
      <c r="I340" t="str" cm="1">
        <f t="array" ref="I340">_xlfn.IFS(A340&lt;=25,"18-25",A340&lt;=35,"26-35",A340&lt;=45,"36-45",A340&lt;=60,"46-60",A340&gt;60,"60+")</f>
        <v>26-35</v>
      </c>
      <c r="J340" t="str" cm="1">
        <f t="array" ref="J340">_xlfn.IFS(C340&lt;18.5,"Underweight",C340&lt;25,"Normal",C340&lt;30,"Overweight",C340&gt;=30,"Obese")</f>
        <v>Overweight</v>
      </c>
      <c r="K340" t="str" cm="1">
        <f t="array" ref="K340">_xlfn.IFS(G340&lt;10000, "Low", G340&lt;=25000, "Medium", G340&gt;25000, "High")</f>
        <v>Low</v>
      </c>
    </row>
    <row r="341" spans="1:11" x14ac:dyDescent="0.3">
      <c r="A341">
        <v>27</v>
      </c>
      <c r="B341" s="1" t="s">
        <v>7</v>
      </c>
      <c r="C341">
        <v>26.315000000000001</v>
      </c>
      <c r="D341">
        <v>0</v>
      </c>
      <c r="E341" t="s">
        <v>10</v>
      </c>
      <c r="F341" t="s">
        <v>12</v>
      </c>
      <c r="G341" s="2">
        <v>4766.0219999999999</v>
      </c>
      <c r="H341" t="str" cm="1">
        <f t="array" ref="H341">_xlfn.IFS(A341&lt;=30, "Youth", A341&lt;=50, "Adult", A341&gt;50, "Older")</f>
        <v>Youth</v>
      </c>
      <c r="I341" t="str" cm="1">
        <f t="array" ref="I341">_xlfn.IFS(A341&lt;=25,"18-25",A341&lt;=35,"26-35",A341&lt;=45,"36-45",A341&lt;=60,"46-60",A341&gt;60,"60+")</f>
        <v>26-35</v>
      </c>
      <c r="J341" t="str" cm="1">
        <f t="array" ref="J341">_xlfn.IFS(C341&lt;18.5,"Underweight",C341&lt;25,"Normal",C341&lt;30,"Overweight",C341&gt;=30,"Obese")</f>
        <v>Overweight</v>
      </c>
      <c r="K341" t="str" cm="1">
        <f t="array" ref="K341">_xlfn.IFS(G341&lt;10000, "Low", G341&lt;=25000, "Medium", G341&gt;25000, "High")</f>
        <v>Low</v>
      </c>
    </row>
    <row r="342" spans="1:11" x14ac:dyDescent="0.3">
      <c r="A342">
        <v>27</v>
      </c>
      <c r="B342" s="1" t="s">
        <v>7</v>
      </c>
      <c r="C342">
        <v>26.4</v>
      </c>
      <c r="D342">
        <v>0</v>
      </c>
      <c r="E342" t="s">
        <v>10</v>
      </c>
      <c r="F342" t="s">
        <v>11</v>
      </c>
      <c r="G342" s="2">
        <v>4779.6022999999996</v>
      </c>
      <c r="H342" t="str" cm="1">
        <f t="array" ref="H342">_xlfn.IFS(A342&lt;=30, "Youth", A342&lt;=50, "Adult", A342&gt;50, "Older")</f>
        <v>Youth</v>
      </c>
      <c r="I342" t="str" cm="1">
        <f t="array" ref="I342">_xlfn.IFS(A342&lt;=25,"18-25",A342&lt;=35,"26-35",A342&lt;=45,"36-45",A342&lt;=60,"46-60",A342&gt;60,"60+")</f>
        <v>26-35</v>
      </c>
      <c r="J342" t="str" cm="1">
        <f t="array" ref="J342">_xlfn.IFS(C342&lt;18.5,"Underweight",C342&lt;25,"Normal",C342&lt;30,"Overweight",C342&gt;=30,"Obese")</f>
        <v>Overweight</v>
      </c>
      <c r="K342" t="str" cm="1">
        <f t="array" ref="K342">_xlfn.IFS(G342&lt;10000, "Low", G342&lt;=25000, "Medium", G342&gt;25000, "High")</f>
        <v>Low</v>
      </c>
    </row>
    <row r="343" spans="1:11" x14ac:dyDescent="0.3">
      <c r="A343">
        <v>27</v>
      </c>
      <c r="B343" s="1" t="s">
        <v>8</v>
      </c>
      <c r="C343">
        <v>26.4</v>
      </c>
      <c r="D343">
        <v>0</v>
      </c>
      <c r="E343" t="s">
        <v>10</v>
      </c>
      <c r="F343" t="s">
        <v>13</v>
      </c>
      <c r="G343" s="2">
        <v>4795.6567999999997</v>
      </c>
      <c r="H343" t="str" cm="1">
        <f t="array" ref="H343">_xlfn.IFS(A343&lt;=30, "Youth", A343&lt;=50, "Adult", A343&gt;50, "Older")</f>
        <v>Youth</v>
      </c>
      <c r="I343" t="str" cm="1">
        <f t="array" ref="I343">_xlfn.IFS(A343&lt;=25,"18-25",A343&lt;=35,"26-35",A343&lt;=45,"36-45",A343&lt;=60,"46-60",A343&gt;60,"60+")</f>
        <v>26-35</v>
      </c>
      <c r="J343" t="str" cm="1">
        <f t="array" ref="J343">_xlfn.IFS(C343&lt;18.5,"Underweight",C343&lt;25,"Normal",C343&lt;30,"Overweight",C343&gt;=30,"Obese")</f>
        <v>Overweight</v>
      </c>
      <c r="K343" t="str" cm="1">
        <f t="array" ref="K343">_xlfn.IFS(G343&lt;10000, "Low", G343&lt;=25000, "Medium", G343&gt;25000, "High")</f>
        <v>Low</v>
      </c>
    </row>
    <row r="344" spans="1:11" x14ac:dyDescent="0.3">
      <c r="A344">
        <v>27</v>
      </c>
      <c r="B344" s="1" t="s">
        <v>7</v>
      </c>
      <c r="C344">
        <v>26.4</v>
      </c>
      <c r="D344">
        <v>0</v>
      </c>
      <c r="E344" t="s">
        <v>10</v>
      </c>
      <c r="F344" t="s">
        <v>14</v>
      </c>
      <c r="G344" s="2">
        <v>4827.9049500000001</v>
      </c>
      <c r="H344" t="str" cm="1">
        <f t="array" ref="H344">_xlfn.IFS(A344&lt;=30, "Youth", A344&lt;=50, "Adult", A344&gt;50, "Older")</f>
        <v>Youth</v>
      </c>
      <c r="I344" t="str" cm="1">
        <f t="array" ref="I344">_xlfn.IFS(A344&lt;=25,"18-25",A344&lt;=35,"26-35",A344&lt;=45,"36-45",A344&lt;=60,"46-60",A344&gt;60,"60+")</f>
        <v>26-35</v>
      </c>
      <c r="J344" t="str" cm="1">
        <f t="array" ref="J344">_xlfn.IFS(C344&lt;18.5,"Underweight",C344&lt;25,"Normal",C344&lt;30,"Overweight",C344&gt;=30,"Obese")</f>
        <v>Overweight</v>
      </c>
      <c r="K344" t="str" cm="1">
        <f t="array" ref="K344">_xlfn.IFS(G344&lt;10000, "Low", G344&lt;=25000, "Medium", G344&gt;25000, "High")</f>
        <v>Low</v>
      </c>
    </row>
    <row r="345" spans="1:11" x14ac:dyDescent="0.3">
      <c r="A345">
        <v>27</v>
      </c>
      <c r="B345" s="1" t="s">
        <v>8</v>
      </c>
      <c r="C345">
        <v>26.4</v>
      </c>
      <c r="D345">
        <v>0</v>
      </c>
      <c r="E345" t="s">
        <v>10</v>
      </c>
      <c r="F345" t="s">
        <v>14</v>
      </c>
      <c r="G345" s="2">
        <v>4830.63</v>
      </c>
      <c r="H345" t="str" cm="1">
        <f t="array" ref="H345">_xlfn.IFS(A345&lt;=30, "Youth", A345&lt;=50, "Adult", A345&gt;50, "Older")</f>
        <v>Youth</v>
      </c>
      <c r="I345" t="str" cm="1">
        <f t="array" ref="I345">_xlfn.IFS(A345&lt;=25,"18-25",A345&lt;=35,"26-35",A345&lt;=45,"36-45",A345&lt;=60,"46-60",A345&gt;60,"60+")</f>
        <v>26-35</v>
      </c>
      <c r="J345" t="str" cm="1">
        <f t="array" ref="J345">_xlfn.IFS(C345&lt;18.5,"Underweight",C345&lt;25,"Normal",C345&lt;30,"Overweight",C345&gt;=30,"Obese")</f>
        <v>Overweight</v>
      </c>
      <c r="K345" t="str" cm="1">
        <f t="array" ref="K345">_xlfn.IFS(G345&lt;10000, "Low", G345&lt;=25000, "Medium", G345&gt;25000, "High")</f>
        <v>Low</v>
      </c>
    </row>
    <row r="346" spans="1:11" x14ac:dyDescent="0.3">
      <c r="A346">
        <v>27</v>
      </c>
      <c r="B346" s="1" t="s">
        <v>7</v>
      </c>
      <c r="C346">
        <v>26.41</v>
      </c>
      <c r="D346">
        <v>0</v>
      </c>
      <c r="E346" t="s">
        <v>10</v>
      </c>
      <c r="F346" t="s">
        <v>12</v>
      </c>
      <c r="G346" s="2">
        <v>4837.5823</v>
      </c>
      <c r="H346" t="str" cm="1">
        <f t="array" ref="H346">_xlfn.IFS(A346&lt;=30, "Youth", A346&lt;=50, "Adult", A346&gt;50, "Older")</f>
        <v>Youth</v>
      </c>
      <c r="I346" t="str" cm="1">
        <f t="array" ref="I346">_xlfn.IFS(A346&lt;=25,"18-25",A346&lt;=35,"26-35",A346&lt;=45,"36-45",A346&lt;=60,"46-60",A346&gt;60,"60+")</f>
        <v>26-35</v>
      </c>
      <c r="J346" t="str" cm="1">
        <f t="array" ref="J346">_xlfn.IFS(C346&lt;18.5,"Underweight",C346&lt;25,"Normal",C346&lt;30,"Overweight",C346&gt;=30,"Obese")</f>
        <v>Overweight</v>
      </c>
      <c r="K346" t="str" cm="1">
        <f t="array" ref="K346">_xlfn.IFS(G346&lt;10000, "Low", G346&lt;=25000, "Medium", G346&gt;25000, "High")</f>
        <v>Low</v>
      </c>
    </row>
    <row r="347" spans="1:11" x14ac:dyDescent="0.3">
      <c r="A347">
        <v>27</v>
      </c>
      <c r="B347" s="1" t="s">
        <v>7</v>
      </c>
      <c r="C347">
        <v>26.41</v>
      </c>
      <c r="D347">
        <v>0</v>
      </c>
      <c r="E347" t="s">
        <v>10</v>
      </c>
      <c r="F347" t="s">
        <v>12</v>
      </c>
      <c r="G347" s="2">
        <v>4846.9201499999999</v>
      </c>
      <c r="H347" t="str" cm="1">
        <f t="array" ref="H347">_xlfn.IFS(A347&lt;=30, "Youth", A347&lt;=50, "Adult", A347&gt;50, "Older")</f>
        <v>Youth</v>
      </c>
      <c r="I347" t="str" cm="1">
        <f t="array" ref="I347">_xlfn.IFS(A347&lt;=25,"18-25",A347&lt;=35,"26-35",A347&lt;=45,"36-45",A347&lt;=60,"46-60",A347&gt;60,"60+")</f>
        <v>26-35</v>
      </c>
      <c r="J347" t="str" cm="1">
        <f t="array" ref="J347">_xlfn.IFS(C347&lt;18.5,"Underweight",C347&lt;25,"Normal",C347&lt;30,"Overweight",C347&gt;=30,"Obese")</f>
        <v>Overweight</v>
      </c>
      <c r="K347" t="str" cm="1">
        <f t="array" ref="K347">_xlfn.IFS(G347&lt;10000, "Low", G347&lt;=25000, "Medium", G347&gt;25000, "High")</f>
        <v>Low</v>
      </c>
    </row>
    <row r="348" spans="1:11" x14ac:dyDescent="0.3">
      <c r="A348">
        <v>27</v>
      </c>
      <c r="B348" s="1" t="s">
        <v>8</v>
      </c>
      <c r="C348">
        <v>26.41</v>
      </c>
      <c r="D348">
        <v>0</v>
      </c>
      <c r="E348" t="s">
        <v>10</v>
      </c>
      <c r="F348" t="s">
        <v>12</v>
      </c>
      <c r="G348" s="2">
        <v>4877.9810500000003</v>
      </c>
      <c r="H348" t="str" cm="1">
        <f t="array" ref="H348">_xlfn.IFS(A348&lt;=30, "Youth", A348&lt;=50, "Adult", A348&gt;50, "Older")</f>
        <v>Youth</v>
      </c>
      <c r="I348" t="str" cm="1">
        <f t="array" ref="I348">_xlfn.IFS(A348&lt;=25,"18-25",A348&lt;=35,"26-35",A348&lt;=45,"36-45",A348&lt;=60,"46-60",A348&gt;60,"60+")</f>
        <v>26-35</v>
      </c>
      <c r="J348" t="str" cm="1">
        <f t="array" ref="J348">_xlfn.IFS(C348&lt;18.5,"Underweight",C348&lt;25,"Normal",C348&lt;30,"Overweight",C348&gt;=30,"Obese")</f>
        <v>Overweight</v>
      </c>
      <c r="K348" t="str" cm="1">
        <f t="array" ref="K348">_xlfn.IFS(G348&lt;10000, "Low", G348&lt;=25000, "Medium", G348&gt;25000, "High")</f>
        <v>Low</v>
      </c>
    </row>
    <row r="349" spans="1:11" x14ac:dyDescent="0.3">
      <c r="A349">
        <v>27</v>
      </c>
      <c r="B349" s="1" t="s">
        <v>8</v>
      </c>
      <c r="C349">
        <v>26.41</v>
      </c>
      <c r="D349">
        <v>0</v>
      </c>
      <c r="E349" t="s">
        <v>10</v>
      </c>
      <c r="F349" t="s">
        <v>14</v>
      </c>
      <c r="G349" s="2">
        <v>4883.866</v>
      </c>
      <c r="H349" t="str" cm="1">
        <f t="array" ref="H349">_xlfn.IFS(A349&lt;=30, "Youth", A349&lt;=50, "Adult", A349&gt;50, "Older")</f>
        <v>Youth</v>
      </c>
      <c r="I349" t="str" cm="1">
        <f t="array" ref="I349">_xlfn.IFS(A349&lt;=25,"18-25",A349&lt;=35,"26-35",A349&lt;=45,"36-45",A349&lt;=60,"46-60",A349&gt;60,"60+")</f>
        <v>26-35</v>
      </c>
      <c r="J349" t="str" cm="1">
        <f t="array" ref="J349">_xlfn.IFS(C349&lt;18.5,"Underweight",C349&lt;25,"Normal",C349&lt;30,"Overweight",C349&gt;=30,"Obese")</f>
        <v>Overweight</v>
      </c>
      <c r="K349" t="str" cm="1">
        <f t="array" ref="K349">_xlfn.IFS(G349&lt;10000, "Low", G349&lt;=25000, "Medium", G349&gt;25000, "High")</f>
        <v>Low</v>
      </c>
    </row>
    <row r="350" spans="1:11" x14ac:dyDescent="0.3">
      <c r="A350">
        <v>27</v>
      </c>
      <c r="B350" s="1" t="s">
        <v>7</v>
      </c>
      <c r="C350">
        <v>26.41</v>
      </c>
      <c r="D350">
        <v>0</v>
      </c>
      <c r="E350" t="s">
        <v>10</v>
      </c>
      <c r="F350" t="s">
        <v>12</v>
      </c>
      <c r="G350" s="2">
        <v>4889.0367999999999</v>
      </c>
      <c r="H350" t="str" cm="1">
        <f t="array" ref="H350">_xlfn.IFS(A350&lt;=30, "Youth", A350&lt;=50, "Adult", A350&gt;50, "Older")</f>
        <v>Youth</v>
      </c>
      <c r="I350" t="str" cm="1">
        <f t="array" ref="I350">_xlfn.IFS(A350&lt;=25,"18-25",A350&lt;=35,"26-35",A350&lt;=45,"36-45",A350&lt;=60,"46-60",A350&gt;60,"60+")</f>
        <v>26-35</v>
      </c>
      <c r="J350" t="str" cm="1">
        <f t="array" ref="J350">_xlfn.IFS(C350&lt;18.5,"Underweight",C350&lt;25,"Normal",C350&lt;30,"Overweight",C350&gt;=30,"Obese")</f>
        <v>Overweight</v>
      </c>
      <c r="K350" t="str" cm="1">
        <f t="array" ref="K350">_xlfn.IFS(G350&lt;10000, "Low", G350&lt;=25000, "Medium", G350&gt;25000, "High")</f>
        <v>Low</v>
      </c>
    </row>
    <row r="351" spans="1:11" x14ac:dyDescent="0.3">
      <c r="A351">
        <v>27</v>
      </c>
      <c r="B351" s="1" t="s">
        <v>8</v>
      </c>
      <c r="C351">
        <v>26.41</v>
      </c>
      <c r="D351">
        <v>0</v>
      </c>
      <c r="E351" t="s">
        <v>10</v>
      </c>
      <c r="F351" t="s">
        <v>13</v>
      </c>
      <c r="G351" s="2">
        <v>4889.9994999999999</v>
      </c>
      <c r="H351" t="str" cm="1">
        <f t="array" ref="H351">_xlfn.IFS(A351&lt;=30, "Youth", A351&lt;=50, "Adult", A351&gt;50, "Older")</f>
        <v>Youth</v>
      </c>
      <c r="I351" t="str" cm="1">
        <f t="array" ref="I351">_xlfn.IFS(A351&lt;=25,"18-25",A351&lt;=35,"26-35",A351&lt;=45,"36-45",A351&lt;=60,"46-60",A351&gt;60,"60+")</f>
        <v>26-35</v>
      </c>
      <c r="J351" t="str" cm="1">
        <f t="array" ref="J351">_xlfn.IFS(C351&lt;18.5,"Underweight",C351&lt;25,"Normal",C351&lt;30,"Overweight",C351&gt;=30,"Obese")</f>
        <v>Overweight</v>
      </c>
      <c r="K351" t="str" cm="1">
        <f t="array" ref="K351">_xlfn.IFS(G351&lt;10000, "Low", G351&lt;=25000, "Medium", G351&gt;25000, "High")</f>
        <v>Low</v>
      </c>
    </row>
    <row r="352" spans="1:11" x14ac:dyDescent="0.3">
      <c r="A352">
        <v>27</v>
      </c>
      <c r="B352" s="1" t="s">
        <v>7</v>
      </c>
      <c r="C352">
        <v>26.504999999999999</v>
      </c>
      <c r="D352">
        <v>0</v>
      </c>
      <c r="E352" t="s">
        <v>10</v>
      </c>
      <c r="F352" t="s">
        <v>13</v>
      </c>
      <c r="G352" s="2">
        <v>4894.7533000000003</v>
      </c>
      <c r="H352" t="str" cm="1">
        <f t="array" ref="H352">_xlfn.IFS(A352&lt;=30, "Youth", A352&lt;=50, "Adult", A352&gt;50, "Older")</f>
        <v>Youth</v>
      </c>
      <c r="I352" t="str" cm="1">
        <f t="array" ref="I352">_xlfn.IFS(A352&lt;=25,"18-25",A352&lt;=35,"26-35",A352&lt;=45,"36-45",A352&lt;=60,"46-60",A352&gt;60,"60+")</f>
        <v>26-35</v>
      </c>
      <c r="J352" t="str" cm="1">
        <f t="array" ref="J352">_xlfn.IFS(C352&lt;18.5,"Underweight",C352&lt;25,"Normal",C352&lt;30,"Overweight",C352&gt;=30,"Obese")</f>
        <v>Overweight</v>
      </c>
      <c r="K352" t="str" cm="1">
        <f t="array" ref="K352">_xlfn.IFS(G352&lt;10000, "Low", G352&lt;=25000, "Medium", G352&gt;25000, "High")</f>
        <v>Low</v>
      </c>
    </row>
    <row r="353" spans="1:11" x14ac:dyDescent="0.3">
      <c r="A353">
        <v>27</v>
      </c>
      <c r="B353" s="1" t="s">
        <v>7</v>
      </c>
      <c r="C353">
        <v>26.51</v>
      </c>
      <c r="D353">
        <v>0</v>
      </c>
      <c r="E353" t="s">
        <v>10</v>
      </c>
      <c r="F353" t="s">
        <v>11</v>
      </c>
      <c r="G353" s="2">
        <v>4906.4096499999996</v>
      </c>
      <c r="H353" t="str" cm="1">
        <f t="array" ref="H353">_xlfn.IFS(A353&lt;=30, "Youth", A353&lt;=50, "Adult", A353&gt;50, "Older")</f>
        <v>Youth</v>
      </c>
      <c r="I353" t="str" cm="1">
        <f t="array" ref="I353">_xlfn.IFS(A353&lt;=25,"18-25",A353&lt;=35,"26-35",A353&lt;=45,"36-45",A353&lt;=60,"46-60",A353&gt;60,"60+")</f>
        <v>26-35</v>
      </c>
      <c r="J353" t="str" cm="1">
        <f t="array" ref="J353">_xlfn.IFS(C353&lt;18.5,"Underweight",C353&lt;25,"Normal",C353&lt;30,"Overweight",C353&gt;=30,"Obese")</f>
        <v>Overweight</v>
      </c>
      <c r="K353" t="str" cm="1">
        <f t="array" ref="K353">_xlfn.IFS(G353&lt;10000, "Low", G353&lt;=25000, "Medium", G353&gt;25000, "High")</f>
        <v>Low</v>
      </c>
    </row>
    <row r="354" spans="1:11" x14ac:dyDescent="0.3">
      <c r="A354">
        <v>27</v>
      </c>
      <c r="B354" s="1" t="s">
        <v>7</v>
      </c>
      <c r="C354">
        <v>26.51</v>
      </c>
      <c r="D354">
        <v>0</v>
      </c>
      <c r="E354" t="s">
        <v>10</v>
      </c>
      <c r="F354" t="s">
        <v>11</v>
      </c>
      <c r="G354" s="2">
        <v>4915.0598499999996</v>
      </c>
      <c r="H354" t="str" cm="1">
        <f t="array" ref="H354">_xlfn.IFS(A354&lt;=30, "Youth", A354&lt;=50, "Adult", A354&gt;50, "Older")</f>
        <v>Youth</v>
      </c>
      <c r="I354" t="str" cm="1">
        <f t="array" ref="I354">_xlfn.IFS(A354&lt;=25,"18-25",A354&lt;=35,"26-35",A354&lt;=45,"36-45",A354&lt;=60,"46-60",A354&gt;60,"60+")</f>
        <v>26-35</v>
      </c>
      <c r="J354" t="str" cm="1">
        <f t="array" ref="J354">_xlfn.IFS(C354&lt;18.5,"Underweight",C354&lt;25,"Normal",C354&lt;30,"Overweight",C354&gt;=30,"Obese")</f>
        <v>Overweight</v>
      </c>
      <c r="K354" t="str" cm="1">
        <f t="array" ref="K354">_xlfn.IFS(G354&lt;10000, "Low", G354&lt;=25000, "Medium", G354&gt;25000, "High")</f>
        <v>Low</v>
      </c>
    </row>
    <row r="355" spans="1:11" x14ac:dyDescent="0.3">
      <c r="A355">
        <v>27</v>
      </c>
      <c r="B355" s="1" t="s">
        <v>8</v>
      </c>
      <c r="C355">
        <v>26.6</v>
      </c>
      <c r="D355">
        <v>0</v>
      </c>
      <c r="E355" t="s">
        <v>10</v>
      </c>
      <c r="F355" t="s">
        <v>14</v>
      </c>
      <c r="G355" s="2">
        <v>4922.9159</v>
      </c>
      <c r="H355" t="str" cm="1">
        <f t="array" ref="H355">_xlfn.IFS(A355&lt;=30, "Youth", A355&lt;=50, "Adult", A355&gt;50, "Older")</f>
        <v>Youth</v>
      </c>
      <c r="I355" t="str" cm="1">
        <f t="array" ref="I355">_xlfn.IFS(A355&lt;=25,"18-25",A355&lt;=35,"26-35",A355&lt;=45,"36-45",A355&lt;=60,"46-60",A355&gt;60,"60+")</f>
        <v>26-35</v>
      </c>
      <c r="J355" t="str" cm="1">
        <f t="array" ref="J355">_xlfn.IFS(C355&lt;18.5,"Underweight",C355&lt;25,"Normal",C355&lt;30,"Overweight",C355&gt;=30,"Obese")</f>
        <v>Overweight</v>
      </c>
      <c r="K355" t="str" cm="1">
        <f t="array" ref="K355">_xlfn.IFS(G355&lt;10000, "Low", G355&lt;=25000, "Medium", G355&gt;25000, "High")</f>
        <v>Low</v>
      </c>
    </row>
    <row r="356" spans="1:11" x14ac:dyDescent="0.3">
      <c r="A356">
        <v>27</v>
      </c>
      <c r="B356" s="1" t="s">
        <v>7</v>
      </c>
      <c r="C356">
        <v>26.6</v>
      </c>
      <c r="D356">
        <v>0</v>
      </c>
      <c r="E356" t="s">
        <v>10</v>
      </c>
      <c r="F356" t="s">
        <v>12</v>
      </c>
      <c r="G356" s="2">
        <v>4931.6469999999999</v>
      </c>
      <c r="H356" t="str" cm="1">
        <f t="array" ref="H356">_xlfn.IFS(A356&lt;=30, "Youth", A356&lt;=50, "Adult", A356&gt;50, "Older")</f>
        <v>Youth</v>
      </c>
      <c r="I356" t="str" cm="1">
        <f t="array" ref="I356">_xlfn.IFS(A356&lt;=25,"18-25",A356&lt;=35,"26-35",A356&lt;=45,"36-45",A356&lt;=60,"46-60",A356&gt;60,"60+")</f>
        <v>26-35</v>
      </c>
      <c r="J356" t="str" cm="1">
        <f t="array" ref="J356">_xlfn.IFS(C356&lt;18.5,"Underweight",C356&lt;25,"Normal",C356&lt;30,"Overweight",C356&gt;=30,"Obese")</f>
        <v>Overweight</v>
      </c>
      <c r="K356" t="str" cm="1">
        <f t="array" ref="K356">_xlfn.IFS(G356&lt;10000, "Low", G356&lt;=25000, "Medium", G356&gt;25000, "High")</f>
        <v>Low</v>
      </c>
    </row>
    <row r="357" spans="1:11" x14ac:dyDescent="0.3">
      <c r="A357">
        <v>27</v>
      </c>
      <c r="B357" s="1" t="s">
        <v>8</v>
      </c>
      <c r="C357">
        <v>26.6</v>
      </c>
      <c r="D357">
        <v>0</v>
      </c>
      <c r="E357" t="s">
        <v>10</v>
      </c>
      <c r="F357" t="s">
        <v>11</v>
      </c>
      <c r="G357" s="2">
        <v>4934.7049999999999</v>
      </c>
      <c r="H357" t="str" cm="1">
        <f t="array" ref="H357">_xlfn.IFS(A357&lt;=30, "Youth", A357&lt;=50, "Adult", A357&gt;50, "Older")</f>
        <v>Youth</v>
      </c>
      <c r="I357" t="str" cm="1">
        <f t="array" ref="I357">_xlfn.IFS(A357&lt;=25,"18-25",A357&lt;=35,"26-35",A357&lt;=45,"36-45",A357&lt;=60,"46-60",A357&gt;60,"60+")</f>
        <v>26-35</v>
      </c>
      <c r="J357" t="str" cm="1">
        <f t="array" ref="J357">_xlfn.IFS(C357&lt;18.5,"Underweight",C357&lt;25,"Normal",C357&lt;30,"Overweight",C357&gt;=30,"Obese")</f>
        <v>Overweight</v>
      </c>
      <c r="K357" t="str" cm="1">
        <f t="array" ref="K357">_xlfn.IFS(G357&lt;10000, "Low", G357&lt;=25000, "Medium", G357&gt;25000, "High")</f>
        <v>Low</v>
      </c>
    </row>
    <row r="358" spans="1:11" x14ac:dyDescent="0.3">
      <c r="A358">
        <v>27</v>
      </c>
      <c r="B358" s="1" t="s">
        <v>8</v>
      </c>
      <c r="C358">
        <v>26.6</v>
      </c>
      <c r="D358">
        <v>0</v>
      </c>
      <c r="E358" t="s">
        <v>10</v>
      </c>
      <c r="F358" t="s">
        <v>12</v>
      </c>
      <c r="G358" s="2">
        <v>4949.7587000000003</v>
      </c>
      <c r="H358" t="str" cm="1">
        <f t="array" ref="H358">_xlfn.IFS(A358&lt;=30, "Youth", A358&lt;=50, "Adult", A358&gt;50, "Older")</f>
        <v>Youth</v>
      </c>
      <c r="I358" t="str" cm="1">
        <f t="array" ref="I358">_xlfn.IFS(A358&lt;=25,"18-25",A358&lt;=35,"26-35",A358&lt;=45,"36-45",A358&lt;=60,"46-60",A358&gt;60,"60+")</f>
        <v>26-35</v>
      </c>
      <c r="J358" t="str" cm="1">
        <f t="array" ref="J358">_xlfn.IFS(C358&lt;18.5,"Underweight",C358&lt;25,"Normal",C358&lt;30,"Overweight",C358&gt;=30,"Obese")</f>
        <v>Overweight</v>
      </c>
      <c r="K358" t="str" cm="1">
        <f t="array" ref="K358">_xlfn.IFS(G358&lt;10000, "Low", G358&lt;=25000, "Medium", G358&gt;25000, "High")</f>
        <v>Low</v>
      </c>
    </row>
    <row r="359" spans="1:11" x14ac:dyDescent="0.3">
      <c r="A359">
        <v>27</v>
      </c>
      <c r="B359" s="1" t="s">
        <v>8</v>
      </c>
      <c r="C359">
        <v>26.6</v>
      </c>
      <c r="D359">
        <v>0</v>
      </c>
      <c r="E359" t="s">
        <v>10</v>
      </c>
      <c r="F359" t="s">
        <v>13</v>
      </c>
      <c r="G359" s="2">
        <v>4992.3764000000001</v>
      </c>
      <c r="H359" t="str" cm="1">
        <f t="array" ref="H359">_xlfn.IFS(A359&lt;=30, "Youth", A359&lt;=50, "Adult", A359&gt;50, "Older")</f>
        <v>Youth</v>
      </c>
      <c r="I359" t="str" cm="1">
        <f t="array" ref="I359">_xlfn.IFS(A359&lt;=25,"18-25",A359&lt;=35,"26-35",A359&lt;=45,"36-45",A359&lt;=60,"46-60",A359&gt;60,"60+")</f>
        <v>26-35</v>
      </c>
      <c r="J359" t="str" cm="1">
        <f t="array" ref="J359">_xlfn.IFS(C359&lt;18.5,"Underweight",C359&lt;25,"Normal",C359&lt;30,"Overweight",C359&gt;=30,"Obese")</f>
        <v>Overweight</v>
      </c>
      <c r="K359" t="str" cm="1">
        <f t="array" ref="K359">_xlfn.IFS(G359&lt;10000, "Low", G359&lt;=25000, "Medium", G359&gt;25000, "High")</f>
        <v>Low</v>
      </c>
    </row>
    <row r="360" spans="1:11" x14ac:dyDescent="0.3">
      <c r="A360">
        <v>27</v>
      </c>
      <c r="B360" s="1" t="s">
        <v>8</v>
      </c>
      <c r="C360">
        <v>26.6</v>
      </c>
      <c r="D360">
        <v>0</v>
      </c>
      <c r="E360" t="s">
        <v>10</v>
      </c>
      <c r="F360" t="s">
        <v>12</v>
      </c>
      <c r="G360" s="2">
        <v>5002.7826999999997</v>
      </c>
      <c r="H360" t="str" cm="1">
        <f t="array" ref="H360">_xlfn.IFS(A360&lt;=30, "Youth", A360&lt;=50, "Adult", A360&gt;50, "Older")</f>
        <v>Youth</v>
      </c>
      <c r="I360" t="str" cm="1">
        <f t="array" ref="I360">_xlfn.IFS(A360&lt;=25,"18-25",A360&lt;=35,"26-35",A360&lt;=45,"36-45",A360&lt;=60,"46-60",A360&gt;60,"60+")</f>
        <v>26-35</v>
      </c>
      <c r="J360" t="str" cm="1">
        <f t="array" ref="J360">_xlfn.IFS(C360&lt;18.5,"Underweight",C360&lt;25,"Normal",C360&lt;30,"Overweight",C360&gt;=30,"Obese")</f>
        <v>Overweight</v>
      </c>
      <c r="K360" t="str" cm="1">
        <f t="array" ref="K360">_xlfn.IFS(G360&lt;10000, "Low", G360&lt;=25000, "Medium", G360&gt;25000, "High")</f>
        <v>Low</v>
      </c>
    </row>
    <row r="361" spans="1:11" x14ac:dyDescent="0.3">
      <c r="A361">
        <v>27</v>
      </c>
      <c r="B361" s="1" t="s">
        <v>7</v>
      </c>
      <c r="C361">
        <v>26.62</v>
      </c>
      <c r="D361">
        <v>0</v>
      </c>
      <c r="E361" t="s">
        <v>10</v>
      </c>
      <c r="F361" t="s">
        <v>12</v>
      </c>
      <c r="G361" s="2">
        <v>5003.8530000000001</v>
      </c>
      <c r="H361" t="str" cm="1">
        <f t="array" ref="H361">_xlfn.IFS(A361&lt;=30, "Youth", A361&lt;=50, "Adult", A361&gt;50, "Older")</f>
        <v>Youth</v>
      </c>
      <c r="I361" t="str" cm="1">
        <f t="array" ref="I361">_xlfn.IFS(A361&lt;=25,"18-25",A361&lt;=35,"26-35",A361&lt;=45,"36-45",A361&lt;=60,"46-60",A361&gt;60,"60+")</f>
        <v>26-35</v>
      </c>
      <c r="J361" t="str" cm="1">
        <f t="array" ref="J361">_xlfn.IFS(C361&lt;18.5,"Underweight",C361&lt;25,"Normal",C361&lt;30,"Overweight",C361&gt;=30,"Obese")</f>
        <v>Overweight</v>
      </c>
      <c r="K361" t="str" cm="1">
        <f t="array" ref="K361">_xlfn.IFS(G361&lt;10000, "Low", G361&lt;=25000, "Medium", G361&gt;25000, "High")</f>
        <v>Low</v>
      </c>
    </row>
    <row r="362" spans="1:11" x14ac:dyDescent="0.3">
      <c r="A362">
        <v>27</v>
      </c>
      <c r="B362" s="1" t="s">
        <v>7</v>
      </c>
      <c r="C362">
        <v>26.62</v>
      </c>
      <c r="D362">
        <v>0</v>
      </c>
      <c r="E362" t="s">
        <v>10</v>
      </c>
      <c r="F362" t="s">
        <v>14</v>
      </c>
      <c r="G362" s="2">
        <v>5012.4709999999995</v>
      </c>
      <c r="H362" t="str" cm="1">
        <f t="array" ref="H362">_xlfn.IFS(A362&lt;=30, "Youth", A362&lt;=50, "Adult", A362&gt;50, "Older")</f>
        <v>Youth</v>
      </c>
      <c r="I362" t="str" cm="1">
        <f t="array" ref="I362">_xlfn.IFS(A362&lt;=25,"18-25",A362&lt;=35,"26-35",A362&lt;=45,"36-45",A362&lt;=60,"46-60",A362&gt;60,"60+")</f>
        <v>26-35</v>
      </c>
      <c r="J362" t="str" cm="1">
        <f t="array" ref="J362">_xlfn.IFS(C362&lt;18.5,"Underweight",C362&lt;25,"Normal",C362&lt;30,"Overweight",C362&gt;=30,"Obese")</f>
        <v>Overweight</v>
      </c>
      <c r="K362" t="str" cm="1">
        <f t="array" ref="K362">_xlfn.IFS(G362&lt;10000, "Low", G362&lt;=25000, "Medium", G362&gt;25000, "High")</f>
        <v>Low</v>
      </c>
    </row>
    <row r="363" spans="1:11" x14ac:dyDescent="0.3">
      <c r="A363">
        <v>28</v>
      </c>
      <c r="B363" s="1" t="s">
        <v>8</v>
      </c>
      <c r="C363">
        <v>26.695</v>
      </c>
      <c r="D363">
        <v>0</v>
      </c>
      <c r="E363" t="s">
        <v>10</v>
      </c>
      <c r="F363" t="s">
        <v>11</v>
      </c>
      <c r="G363" s="2">
        <v>5028.1466</v>
      </c>
      <c r="H363" t="str" cm="1">
        <f t="array" ref="H363">_xlfn.IFS(A363&lt;=30, "Youth", A363&lt;=50, "Adult", A363&gt;50, "Older")</f>
        <v>Youth</v>
      </c>
      <c r="I363" t="str" cm="1">
        <f t="array" ref="I363">_xlfn.IFS(A363&lt;=25,"18-25",A363&lt;=35,"26-35",A363&lt;=45,"36-45",A363&lt;=60,"46-60",A363&gt;60,"60+")</f>
        <v>26-35</v>
      </c>
      <c r="J363" t="str" cm="1">
        <f t="array" ref="J363">_xlfn.IFS(C363&lt;18.5,"Underweight",C363&lt;25,"Normal",C363&lt;30,"Overweight",C363&gt;=30,"Obese")</f>
        <v>Overweight</v>
      </c>
      <c r="K363" t="str" cm="1">
        <f t="array" ref="K363">_xlfn.IFS(G363&lt;10000, "Low", G363&lt;=25000, "Medium", G363&gt;25000, "High")</f>
        <v>Low</v>
      </c>
    </row>
    <row r="364" spans="1:11" x14ac:dyDescent="0.3">
      <c r="A364">
        <v>28</v>
      </c>
      <c r="B364" s="1" t="s">
        <v>7</v>
      </c>
      <c r="C364">
        <v>26.695</v>
      </c>
      <c r="D364">
        <v>0</v>
      </c>
      <c r="E364" t="s">
        <v>9</v>
      </c>
      <c r="F364" t="s">
        <v>11</v>
      </c>
      <c r="G364" s="2">
        <v>5031.26955</v>
      </c>
      <c r="H364" t="str" cm="1">
        <f t="array" ref="H364">_xlfn.IFS(A364&lt;=30, "Youth", A364&lt;=50, "Adult", A364&gt;50, "Older")</f>
        <v>Youth</v>
      </c>
      <c r="I364" t="str" cm="1">
        <f t="array" ref="I364">_xlfn.IFS(A364&lt;=25,"18-25",A364&lt;=35,"26-35",A364&lt;=45,"36-45",A364&lt;=60,"46-60",A364&gt;60,"60+")</f>
        <v>26-35</v>
      </c>
      <c r="J364" t="str" cm="1">
        <f t="array" ref="J364">_xlfn.IFS(C364&lt;18.5,"Underweight",C364&lt;25,"Normal",C364&lt;30,"Overweight",C364&gt;=30,"Obese")</f>
        <v>Overweight</v>
      </c>
      <c r="K364" t="str" cm="1">
        <f t="array" ref="K364">_xlfn.IFS(G364&lt;10000, "Low", G364&lt;=25000, "Medium", G364&gt;25000, "High")</f>
        <v>Low</v>
      </c>
    </row>
    <row r="365" spans="1:11" x14ac:dyDescent="0.3">
      <c r="A365">
        <v>28</v>
      </c>
      <c r="B365" s="1" t="s">
        <v>7</v>
      </c>
      <c r="C365">
        <v>26.695</v>
      </c>
      <c r="D365">
        <v>0</v>
      </c>
      <c r="E365" t="s">
        <v>10</v>
      </c>
      <c r="F365" t="s">
        <v>11</v>
      </c>
      <c r="G365" s="2">
        <v>5080.0959999999995</v>
      </c>
      <c r="H365" t="str" cm="1">
        <f t="array" ref="H365">_xlfn.IFS(A365&lt;=30, "Youth", A365&lt;=50, "Adult", A365&gt;50, "Older")</f>
        <v>Youth</v>
      </c>
      <c r="I365" t="str" cm="1">
        <f t="array" ref="I365">_xlfn.IFS(A365&lt;=25,"18-25",A365&lt;=35,"26-35",A365&lt;=45,"36-45",A365&lt;=60,"46-60",A365&gt;60,"60+")</f>
        <v>26-35</v>
      </c>
      <c r="J365" t="str" cm="1">
        <f t="array" ref="J365">_xlfn.IFS(C365&lt;18.5,"Underweight",C365&lt;25,"Normal",C365&lt;30,"Overweight",C365&gt;=30,"Obese")</f>
        <v>Overweight</v>
      </c>
      <c r="K365" t="str" cm="1">
        <f t="array" ref="K365">_xlfn.IFS(G365&lt;10000, "Low", G365&lt;=25000, "Medium", G365&gt;25000, "High")</f>
        <v>Low</v>
      </c>
    </row>
    <row r="366" spans="1:11" x14ac:dyDescent="0.3">
      <c r="A366">
        <v>28</v>
      </c>
      <c r="B366" s="1" t="s">
        <v>7</v>
      </c>
      <c r="C366">
        <v>26.695</v>
      </c>
      <c r="D366">
        <v>0</v>
      </c>
      <c r="E366" t="s">
        <v>10</v>
      </c>
      <c r="F366" t="s">
        <v>12</v>
      </c>
      <c r="G366" s="2">
        <v>5116.5003999999999</v>
      </c>
      <c r="H366" t="str" cm="1">
        <f t="array" ref="H366">_xlfn.IFS(A366&lt;=30, "Youth", A366&lt;=50, "Adult", A366&gt;50, "Older")</f>
        <v>Youth</v>
      </c>
      <c r="I366" t="str" cm="1">
        <f t="array" ref="I366">_xlfn.IFS(A366&lt;=25,"18-25",A366&lt;=35,"26-35",A366&lt;=45,"36-45",A366&lt;=60,"46-60",A366&gt;60,"60+")</f>
        <v>26-35</v>
      </c>
      <c r="J366" t="str" cm="1">
        <f t="array" ref="J366">_xlfn.IFS(C366&lt;18.5,"Underweight",C366&lt;25,"Normal",C366&lt;30,"Overweight",C366&gt;=30,"Obese")</f>
        <v>Overweight</v>
      </c>
      <c r="K366" t="str" cm="1">
        <f t="array" ref="K366">_xlfn.IFS(G366&lt;10000, "Low", G366&lt;=25000, "Medium", G366&gt;25000, "High")</f>
        <v>Low</v>
      </c>
    </row>
    <row r="367" spans="1:11" x14ac:dyDescent="0.3">
      <c r="A367">
        <v>28</v>
      </c>
      <c r="B367" s="1" t="s">
        <v>7</v>
      </c>
      <c r="C367">
        <v>26.695</v>
      </c>
      <c r="D367">
        <v>0</v>
      </c>
      <c r="E367" t="s">
        <v>10</v>
      </c>
      <c r="F367" t="s">
        <v>14</v>
      </c>
      <c r="G367" s="2">
        <v>5124.1886999999997</v>
      </c>
      <c r="H367" t="str" cm="1">
        <f t="array" ref="H367">_xlfn.IFS(A367&lt;=30, "Youth", A367&lt;=50, "Adult", A367&gt;50, "Older")</f>
        <v>Youth</v>
      </c>
      <c r="I367" t="str" cm="1">
        <f t="array" ref="I367">_xlfn.IFS(A367&lt;=25,"18-25",A367&lt;=35,"26-35",A367&lt;=45,"36-45",A367&lt;=60,"46-60",A367&gt;60,"60+")</f>
        <v>26-35</v>
      </c>
      <c r="J367" t="str" cm="1">
        <f t="array" ref="J367">_xlfn.IFS(C367&lt;18.5,"Underweight",C367&lt;25,"Normal",C367&lt;30,"Overweight",C367&gt;=30,"Obese")</f>
        <v>Overweight</v>
      </c>
      <c r="K367" t="str" cm="1">
        <f t="array" ref="K367">_xlfn.IFS(G367&lt;10000, "Low", G367&lt;=25000, "Medium", G367&gt;25000, "High")</f>
        <v>Low</v>
      </c>
    </row>
    <row r="368" spans="1:11" x14ac:dyDescent="0.3">
      <c r="A368">
        <v>28</v>
      </c>
      <c r="B368" s="1" t="s">
        <v>7</v>
      </c>
      <c r="C368">
        <v>26.7</v>
      </c>
      <c r="D368">
        <v>0</v>
      </c>
      <c r="E368" t="s">
        <v>10</v>
      </c>
      <c r="F368" t="s">
        <v>14</v>
      </c>
      <c r="G368" s="2">
        <v>5125.2156999999997</v>
      </c>
      <c r="H368" t="str" cm="1">
        <f t="array" ref="H368">_xlfn.IFS(A368&lt;=30, "Youth", A368&lt;=50, "Adult", A368&gt;50, "Older")</f>
        <v>Youth</v>
      </c>
      <c r="I368" t="str" cm="1">
        <f t="array" ref="I368">_xlfn.IFS(A368&lt;=25,"18-25",A368&lt;=35,"26-35",A368&lt;=45,"36-45",A368&lt;=60,"46-60",A368&gt;60,"60+")</f>
        <v>26-35</v>
      </c>
      <c r="J368" t="str" cm="1">
        <f t="array" ref="J368">_xlfn.IFS(C368&lt;18.5,"Underweight",C368&lt;25,"Normal",C368&lt;30,"Overweight",C368&gt;=30,"Obese")</f>
        <v>Overweight</v>
      </c>
      <c r="K368" t="str" cm="1">
        <f t="array" ref="K368">_xlfn.IFS(G368&lt;10000, "Low", G368&lt;=25000, "Medium", G368&gt;25000, "High")</f>
        <v>Low</v>
      </c>
    </row>
    <row r="369" spans="1:11" x14ac:dyDescent="0.3">
      <c r="A369">
        <v>28</v>
      </c>
      <c r="B369" s="1" t="s">
        <v>7</v>
      </c>
      <c r="C369">
        <v>26.7</v>
      </c>
      <c r="D369">
        <v>0</v>
      </c>
      <c r="E369" t="s">
        <v>10</v>
      </c>
      <c r="F369" t="s">
        <v>13</v>
      </c>
      <c r="G369" s="2">
        <v>5138.2566999999999</v>
      </c>
      <c r="H369" t="str" cm="1">
        <f t="array" ref="H369">_xlfn.IFS(A369&lt;=30, "Youth", A369&lt;=50, "Adult", A369&gt;50, "Older")</f>
        <v>Youth</v>
      </c>
      <c r="I369" t="str" cm="1">
        <f t="array" ref="I369">_xlfn.IFS(A369&lt;=25,"18-25",A369&lt;=35,"26-35",A369&lt;=45,"36-45",A369&lt;=60,"46-60",A369&gt;60,"60+")</f>
        <v>26-35</v>
      </c>
      <c r="J369" t="str" cm="1">
        <f t="array" ref="J369">_xlfn.IFS(C369&lt;18.5,"Underweight",C369&lt;25,"Normal",C369&lt;30,"Overweight",C369&gt;=30,"Obese")</f>
        <v>Overweight</v>
      </c>
      <c r="K369" t="str" cm="1">
        <f t="array" ref="K369">_xlfn.IFS(G369&lt;10000, "Low", G369&lt;=25000, "Medium", G369&gt;25000, "High")</f>
        <v>Low</v>
      </c>
    </row>
    <row r="370" spans="1:11" x14ac:dyDescent="0.3">
      <c r="A370">
        <v>28</v>
      </c>
      <c r="B370" s="1" t="s">
        <v>8</v>
      </c>
      <c r="C370">
        <v>26.73</v>
      </c>
      <c r="D370">
        <v>0</v>
      </c>
      <c r="E370" t="s">
        <v>10</v>
      </c>
      <c r="F370" t="s">
        <v>13</v>
      </c>
      <c r="G370" s="2">
        <v>5148.5526</v>
      </c>
      <c r="H370" t="str" cm="1">
        <f t="array" ref="H370">_xlfn.IFS(A370&lt;=30, "Youth", A370&lt;=50, "Adult", A370&gt;50, "Older")</f>
        <v>Youth</v>
      </c>
      <c r="I370" t="str" cm="1">
        <f t="array" ref="I370">_xlfn.IFS(A370&lt;=25,"18-25",A370&lt;=35,"26-35",A370&lt;=45,"36-45",A370&lt;=60,"46-60",A370&gt;60,"60+")</f>
        <v>26-35</v>
      </c>
      <c r="J370" t="str" cm="1">
        <f t="array" ref="J370">_xlfn.IFS(C370&lt;18.5,"Underweight",C370&lt;25,"Normal",C370&lt;30,"Overweight",C370&gt;=30,"Obese")</f>
        <v>Overweight</v>
      </c>
      <c r="K370" t="str" cm="1">
        <f t="array" ref="K370">_xlfn.IFS(G370&lt;10000, "Low", G370&lt;=25000, "Medium", G370&gt;25000, "High")</f>
        <v>Low</v>
      </c>
    </row>
    <row r="371" spans="1:11" x14ac:dyDescent="0.3">
      <c r="A371">
        <v>28</v>
      </c>
      <c r="B371" s="1" t="s">
        <v>8</v>
      </c>
      <c r="C371">
        <v>26.73</v>
      </c>
      <c r="D371">
        <v>0</v>
      </c>
      <c r="E371" t="s">
        <v>10</v>
      </c>
      <c r="F371" t="s">
        <v>14</v>
      </c>
      <c r="G371" s="2">
        <v>5152.134</v>
      </c>
      <c r="H371" t="str" cm="1">
        <f t="array" ref="H371">_xlfn.IFS(A371&lt;=30, "Youth", A371&lt;=50, "Adult", A371&gt;50, "Older")</f>
        <v>Youth</v>
      </c>
      <c r="I371" t="str" cm="1">
        <f t="array" ref="I371">_xlfn.IFS(A371&lt;=25,"18-25",A371&lt;=35,"26-35",A371&lt;=45,"36-45",A371&lt;=60,"46-60",A371&gt;60,"60+")</f>
        <v>26-35</v>
      </c>
      <c r="J371" t="str" cm="1">
        <f t="array" ref="J371">_xlfn.IFS(C371&lt;18.5,"Underweight",C371&lt;25,"Normal",C371&lt;30,"Overweight",C371&gt;=30,"Obese")</f>
        <v>Overweight</v>
      </c>
      <c r="K371" t="str" cm="1">
        <f t="array" ref="K371">_xlfn.IFS(G371&lt;10000, "Low", G371&lt;=25000, "Medium", G371&gt;25000, "High")</f>
        <v>Low</v>
      </c>
    </row>
    <row r="372" spans="1:11" x14ac:dyDescent="0.3">
      <c r="A372">
        <v>28</v>
      </c>
      <c r="B372" s="1" t="s">
        <v>7</v>
      </c>
      <c r="C372">
        <v>26.79</v>
      </c>
      <c r="D372">
        <v>0</v>
      </c>
      <c r="E372" t="s">
        <v>10</v>
      </c>
      <c r="F372" t="s">
        <v>13</v>
      </c>
      <c r="G372" s="2">
        <v>5209.5788499999999</v>
      </c>
      <c r="H372" t="str" cm="1">
        <f t="array" ref="H372">_xlfn.IFS(A372&lt;=30, "Youth", A372&lt;=50, "Adult", A372&gt;50, "Older")</f>
        <v>Youth</v>
      </c>
      <c r="I372" t="str" cm="1">
        <f t="array" ref="I372">_xlfn.IFS(A372&lt;=25,"18-25",A372&lt;=35,"26-35",A372&lt;=45,"36-45",A372&lt;=60,"46-60",A372&gt;60,"60+")</f>
        <v>26-35</v>
      </c>
      <c r="J372" t="str" cm="1">
        <f t="array" ref="J372">_xlfn.IFS(C372&lt;18.5,"Underweight",C372&lt;25,"Normal",C372&lt;30,"Overweight",C372&gt;=30,"Obese")</f>
        <v>Overweight</v>
      </c>
      <c r="K372" t="str" cm="1">
        <f t="array" ref="K372">_xlfn.IFS(G372&lt;10000, "Low", G372&lt;=25000, "Medium", G372&gt;25000, "High")</f>
        <v>Low</v>
      </c>
    </row>
    <row r="373" spans="1:11" x14ac:dyDescent="0.3">
      <c r="A373">
        <v>28</v>
      </c>
      <c r="B373" s="1" t="s">
        <v>7</v>
      </c>
      <c r="C373">
        <v>26.79</v>
      </c>
      <c r="D373">
        <v>0</v>
      </c>
      <c r="E373" t="s">
        <v>10</v>
      </c>
      <c r="F373" t="s">
        <v>14</v>
      </c>
      <c r="G373" s="2">
        <v>5227.9887500000004</v>
      </c>
      <c r="H373" t="str" cm="1">
        <f t="array" ref="H373">_xlfn.IFS(A373&lt;=30, "Youth", A373&lt;=50, "Adult", A373&gt;50, "Older")</f>
        <v>Youth</v>
      </c>
      <c r="I373" t="str" cm="1">
        <f t="array" ref="I373">_xlfn.IFS(A373&lt;=25,"18-25",A373&lt;=35,"26-35",A373&lt;=45,"36-45",A373&lt;=60,"46-60",A373&gt;60,"60+")</f>
        <v>26-35</v>
      </c>
      <c r="J373" t="str" cm="1">
        <f t="array" ref="J373">_xlfn.IFS(C373&lt;18.5,"Underweight",C373&lt;25,"Normal",C373&lt;30,"Overweight",C373&gt;=30,"Obese")</f>
        <v>Overweight</v>
      </c>
      <c r="K373" t="str" cm="1">
        <f t="array" ref="K373">_xlfn.IFS(G373&lt;10000, "Low", G373&lt;=25000, "Medium", G373&gt;25000, "High")</f>
        <v>Low</v>
      </c>
    </row>
    <row r="374" spans="1:11" x14ac:dyDescent="0.3">
      <c r="A374">
        <v>28</v>
      </c>
      <c r="B374" s="1" t="s">
        <v>7</v>
      </c>
      <c r="C374">
        <v>26.8</v>
      </c>
      <c r="D374">
        <v>0</v>
      </c>
      <c r="E374" t="s">
        <v>10</v>
      </c>
      <c r="F374" t="s">
        <v>14</v>
      </c>
      <c r="G374" s="2">
        <v>5240.7650000000003</v>
      </c>
      <c r="H374" t="str" cm="1">
        <f t="array" ref="H374">_xlfn.IFS(A374&lt;=30, "Youth", A374&lt;=50, "Adult", A374&gt;50, "Older")</f>
        <v>Youth</v>
      </c>
      <c r="I374" t="str" cm="1">
        <f t="array" ref="I374">_xlfn.IFS(A374&lt;=25,"18-25",A374&lt;=35,"26-35",A374&lt;=45,"36-45",A374&lt;=60,"46-60",A374&gt;60,"60+")</f>
        <v>26-35</v>
      </c>
      <c r="J374" t="str" cm="1">
        <f t="array" ref="J374">_xlfn.IFS(C374&lt;18.5,"Underweight",C374&lt;25,"Normal",C374&lt;30,"Overweight",C374&gt;=30,"Obese")</f>
        <v>Overweight</v>
      </c>
      <c r="K374" t="str" cm="1">
        <f t="array" ref="K374">_xlfn.IFS(G374&lt;10000, "Low", G374&lt;=25000, "Medium", G374&gt;25000, "High")</f>
        <v>Low</v>
      </c>
    </row>
    <row r="375" spans="1:11" x14ac:dyDescent="0.3">
      <c r="A375">
        <v>28</v>
      </c>
      <c r="B375" s="1" t="s">
        <v>8</v>
      </c>
      <c r="C375">
        <v>26.8</v>
      </c>
      <c r="D375">
        <v>0</v>
      </c>
      <c r="E375" t="s">
        <v>9</v>
      </c>
      <c r="F375" t="s">
        <v>11</v>
      </c>
      <c r="G375" s="2">
        <v>5245.2268999999997</v>
      </c>
      <c r="H375" t="str" cm="1">
        <f t="array" ref="H375">_xlfn.IFS(A375&lt;=30, "Youth", A375&lt;=50, "Adult", A375&gt;50, "Older")</f>
        <v>Youth</v>
      </c>
      <c r="I375" t="str" cm="1">
        <f t="array" ref="I375">_xlfn.IFS(A375&lt;=25,"18-25",A375&lt;=35,"26-35",A375&lt;=45,"36-45",A375&lt;=60,"46-60",A375&gt;60,"60+")</f>
        <v>26-35</v>
      </c>
      <c r="J375" t="str" cm="1">
        <f t="array" ref="J375">_xlfn.IFS(C375&lt;18.5,"Underweight",C375&lt;25,"Normal",C375&lt;30,"Overweight",C375&gt;=30,"Obese")</f>
        <v>Overweight</v>
      </c>
      <c r="K375" t="str" cm="1">
        <f t="array" ref="K375">_xlfn.IFS(G375&lt;10000, "Low", G375&lt;=25000, "Medium", G375&gt;25000, "High")</f>
        <v>Low</v>
      </c>
    </row>
    <row r="376" spans="1:11" x14ac:dyDescent="0.3">
      <c r="A376">
        <v>28</v>
      </c>
      <c r="B376" s="1" t="s">
        <v>8</v>
      </c>
      <c r="C376">
        <v>26.84</v>
      </c>
      <c r="D376">
        <v>0</v>
      </c>
      <c r="E376" t="s">
        <v>10</v>
      </c>
      <c r="F376" t="s">
        <v>12</v>
      </c>
      <c r="G376" s="2">
        <v>5246.0469999999996</v>
      </c>
      <c r="H376" t="str" cm="1">
        <f t="array" ref="H376">_xlfn.IFS(A376&lt;=30, "Youth", A376&lt;=50, "Adult", A376&gt;50, "Older")</f>
        <v>Youth</v>
      </c>
      <c r="I376" t="str" cm="1">
        <f t="array" ref="I376">_xlfn.IFS(A376&lt;=25,"18-25",A376&lt;=35,"26-35",A376&lt;=45,"36-45",A376&lt;=60,"46-60",A376&gt;60,"60+")</f>
        <v>26-35</v>
      </c>
      <c r="J376" t="str" cm="1">
        <f t="array" ref="J376">_xlfn.IFS(C376&lt;18.5,"Underweight",C376&lt;25,"Normal",C376&lt;30,"Overweight",C376&gt;=30,"Obese")</f>
        <v>Overweight</v>
      </c>
      <c r="K376" t="str" cm="1">
        <f t="array" ref="K376">_xlfn.IFS(G376&lt;10000, "Low", G376&lt;=25000, "Medium", G376&gt;25000, "High")</f>
        <v>Low</v>
      </c>
    </row>
    <row r="377" spans="1:11" x14ac:dyDescent="0.3">
      <c r="A377">
        <v>28</v>
      </c>
      <c r="B377" s="1" t="s">
        <v>7</v>
      </c>
      <c r="C377">
        <v>26.84</v>
      </c>
      <c r="D377">
        <v>0</v>
      </c>
      <c r="E377" t="s">
        <v>9</v>
      </c>
      <c r="F377" t="s">
        <v>13</v>
      </c>
      <c r="G377" s="2">
        <v>5253.5240000000003</v>
      </c>
      <c r="H377" t="str" cm="1">
        <f t="array" ref="H377">_xlfn.IFS(A377&lt;=30, "Youth", A377&lt;=50, "Adult", A377&gt;50, "Older")</f>
        <v>Youth</v>
      </c>
      <c r="I377" t="str" cm="1">
        <f t="array" ref="I377">_xlfn.IFS(A377&lt;=25,"18-25",A377&lt;=35,"26-35",A377&lt;=45,"36-45",A377&lt;=60,"46-60",A377&gt;60,"60+")</f>
        <v>26-35</v>
      </c>
      <c r="J377" t="str" cm="1">
        <f t="array" ref="J377">_xlfn.IFS(C377&lt;18.5,"Underweight",C377&lt;25,"Normal",C377&lt;30,"Overweight",C377&gt;=30,"Obese")</f>
        <v>Overweight</v>
      </c>
      <c r="K377" t="str" cm="1">
        <f t="array" ref="K377">_xlfn.IFS(G377&lt;10000, "Low", G377&lt;=25000, "Medium", G377&gt;25000, "High")</f>
        <v>Low</v>
      </c>
    </row>
    <row r="378" spans="1:11" x14ac:dyDescent="0.3">
      <c r="A378">
        <v>28</v>
      </c>
      <c r="B378" s="1" t="s">
        <v>7</v>
      </c>
      <c r="C378">
        <v>26.885000000000002</v>
      </c>
      <c r="D378">
        <v>0</v>
      </c>
      <c r="E378" t="s">
        <v>9</v>
      </c>
      <c r="F378" t="s">
        <v>14</v>
      </c>
      <c r="G378" s="2">
        <v>5257.5079500000002</v>
      </c>
      <c r="H378" t="str" cm="1">
        <f t="array" ref="H378">_xlfn.IFS(A378&lt;=30, "Youth", A378&lt;=50, "Adult", A378&gt;50, "Older")</f>
        <v>Youth</v>
      </c>
      <c r="I378" t="str" cm="1">
        <f t="array" ref="I378">_xlfn.IFS(A378&lt;=25,"18-25",A378&lt;=35,"26-35",A378&lt;=45,"36-45",A378&lt;=60,"46-60",A378&gt;60,"60+")</f>
        <v>26-35</v>
      </c>
      <c r="J378" t="str" cm="1">
        <f t="array" ref="J378">_xlfn.IFS(C378&lt;18.5,"Underweight",C378&lt;25,"Normal",C378&lt;30,"Overweight",C378&gt;=30,"Obese")</f>
        <v>Overweight</v>
      </c>
      <c r="K378" t="str" cm="1">
        <f t="array" ref="K378">_xlfn.IFS(G378&lt;10000, "Low", G378&lt;=25000, "Medium", G378&gt;25000, "High")</f>
        <v>Low</v>
      </c>
    </row>
    <row r="379" spans="1:11" x14ac:dyDescent="0.3">
      <c r="A379">
        <v>28</v>
      </c>
      <c r="B379" s="1" t="s">
        <v>8</v>
      </c>
      <c r="C379">
        <v>26.885000000000002</v>
      </c>
      <c r="D379">
        <v>0</v>
      </c>
      <c r="E379" t="s">
        <v>9</v>
      </c>
      <c r="F379" t="s">
        <v>12</v>
      </c>
      <c r="G379" s="2">
        <v>5261.4694499999996</v>
      </c>
      <c r="H379" t="str" cm="1">
        <f t="array" ref="H379">_xlfn.IFS(A379&lt;=30, "Youth", A379&lt;=50, "Adult", A379&gt;50, "Older")</f>
        <v>Youth</v>
      </c>
      <c r="I379" t="str" cm="1">
        <f t="array" ref="I379">_xlfn.IFS(A379&lt;=25,"18-25",A379&lt;=35,"26-35",A379&lt;=45,"36-45",A379&lt;=60,"46-60",A379&gt;60,"60+")</f>
        <v>26-35</v>
      </c>
      <c r="J379" t="str" cm="1">
        <f t="array" ref="J379">_xlfn.IFS(C379&lt;18.5,"Underweight",C379&lt;25,"Normal",C379&lt;30,"Overweight",C379&gt;=30,"Obese")</f>
        <v>Overweight</v>
      </c>
      <c r="K379" t="str" cm="1">
        <f t="array" ref="K379">_xlfn.IFS(G379&lt;10000, "Low", G379&lt;=25000, "Medium", G379&gt;25000, "High")</f>
        <v>Low</v>
      </c>
    </row>
    <row r="380" spans="1:11" x14ac:dyDescent="0.3">
      <c r="A380">
        <v>28</v>
      </c>
      <c r="B380" s="1" t="s">
        <v>7</v>
      </c>
      <c r="C380">
        <v>26.885000000000002</v>
      </c>
      <c r="D380">
        <v>0</v>
      </c>
      <c r="E380" t="s">
        <v>10</v>
      </c>
      <c r="F380" t="s">
        <v>13</v>
      </c>
      <c r="G380" s="2">
        <v>5266.3656000000001</v>
      </c>
      <c r="H380" t="str" cm="1">
        <f t="array" ref="H380">_xlfn.IFS(A380&lt;=30, "Youth", A380&lt;=50, "Adult", A380&gt;50, "Older")</f>
        <v>Youth</v>
      </c>
      <c r="I380" t="str" cm="1">
        <f t="array" ref="I380">_xlfn.IFS(A380&lt;=25,"18-25",A380&lt;=35,"26-35",A380&lt;=45,"36-45",A380&lt;=60,"46-60",A380&gt;60,"60+")</f>
        <v>26-35</v>
      </c>
      <c r="J380" t="str" cm="1">
        <f t="array" ref="J380">_xlfn.IFS(C380&lt;18.5,"Underweight",C380&lt;25,"Normal",C380&lt;30,"Overweight",C380&gt;=30,"Obese")</f>
        <v>Overweight</v>
      </c>
      <c r="K380" t="str" cm="1">
        <f t="array" ref="K380">_xlfn.IFS(G380&lt;10000, "Low", G380&lt;=25000, "Medium", G380&gt;25000, "High")</f>
        <v>Low</v>
      </c>
    </row>
    <row r="381" spans="1:11" x14ac:dyDescent="0.3">
      <c r="A381">
        <v>28</v>
      </c>
      <c r="B381" s="1" t="s">
        <v>8</v>
      </c>
      <c r="C381">
        <v>26.885000000000002</v>
      </c>
      <c r="D381">
        <v>0</v>
      </c>
      <c r="E381" t="s">
        <v>10</v>
      </c>
      <c r="F381" t="s">
        <v>12</v>
      </c>
      <c r="G381" s="2">
        <v>5267.8181500000001</v>
      </c>
      <c r="H381" t="str" cm="1">
        <f t="array" ref="H381">_xlfn.IFS(A381&lt;=30, "Youth", A381&lt;=50, "Adult", A381&gt;50, "Older")</f>
        <v>Youth</v>
      </c>
      <c r="I381" t="str" cm="1">
        <f t="array" ref="I381">_xlfn.IFS(A381&lt;=25,"18-25",A381&lt;=35,"26-35",A381&lt;=45,"36-45",A381&lt;=60,"46-60",A381&gt;60,"60+")</f>
        <v>26-35</v>
      </c>
      <c r="J381" t="str" cm="1">
        <f t="array" ref="J381">_xlfn.IFS(C381&lt;18.5,"Underweight",C381&lt;25,"Normal",C381&lt;30,"Overweight",C381&gt;=30,"Obese")</f>
        <v>Overweight</v>
      </c>
      <c r="K381" t="str" cm="1">
        <f t="array" ref="K381">_xlfn.IFS(G381&lt;10000, "Low", G381&lt;=25000, "Medium", G381&gt;25000, "High")</f>
        <v>Low</v>
      </c>
    </row>
    <row r="382" spans="1:11" x14ac:dyDescent="0.3">
      <c r="A382">
        <v>28</v>
      </c>
      <c r="B382" s="1" t="s">
        <v>7</v>
      </c>
      <c r="C382">
        <v>26.9</v>
      </c>
      <c r="D382">
        <v>0</v>
      </c>
      <c r="E382" t="s">
        <v>9</v>
      </c>
      <c r="F382" t="s">
        <v>14</v>
      </c>
      <c r="G382" s="2">
        <v>5272.1758</v>
      </c>
      <c r="H382" t="str" cm="1">
        <f t="array" ref="H382">_xlfn.IFS(A382&lt;=30, "Youth", A382&lt;=50, "Adult", A382&gt;50, "Older")</f>
        <v>Youth</v>
      </c>
      <c r="I382" t="str" cm="1">
        <f t="array" ref="I382">_xlfn.IFS(A382&lt;=25,"18-25",A382&lt;=35,"26-35",A382&lt;=45,"36-45",A382&lt;=60,"46-60",A382&gt;60,"60+")</f>
        <v>26-35</v>
      </c>
      <c r="J382" t="str" cm="1">
        <f t="array" ref="J382">_xlfn.IFS(C382&lt;18.5,"Underweight",C382&lt;25,"Normal",C382&lt;30,"Overweight",C382&gt;=30,"Obese")</f>
        <v>Overweight</v>
      </c>
      <c r="K382" t="str" cm="1">
        <f t="array" ref="K382">_xlfn.IFS(G382&lt;10000, "Low", G382&lt;=25000, "Medium", G382&gt;25000, "High")</f>
        <v>Low</v>
      </c>
    </row>
    <row r="383" spans="1:11" x14ac:dyDescent="0.3">
      <c r="A383">
        <v>28</v>
      </c>
      <c r="B383" s="1" t="s">
        <v>8</v>
      </c>
      <c r="C383">
        <v>26.98</v>
      </c>
      <c r="D383">
        <v>0</v>
      </c>
      <c r="E383" t="s">
        <v>9</v>
      </c>
      <c r="F383" t="s">
        <v>14</v>
      </c>
      <c r="G383" s="2">
        <v>5312.1698500000002</v>
      </c>
      <c r="H383" t="str" cm="1">
        <f t="array" ref="H383">_xlfn.IFS(A383&lt;=30, "Youth", A383&lt;=50, "Adult", A383&gt;50, "Older")</f>
        <v>Youth</v>
      </c>
      <c r="I383" t="str" cm="1">
        <f t="array" ref="I383">_xlfn.IFS(A383&lt;=25,"18-25",A383&lt;=35,"26-35",A383&lt;=45,"36-45",A383&lt;=60,"46-60",A383&gt;60,"60+")</f>
        <v>26-35</v>
      </c>
      <c r="J383" t="str" cm="1">
        <f t="array" ref="J383">_xlfn.IFS(C383&lt;18.5,"Underweight",C383&lt;25,"Normal",C383&lt;30,"Overweight",C383&gt;=30,"Obese")</f>
        <v>Overweight</v>
      </c>
      <c r="K383" t="str" cm="1">
        <f t="array" ref="K383">_xlfn.IFS(G383&lt;10000, "Low", G383&lt;=25000, "Medium", G383&gt;25000, "High")</f>
        <v>Low</v>
      </c>
    </row>
    <row r="384" spans="1:11" x14ac:dyDescent="0.3">
      <c r="A384">
        <v>28</v>
      </c>
      <c r="B384" s="1" t="s">
        <v>8</v>
      </c>
      <c r="C384">
        <v>26.98</v>
      </c>
      <c r="D384">
        <v>0</v>
      </c>
      <c r="E384" t="s">
        <v>10</v>
      </c>
      <c r="F384" t="s">
        <v>12</v>
      </c>
      <c r="G384" s="2">
        <v>5325.6509999999998</v>
      </c>
      <c r="H384" t="str" cm="1">
        <f t="array" ref="H384">_xlfn.IFS(A384&lt;=30, "Youth", A384&lt;=50, "Adult", A384&gt;50, "Older")</f>
        <v>Youth</v>
      </c>
      <c r="I384" t="str" cm="1">
        <f t="array" ref="I384">_xlfn.IFS(A384&lt;=25,"18-25",A384&lt;=35,"26-35",A384&lt;=45,"36-45",A384&lt;=60,"46-60",A384&gt;60,"60+")</f>
        <v>26-35</v>
      </c>
      <c r="J384" t="str" cm="1">
        <f t="array" ref="J384">_xlfn.IFS(C384&lt;18.5,"Underweight",C384&lt;25,"Normal",C384&lt;30,"Overweight",C384&gt;=30,"Obese")</f>
        <v>Overweight</v>
      </c>
      <c r="K384" t="str" cm="1">
        <f t="array" ref="K384">_xlfn.IFS(G384&lt;10000, "Low", G384&lt;=25000, "Medium", G384&gt;25000, "High")</f>
        <v>Low</v>
      </c>
    </row>
    <row r="385" spans="1:11" x14ac:dyDescent="0.3">
      <c r="A385">
        <v>28</v>
      </c>
      <c r="B385" s="1" t="s">
        <v>7</v>
      </c>
      <c r="C385">
        <v>26.98</v>
      </c>
      <c r="D385">
        <v>0</v>
      </c>
      <c r="E385" t="s">
        <v>10</v>
      </c>
      <c r="F385" t="s">
        <v>12</v>
      </c>
      <c r="G385" s="2">
        <v>5327.4002499999997</v>
      </c>
      <c r="H385" t="str" cm="1">
        <f t="array" ref="H385">_xlfn.IFS(A385&lt;=30, "Youth", A385&lt;=50, "Adult", A385&gt;50, "Older")</f>
        <v>Youth</v>
      </c>
      <c r="I385" t="str" cm="1">
        <f t="array" ref="I385">_xlfn.IFS(A385&lt;=25,"18-25",A385&lt;=35,"26-35",A385&lt;=45,"36-45",A385&lt;=60,"46-60",A385&gt;60,"60+")</f>
        <v>26-35</v>
      </c>
      <c r="J385" t="str" cm="1">
        <f t="array" ref="J385">_xlfn.IFS(C385&lt;18.5,"Underweight",C385&lt;25,"Normal",C385&lt;30,"Overweight",C385&gt;=30,"Obese")</f>
        <v>Overweight</v>
      </c>
      <c r="K385" t="str" cm="1">
        <f t="array" ref="K385">_xlfn.IFS(G385&lt;10000, "Low", G385&lt;=25000, "Medium", G385&gt;25000, "High")</f>
        <v>Low</v>
      </c>
    </row>
    <row r="386" spans="1:11" x14ac:dyDescent="0.3">
      <c r="A386">
        <v>28</v>
      </c>
      <c r="B386" s="1" t="s">
        <v>8</v>
      </c>
      <c r="C386">
        <v>27</v>
      </c>
      <c r="D386">
        <v>0</v>
      </c>
      <c r="E386" t="s">
        <v>10</v>
      </c>
      <c r="F386" t="s">
        <v>14</v>
      </c>
      <c r="G386" s="2">
        <v>5354.0746499999996</v>
      </c>
      <c r="H386" t="str" cm="1">
        <f t="array" ref="H386">_xlfn.IFS(A386&lt;=30, "Youth", A386&lt;=50, "Adult", A386&gt;50, "Older")</f>
        <v>Youth</v>
      </c>
      <c r="I386" t="str" cm="1">
        <f t="array" ref="I386">_xlfn.IFS(A386&lt;=25,"18-25",A386&lt;=35,"26-35",A386&lt;=45,"36-45",A386&lt;=60,"46-60",A386&gt;60,"60+")</f>
        <v>26-35</v>
      </c>
      <c r="J386" t="str" cm="1">
        <f t="array" ref="J386">_xlfn.IFS(C386&lt;18.5,"Underweight",C386&lt;25,"Normal",C386&lt;30,"Overweight",C386&gt;=30,"Obese")</f>
        <v>Overweight</v>
      </c>
      <c r="K386" t="str" cm="1">
        <f t="array" ref="K386">_xlfn.IFS(G386&lt;10000, "Low", G386&lt;=25000, "Medium", G386&gt;25000, "High")</f>
        <v>Low</v>
      </c>
    </row>
    <row r="387" spans="1:11" x14ac:dyDescent="0.3">
      <c r="A387">
        <v>28</v>
      </c>
      <c r="B387" s="1" t="s">
        <v>8</v>
      </c>
      <c r="C387">
        <v>27.06</v>
      </c>
      <c r="D387">
        <v>0</v>
      </c>
      <c r="E387" t="s">
        <v>10</v>
      </c>
      <c r="F387" t="s">
        <v>11</v>
      </c>
      <c r="G387" s="2">
        <v>5373.3642499999996</v>
      </c>
      <c r="H387" t="str" cm="1">
        <f t="array" ref="H387">_xlfn.IFS(A387&lt;=30, "Youth", A387&lt;=50, "Adult", A387&gt;50, "Older")</f>
        <v>Youth</v>
      </c>
      <c r="I387" t="str" cm="1">
        <f t="array" ref="I387">_xlfn.IFS(A387&lt;=25,"18-25",A387&lt;=35,"26-35",A387&lt;=45,"36-45",A387&lt;=60,"46-60",A387&gt;60,"60+")</f>
        <v>26-35</v>
      </c>
      <c r="J387" t="str" cm="1">
        <f t="array" ref="J387">_xlfn.IFS(C387&lt;18.5,"Underweight",C387&lt;25,"Normal",C387&lt;30,"Overweight",C387&gt;=30,"Obese")</f>
        <v>Overweight</v>
      </c>
      <c r="K387" t="str" cm="1">
        <f t="array" ref="K387">_xlfn.IFS(G387&lt;10000, "Low", G387&lt;=25000, "Medium", G387&gt;25000, "High")</f>
        <v>Low</v>
      </c>
    </row>
    <row r="388" spans="1:11" x14ac:dyDescent="0.3">
      <c r="A388">
        <v>28</v>
      </c>
      <c r="B388" s="1" t="s">
        <v>7</v>
      </c>
      <c r="C388">
        <v>27.074999999999999</v>
      </c>
      <c r="D388">
        <v>0</v>
      </c>
      <c r="E388" t="s">
        <v>10</v>
      </c>
      <c r="F388" t="s">
        <v>12</v>
      </c>
      <c r="G388" s="2">
        <v>5375.0379999999996</v>
      </c>
      <c r="H388" t="str" cm="1">
        <f t="array" ref="H388">_xlfn.IFS(A388&lt;=30, "Youth", A388&lt;=50, "Adult", A388&gt;50, "Older")</f>
        <v>Youth</v>
      </c>
      <c r="I388" t="str" cm="1">
        <f t="array" ref="I388">_xlfn.IFS(A388&lt;=25,"18-25",A388&lt;=35,"26-35",A388&lt;=45,"36-45",A388&lt;=60,"46-60",A388&gt;60,"60+")</f>
        <v>26-35</v>
      </c>
      <c r="J388" t="str" cm="1">
        <f t="array" ref="J388">_xlfn.IFS(C388&lt;18.5,"Underweight",C388&lt;25,"Normal",C388&lt;30,"Overweight",C388&gt;=30,"Obese")</f>
        <v>Overweight</v>
      </c>
      <c r="K388" t="str" cm="1">
        <f t="array" ref="K388">_xlfn.IFS(G388&lt;10000, "Low", G388&lt;=25000, "Medium", G388&gt;25000, "High")</f>
        <v>Low</v>
      </c>
    </row>
    <row r="389" spans="1:11" x14ac:dyDescent="0.3">
      <c r="A389">
        <v>28</v>
      </c>
      <c r="B389" s="1" t="s">
        <v>8</v>
      </c>
      <c r="C389">
        <v>27.1</v>
      </c>
      <c r="D389">
        <v>0</v>
      </c>
      <c r="E389" t="s">
        <v>10</v>
      </c>
      <c r="F389" t="s">
        <v>13</v>
      </c>
      <c r="G389" s="2">
        <v>5377.4578000000001</v>
      </c>
      <c r="H389" t="str" cm="1">
        <f t="array" ref="H389">_xlfn.IFS(A389&lt;=30, "Youth", A389&lt;=50, "Adult", A389&gt;50, "Older")</f>
        <v>Youth</v>
      </c>
      <c r="I389" t="str" cm="1">
        <f t="array" ref="I389">_xlfn.IFS(A389&lt;=25,"18-25",A389&lt;=35,"26-35",A389&lt;=45,"36-45",A389&lt;=60,"46-60",A389&gt;60,"60+")</f>
        <v>26-35</v>
      </c>
      <c r="J389" t="str" cm="1">
        <f t="array" ref="J389">_xlfn.IFS(C389&lt;18.5,"Underweight",C389&lt;25,"Normal",C389&lt;30,"Overweight",C389&gt;=30,"Obese")</f>
        <v>Overweight</v>
      </c>
      <c r="K389" t="str" cm="1">
        <f t="array" ref="K389">_xlfn.IFS(G389&lt;10000, "Low", G389&lt;=25000, "Medium", G389&gt;25000, "High")</f>
        <v>Low</v>
      </c>
    </row>
    <row r="390" spans="1:11" x14ac:dyDescent="0.3">
      <c r="A390">
        <v>28</v>
      </c>
      <c r="B390" s="1" t="s">
        <v>7</v>
      </c>
      <c r="C390">
        <v>27.1</v>
      </c>
      <c r="D390">
        <v>0</v>
      </c>
      <c r="E390" t="s">
        <v>10</v>
      </c>
      <c r="F390" t="s">
        <v>13</v>
      </c>
      <c r="G390" s="2">
        <v>5383.5360000000001</v>
      </c>
      <c r="H390" t="str" cm="1">
        <f t="array" ref="H390">_xlfn.IFS(A390&lt;=30, "Youth", A390&lt;=50, "Adult", A390&gt;50, "Older")</f>
        <v>Youth</v>
      </c>
      <c r="I390" t="str" cm="1">
        <f t="array" ref="I390">_xlfn.IFS(A390&lt;=25,"18-25",A390&lt;=35,"26-35",A390&lt;=45,"36-45",A390&lt;=60,"46-60",A390&gt;60,"60+")</f>
        <v>26-35</v>
      </c>
      <c r="J390" t="str" cm="1">
        <f t="array" ref="J390">_xlfn.IFS(C390&lt;18.5,"Underweight",C390&lt;25,"Normal",C390&lt;30,"Overweight",C390&gt;=30,"Obese")</f>
        <v>Overweight</v>
      </c>
      <c r="K390" t="str" cm="1">
        <f t="array" ref="K390">_xlfn.IFS(G390&lt;10000, "Low", G390&lt;=25000, "Medium", G390&gt;25000, "High")</f>
        <v>Low</v>
      </c>
    </row>
    <row r="391" spans="1:11" x14ac:dyDescent="0.3">
      <c r="A391">
        <v>29</v>
      </c>
      <c r="B391" s="1" t="s">
        <v>7</v>
      </c>
      <c r="C391">
        <v>27.1</v>
      </c>
      <c r="D391">
        <v>0</v>
      </c>
      <c r="E391" t="s">
        <v>10</v>
      </c>
      <c r="F391" t="s">
        <v>13</v>
      </c>
      <c r="G391" s="2">
        <v>5385.3379000000004</v>
      </c>
      <c r="H391" t="str" cm="1">
        <f t="array" ref="H391">_xlfn.IFS(A391&lt;=30, "Youth", A391&lt;=50, "Adult", A391&gt;50, "Older")</f>
        <v>Youth</v>
      </c>
      <c r="I391" t="str" cm="1">
        <f t="array" ref="I391">_xlfn.IFS(A391&lt;=25,"18-25",A391&lt;=35,"26-35",A391&lt;=45,"36-45",A391&lt;=60,"46-60",A391&gt;60,"60+")</f>
        <v>26-35</v>
      </c>
      <c r="J391" t="str" cm="1">
        <f t="array" ref="J391">_xlfn.IFS(C391&lt;18.5,"Underweight",C391&lt;25,"Normal",C391&lt;30,"Overweight",C391&gt;=30,"Obese")</f>
        <v>Overweight</v>
      </c>
      <c r="K391" t="str" cm="1">
        <f t="array" ref="K391">_xlfn.IFS(G391&lt;10000, "Low", G391&lt;=25000, "Medium", G391&gt;25000, "High")</f>
        <v>Low</v>
      </c>
    </row>
    <row r="392" spans="1:11" x14ac:dyDescent="0.3">
      <c r="A392">
        <v>29</v>
      </c>
      <c r="B392" s="1" t="s">
        <v>8</v>
      </c>
      <c r="C392">
        <v>27.1</v>
      </c>
      <c r="D392">
        <v>0</v>
      </c>
      <c r="E392" t="s">
        <v>10</v>
      </c>
      <c r="F392" t="s">
        <v>14</v>
      </c>
      <c r="G392" s="2">
        <v>5397.6166999999996</v>
      </c>
      <c r="H392" t="str" cm="1">
        <f t="array" ref="H392">_xlfn.IFS(A392&lt;=30, "Youth", A392&lt;=50, "Adult", A392&gt;50, "Older")</f>
        <v>Youth</v>
      </c>
      <c r="I392" t="str" cm="1">
        <f t="array" ref="I392">_xlfn.IFS(A392&lt;=25,"18-25",A392&lt;=35,"26-35",A392&lt;=45,"36-45",A392&lt;=60,"46-60",A392&gt;60,"60+")</f>
        <v>26-35</v>
      </c>
      <c r="J392" t="str" cm="1">
        <f t="array" ref="J392">_xlfn.IFS(C392&lt;18.5,"Underweight",C392&lt;25,"Normal",C392&lt;30,"Overweight",C392&gt;=30,"Obese")</f>
        <v>Overweight</v>
      </c>
      <c r="K392" t="str" cm="1">
        <f t="array" ref="K392">_xlfn.IFS(G392&lt;10000, "Low", G392&lt;=25000, "Medium", G392&gt;25000, "High")</f>
        <v>Low</v>
      </c>
    </row>
    <row r="393" spans="1:11" x14ac:dyDescent="0.3">
      <c r="A393">
        <v>29</v>
      </c>
      <c r="B393" s="1" t="s">
        <v>7</v>
      </c>
      <c r="C393">
        <v>27.17</v>
      </c>
      <c r="D393">
        <v>0</v>
      </c>
      <c r="E393" t="s">
        <v>10</v>
      </c>
      <c r="F393" t="s">
        <v>13</v>
      </c>
      <c r="G393" s="2">
        <v>5400.9804999999997</v>
      </c>
      <c r="H393" t="str" cm="1">
        <f t="array" ref="H393">_xlfn.IFS(A393&lt;=30, "Youth", A393&lt;=50, "Adult", A393&gt;50, "Older")</f>
        <v>Youth</v>
      </c>
      <c r="I393" t="str" cm="1">
        <f t="array" ref="I393">_xlfn.IFS(A393&lt;=25,"18-25",A393&lt;=35,"26-35",A393&lt;=45,"36-45",A393&lt;=60,"46-60",A393&gt;60,"60+")</f>
        <v>26-35</v>
      </c>
      <c r="J393" t="str" cm="1">
        <f t="array" ref="J393">_xlfn.IFS(C393&lt;18.5,"Underweight",C393&lt;25,"Normal",C393&lt;30,"Overweight",C393&gt;=30,"Obese")</f>
        <v>Overweight</v>
      </c>
      <c r="K393" t="str" cm="1">
        <f t="array" ref="K393">_xlfn.IFS(G393&lt;10000, "Low", G393&lt;=25000, "Medium", G393&gt;25000, "High")</f>
        <v>Low</v>
      </c>
    </row>
    <row r="394" spans="1:11" x14ac:dyDescent="0.3">
      <c r="A394">
        <v>29</v>
      </c>
      <c r="B394" s="1" t="s">
        <v>8</v>
      </c>
      <c r="C394">
        <v>27.17</v>
      </c>
      <c r="D394">
        <v>0</v>
      </c>
      <c r="E394" t="s">
        <v>10</v>
      </c>
      <c r="F394" t="s">
        <v>14</v>
      </c>
      <c r="G394" s="2">
        <v>5415.6611999999996</v>
      </c>
      <c r="H394" t="str" cm="1">
        <f t="array" ref="H394">_xlfn.IFS(A394&lt;=30, "Youth", A394&lt;=50, "Adult", A394&gt;50, "Older")</f>
        <v>Youth</v>
      </c>
      <c r="I394" t="str" cm="1">
        <f t="array" ref="I394">_xlfn.IFS(A394&lt;=25,"18-25",A394&lt;=35,"26-35",A394&lt;=45,"36-45",A394&lt;=60,"46-60",A394&gt;60,"60+")</f>
        <v>26-35</v>
      </c>
      <c r="J394" t="str" cm="1">
        <f t="array" ref="J394">_xlfn.IFS(C394&lt;18.5,"Underweight",C394&lt;25,"Normal",C394&lt;30,"Overweight",C394&gt;=30,"Obese")</f>
        <v>Overweight</v>
      </c>
      <c r="K394" t="str" cm="1">
        <f t="array" ref="K394">_xlfn.IFS(G394&lt;10000, "Low", G394&lt;=25000, "Medium", G394&gt;25000, "High")</f>
        <v>Low</v>
      </c>
    </row>
    <row r="395" spans="1:11" x14ac:dyDescent="0.3">
      <c r="A395">
        <v>29</v>
      </c>
      <c r="B395" s="1" t="s">
        <v>8</v>
      </c>
      <c r="C395">
        <v>27.2</v>
      </c>
      <c r="D395">
        <v>0</v>
      </c>
      <c r="E395" t="s">
        <v>10</v>
      </c>
      <c r="F395" t="s">
        <v>14</v>
      </c>
      <c r="G395" s="2">
        <v>5425.0233500000004</v>
      </c>
      <c r="H395" t="str" cm="1">
        <f t="array" ref="H395">_xlfn.IFS(A395&lt;=30, "Youth", A395&lt;=50, "Adult", A395&gt;50, "Older")</f>
        <v>Youth</v>
      </c>
      <c r="I395" t="str" cm="1">
        <f t="array" ref="I395">_xlfn.IFS(A395&lt;=25,"18-25",A395&lt;=35,"26-35",A395&lt;=45,"36-45",A395&lt;=60,"46-60",A395&gt;60,"60+")</f>
        <v>26-35</v>
      </c>
      <c r="J395" t="str" cm="1">
        <f t="array" ref="J395">_xlfn.IFS(C395&lt;18.5,"Underweight",C395&lt;25,"Normal",C395&lt;30,"Overweight",C395&gt;=30,"Obese")</f>
        <v>Overweight</v>
      </c>
      <c r="K395" t="str" cm="1">
        <f t="array" ref="K395">_xlfn.IFS(G395&lt;10000, "Low", G395&lt;=25000, "Medium", G395&gt;25000, "High")</f>
        <v>Low</v>
      </c>
    </row>
    <row r="396" spans="1:11" x14ac:dyDescent="0.3">
      <c r="A396">
        <v>29</v>
      </c>
      <c r="B396" s="1" t="s">
        <v>7</v>
      </c>
      <c r="C396">
        <v>27.2</v>
      </c>
      <c r="D396">
        <v>0</v>
      </c>
      <c r="E396" t="s">
        <v>10</v>
      </c>
      <c r="F396" t="s">
        <v>14</v>
      </c>
      <c r="G396" s="2">
        <v>5428.7277000000004</v>
      </c>
      <c r="H396" t="str" cm="1">
        <f t="array" ref="H396">_xlfn.IFS(A396&lt;=30, "Youth", A396&lt;=50, "Adult", A396&gt;50, "Older")</f>
        <v>Youth</v>
      </c>
      <c r="I396" t="str" cm="1">
        <f t="array" ref="I396">_xlfn.IFS(A396&lt;=25,"18-25",A396&lt;=35,"26-35",A396&lt;=45,"36-45",A396&lt;=60,"46-60",A396&gt;60,"60+")</f>
        <v>26-35</v>
      </c>
      <c r="J396" t="str" cm="1">
        <f t="array" ref="J396">_xlfn.IFS(C396&lt;18.5,"Underweight",C396&lt;25,"Normal",C396&lt;30,"Overweight",C396&gt;=30,"Obese")</f>
        <v>Overweight</v>
      </c>
      <c r="K396" t="str" cm="1">
        <f t="array" ref="K396">_xlfn.IFS(G396&lt;10000, "Low", G396&lt;=25000, "Medium", G396&gt;25000, "High")</f>
        <v>Low</v>
      </c>
    </row>
    <row r="397" spans="1:11" x14ac:dyDescent="0.3">
      <c r="A397">
        <v>29</v>
      </c>
      <c r="B397" s="1" t="s">
        <v>8</v>
      </c>
      <c r="C397">
        <v>27.265000000000001</v>
      </c>
      <c r="D397">
        <v>0</v>
      </c>
      <c r="E397" t="s">
        <v>10</v>
      </c>
      <c r="F397" t="s">
        <v>13</v>
      </c>
      <c r="G397" s="2">
        <v>5438.7491</v>
      </c>
      <c r="H397" t="str" cm="1">
        <f t="array" ref="H397">_xlfn.IFS(A397&lt;=30, "Youth", A397&lt;=50, "Adult", A397&gt;50, "Older")</f>
        <v>Youth</v>
      </c>
      <c r="I397" t="str" cm="1">
        <f t="array" ref="I397">_xlfn.IFS(A397&lt;=25,"18-25",A397&lt;=35,"26-35",A397&lt;=45,"36-45",A397&lt;=60,"46-60",A397&gt;60,"60+")</f>
        <v>26-35</v>
      </c>
      <c r="J397" t="str" cm="1">
        <f t="array" ref="J397">_xlfn.IFS(C397&lt;18.5,"Underweight",C397&lt;25,"Normal",C397&lt;30,"Overweight",C397&gt;=30,"Obese")</f>
        <v>Overweight</v>
      </c>
      <c r="K397" t="str" cm="1">
        <f t="array" ref="K397">_xlfn.IFS(G397&lt;10000, "Low", G397&lt;=25000, "Medium", G397&gt;25000, "High")</f>
        <v>Low</v>
      </c>
    </row>
    <row r="398" spans="1:11" x14ac:dyDescent="0.3">
      <c r="A398">
        <v>29</v>
      </c>
      <c r="B398" s="1" t="s">
        <v>7</v>
      </c>
      <c r="C398">
        <v>27.265000000000001</v>
      </c>
      <c r="D398">
        <v>0</v>
      </c>
      <c r="E398" t="s">
        <v>10</v>
      </c>
      <c r="F398" t="s">
        <v>11</v>
      </c>
      <c r="G398" s="2">
        <v>5458.0464499999998</v>
      </c>
      <c r="H398" t="str" cm="1">
        <f t="array" ref="H398">_xlfn.IFS(A398&lt;=30, "Youth", A398&lt;=50, "Adult", A398&gt;50, "Older")</f>
        <v>Youth</v>
      </c>
      <c r="I398" t="str" cm="1">
        <f t="array" ref="I398">_xlfn.IFS(A398&lt;=25,"18-25",A398&lt;=35,"26-35",A398&lt;=45,"36-45",A398&lt;=60,"46-60",A398&gt;60,"60+")</f>
        <v>26-35</v>
      </c>
      <c r="J398" t="str" cm="1">
        <f t="array" ref="J398">_xlfn.IFS(C398&lt;18.5,"Underweight",C398&lt;25,"Normal",C398&lt;30,"Overweight",C398&gt;=30,"Obese")</f>
        <v>Overweight</v>
      </c>
      <c r="K398" t="str" cm="1">
        <f t="array" ref="K398">_xlfn.IFS(G398&lt;10000, "Low", G398&lt;=25000, "Medium", G398&gt;25000, "High")</f>
        <v>Low</v>
      </c>
    </row>
    <row r="399" spans="1:11" x14ac:dyDescent="0.3">
      <c r="A399">
        <v>29</v>
      </c>
      <c r="B399" s="1" t="s">
        <v>8</v>
      </c>
      <c r="C399">
        <v>27.265000000000001</v>
      </c>
      <c r="D399">
        <v>0</v>
      </c>
      <c r="E399" t="s">
        <v>10</v>
      </c>
      <c r="F399" t="s">
        <v>12</v>
      </c>
      <c r="G399" s="2">
        <v>5469.0065999999997</v>
      </c>
      <c r="H399" t="str" cm="1">
        <f t="array" ref="H399">_xlfn.IFS(A399&lt;=30, "Youth", A399&lt;=50, "Adult", A399&gt;50, "Older")</f>
        <v>Youth</v>
      </c>
      <c r="I399" t="str" cm="1">
        <f t="array" ref="I399">_xlfn.IFS(A399&lt;=25,"18-25",A399&lt;=35,"26-35",A399&lt;=45,"36-45",A399&lt;=60,"46-60",A399&gt;60,"60+")</f>
        <v>26-35</v>
      </c>
      <c r="J399" t="str" cm="1">
        <f t="array" ref="J399">_xlfn.IFS(C399&lt;18.5,"Underweight",C399&lt;25,"Normal",C399&lt;30,"Overweight",C399&gt;=30,"Obese")</f>
        <v>Overweight</v>
      </c>
      <c r="K399" t="str" cm="1">
        <f t="array" ref="K399">_xlfn.IFS(G399&lt;10000, "Low", G399&lt;=25000, "Medium", G399&gt;25000, "High")</f>
        <v>Low</v>
      </c>
    </row>
    <row r="400" spans="1:11" x14ac:dyDescent="0.3">
      <c r="A400">
        <v>29</v>
      </c>
      <c r="B400" s="1" t="s">
        <v>8</v>
      </c>
      <c r="C400">
        <v>27.265000000000001</v>
      </c>
      <c r="D400">
        <v>0</v>
      </c>
      <c r="E400" t="s">
        <v>10</v>
      </c>
      <c r="F400" t="s">
        <v>11</v>
      </c>
      <c r="G400" s="2">
        <v>5472.4489999999996</v>
      </c>
      <c r="H400" t="str" cm="1">
        <f t="array" ref="H400">_xlfn.IFS(A400&lt;=30, "Youth", A400&lt;=50, "Adult", A400&gt;50, "Older")</f>
        <v>Youth</v>
      </c>
      <c r="I400" t="str" cm="1">
        <f t="array" ref="I400">_xlfn.IFS(A400&lt;=25,"18-25",A400&lt;=35,"26-35",A400&lt;=45,"36-45",A400&lt;=60,"46-60",A400&gt;60,"60+")</f>
        <v>26-35</v>
      </c>
      <c r="J400" t="str" cm="1">
        <f t="array" ref="J400">_xlfn.IFS(C400&lt;18.5,"Underweight",C400&lt;25,"Normal",C400&lt;30,"Overweight",C400&gt;=30,"Obese")</f>
        <v>Overweight</v>
      </c>
      <c r="K400" t="str" cm="1">
        <f t="array" ref="K400">_xlfn.IFS(G400&lt;10000, "Low", G400&lt;=25000, "Medium", G400&gt;25000, "High")</f>
        <v>Low</v>
      </c>
    </row>
    <row r="401" spans="1:11" x14ac:dyDescent="0.3">
      <c r="A401">
        <v>29</v>
      </c>
      <c r="B401" s="1" t="s">
        <v>7</v>
      </c>
      <c r="C401">
        <v>27.28</v>
      </c>
      <c r="D401">
        <v>0</v>
      </c>
      <c r="E401" t="s">
        <v>10</v>
      </c>
      <c r="F401" t="s">
        <v>12</v>
      </c>
      <c r="G401" s="2">
        <v>5478.0367999999999</v>
      </c>
      <c r="H401" t="str" cm="1">
        <f t="array" ref="H401">_xlfn.IFS(A401&lt;=30, "Youth", A401&lt;=50, "Adult", A401&gt;50, "Older")</f>
        <v>Youth</v>
      </c>
      <c r="I401" t="str" cm="1">
        <f t="array" ref="I401">_xlfn.IFS(A401&lt;=25,"18-25",A401&lt;=35,"26-35",A401&lt;=45,"36-45",A401&lt;=60,"46-60",A401&gt;60,"60+")</f>
        <v>26-35</v>
      </c>
      <c r="J401" t="str" cm="1">
        <f t="array" ref="J401">_xlfn.IFS(C401&lt;18.5,"Underweight",C401&lt;25,"Normal",C401&lt;30,"Overweight",C401&gt;=30,"Obese")</f>
        <v>Overweight</v>
      </c>
      <c r="K401" t="str" cm="1">
        <f t="array" ref="K401">_xlfn.IFS(G401&lt;10000, "Low", G401&lt;=25000, "Medium", G401&gt;25000, "High")</f>
        <v>Low</v>
      </c>
    </row>
    <row r="402" spans="1:11" x14ac:dyDescent="0.3">
      <c r="A402">
        <v>29</v>
      </c>
      <c r="B402" s="1" t="s">
        <v>7</v>
      </c>
      <c r="C402">
        <v>27.3</v>
      </c>
      <c r="D402">
        <v>0</v>
      </c>
      <c r="E402" t="s">
        <v>10</v>
      </c>
      <c r="F402" t="s">
        <v>11</v>
      </c>
      <c r="G402" s="2">
        <v>5484.4673000000003</v>
      </c>
      <c r="H402" t="str" cm="1">
        <f t="array" ref="H402">_xlfn.IFS(A402&lt;=30, "Youth", A402&lt;=50, "Adult", A402&gt;50, "Older")</f>
        <v>Youth</v>
      </c>
      <c r="I402" t="str" cm="1">
        <f t="array" ref="I402">_xlfn.IFS(A402&lt;=25,"18-25",A402&lt;=35,"26-35",A402&lt;=45,"36-45",A402&lt;=60,"46-60",A402&gt;60,"60+")</f>
        <v>26-35</v>
      </c>
      <c r="J402" t="str" cm="1">
        <f t="array" ref="J402">_xlfn.IFS(C402&lt;18.5,"Underweight",C402&lt;25,"Normal",C402&lt;30,"Overweight",C402&gt;=30,"Obese")</f>
        <v>Overweight</v>
      </c>
      <c r="K402" t="str" cm="1">
        <f t="array" ref="K402">_xlfn.IFS(G402&lt;10000, "Low", G402&lt;=25000, "Medium", G402&gt;25000, "High")</f>
        <v>Low</v>
      </c>
    </row>
    <row r="403" spans="1:11" x14ac:dyDescent="0.3">
      <c r="A403">
        <v>29</v>
      </c>
      <c r="B403" s="1" t="s">
        <v>8</v>
      </c>
      <c r="C403">
        <v>27.36</v>
      </c>
      <c r="D403">
        <v>0</v>
      </c>
      <c r="E403" t="s">
        <v>10</v>
      </c>
      <c r="F403" t="s">
        <v>12</v>
      </c>
      <c r="G403" s="2">
        <v>5488.2619999999997</v>
      </c>
      <c r="H403" t="str" cm="1">
        <f t="array" ref="H403">_xlfn.IFS(A403&lt;=30, "Youth", A403&lt;=50, "Adult", A403&gt;50, "Older")</f>
        <v>Youth</v>
      </c>
      <c r="I403" t="str" cm="1">
        <f t="array" ref="I403">_xlfn.IFS(A403&lt;=25,"18-25",A403&lt;=35,"26-35",A403&lt;=45,"36-45",A403&lt;=60,"46-60",A403&gt;60,"60+")</f>
        <v>26-35</v>
      </c>
      <c r="J403" t="str" cm="1">
        <f t="array" ref="J403">_xlfn.IFS(C403&lt;18.5,"Underweight",C403&lt;25,"Normal",C403&lt;30,"Overweight",C403&gt;=30,"Obese")</f>
        <v>Overweight</v>
      </c>
      <c r="K403" t="str" cm="1">
        <f t="array" ref="K403">_xlfn.IFS(G403&lt;10000, "Low", G403&lt;=25000, "Medium", G403&gt;25000, "High")</f>
        <v>Low</v>
      </c>
    </row>
    <row r="404" spans="1:11" x14ac:dyDescent="0.3">
      <c r="A404">
        <v>29</v>
      </c>
      <c r="B404" s="1" t="s">
        <v>7</v>
      </c>
      <c r="C404">
        <v>27.36</v>
      </c>
      <c r="D404">
        <v>0</v>
      </c>
      <c r="E404" t="s">
        <v>10</v>
      </c>
      <c r="F404" t="s">
        <v>13</v>
      </c>
      <c r="G404" s="2">
        <v>5584.3056999999999</v>
      </c>
      <c r="H404" t="str" cm="1">
        <f t="array" ref="H404">_xlfn.IFS(A404&lt;=30, "Youth", A404&lt;=50, "Adult", A404&gt;50, "Older")</f>
        <v>Youth</v>
      </c>
      <c r="I404" t="str" cm="1">
        <f t="array" ref="I404">_xlfn.IFS(A404&lt;=25,"18-25",A404&lt;=35,"26-35",A404&lt;=45,"36-45",A404&lt;=60,"46-60",A404&gt;60,"60+")</f>
        <v>26-35</v>
      </c>
      <c r="J404" t="str" cm="1">
        <f t="array" ref="J404">_xlfn.IFS(C404&lt;18.5,"Underweight",C404&lt;25,"Normal",C404&lt;30,"Overweight",C404&gt;=30,"Obese")</f>
        <v>Overweight</v>
      </c>
      <c r="K404" t="str" cm="1">
        <f t="array" ref="K404">_xlfn.IFS(G404&lt;10000, "Low", G404&lt;=25000, "Medium", G404&gt;25000, "High")</f>
        <v>Low</v>
      </c>
    </row>
    <row r="405" spans="1:11" x14ac:dyDescent="0.3">
      <c r="A405">
        <v>29</v>
      </c>
      <c r="B405" s="1" t="s">
        <v>8</v>
      </c>
      <c r="C405">
        <v>27.36</v>
      </c>
      <c r="D405">
        <v>0</v>
      </c>
      <c r="E405" t="s">
        <v>10</v>
      </c>
      <c r="F405" t="s">
        <v>13</v>
      </c>
      <c r="G405" s="2">
        <v>5594.8455000000004</v>
      </c>
      <c r="H405" t="str" cm="1">
        <f t="array" ref="H405">_xlfn.IFS(A405&lt;=30, "Youth", A405&lt;=50, "Adult", A405&gt;50, "Older")</f>
        <v>Youth</v>
      </c>
      <c r="I405" t="str" cm="1">
        <f t="array" ref="I405">_xlfn.IFS(A405&lt;=25,"18-25",A405&lt;=35,"26-35",A405&lt;=45,"36-45",A405&lt;=60,"46-60",A405&gt;60,"60+")</f>
        <v>26-35</v>
      </c>
      <c r="J405" t="str" cm="1">
        <f t="array" ref="J405">_xlfn.IFS(C405&lt;18.5,"Underweight",C405&lt;25,"Normal",C405&lt;30,"Overweight",C405&gt;=30,"Obese")</f>
        <v>Overweight</v>
      </c>
      <c r="K405" t="str" cm="1">
        <f t="array" ref="K405">_xlfn.IFS(G405&lt;10000, "Low", G405&lt;=25000, "Medium", G405&gt;25000, "High")</f>
        <v>Low</v>
      </c>
    </row>
    <row r="406" spans="1:11" x14ac:dyDescent="0.3">
      <c r="A406">
        <v>29</v>
      </c>
      <c r="B406" s="1" t="s">
        <v>8</v>
      </c>
      <c r="C406">
        <v>27.36</v>
      </c>
      <c r="D406">
        <v>0</v>
      </c>
      <c r="E406" t="s">
        <v>10</v>
      </c>
      <c r="F406" t="s">
        <v>11</v>
      </c>
      <c r="G406" s="2">
        <v>5615.3689999999997</v>
      </c>
      <c r="H406" t="str" cm="1">
        <f t="array" ref="H406">_xlfn.IFS(A406&lt;=30, "Youth", A406&lt;=50, "Adult", A406&gt;50, "Older")</f>
        <v>Youth</v>
      </c>
      <c r="I406" t="str" cm="1">
        <f t="array" ref="I406">_xlfn.IFS(A406&lt;=25,"18-25",A406&lt;=35,"26-35",A406&lt;=45,"36-45",A406&lt;=60,"46-60",A406&gt;60,"60+")</f>
        <v>26-35</v>
      </c>
      <c r="J406" t="str" cm="1">
        <f t="array" ref="J406">_xlfn.IFS(C406&lt;18.5,"Underweight",C406&lt;25,"Normal",C406&lt;30,"Overweight",C406&gt;=30,"Obese")</f>
        <v>Overweight</v>
      </c>
      <c r="K406" t="str" cm="1">
        <f t="array" ref="K406">_xlfn.IFS(G406&lt;10000, "Low", G406&lt;=25000, "Medium", G406&gt;25000, "High")</f>
        <v>Low</v>
      </c>
    </row>
    <row r="407" spans="1:11" x14ac:dyDescent="0.3">
      <c r="A407">
        <v>29</v>
      </c>
      <c r="B407" s="1" t="s">
        <v>7</v>
      </c>
      <c r="C407">
        <v>27.36</v>
      </c>
      <c r="D407">
        <v>0</v>
      </c>
      <c r="E407" t="s">
        <v>10</v>
      </c>
      <c r="F407" t="s">
        <v>14</v>
      </c>
      <c r="G407" s="2">
        <v>5630.4578499999998</v>
      </c>
      <c r="H407" t="str" cm="1">
        <f t="array" ref="H407">_xlfn.IFS(A407&lt;=30, "Youth", A407&lt;=50, "Adult", A407&gt;50, "Older")</f>
        <v>Youth</v>
      </c>
      <c r="I407" t="str" cm="1">
        <f t="array" ref="I407">_xlfn.IFS(A407&lt;=25,"18-25",A407&lt;=35,"26-35",A407&lt;=45,"36-45",A407&lt;=60,"46-60",A407&gt;60,"60+")</f>
        <v>26-35</v>
      </c>
      <c r="J407" t="str" cm="1">
        <f t="array" ref="J407">_xlfn.IFS(C407&lt;18.5,"Underweight",C407&lt;25,"Normal",C407&lt;30,"Overweight",C407&gt;=30,"Obese")</f>
        <v>Overweight</v>
      </c>
      <c r="K407" t="str" cm="1">
        <f t="array" ref="K407">_xlfn.IFS(G407&lt;10000, "Low", G407&lt;=25000, "Medium", G407&gt;25000, "High")</f>
        <v>Low</v>
      </c>
    </row>
    <row r="408" spans="1:11" x14ac:dyDescent="0.3">
      <c r="A408">
        <v>29</v>
      </c>
      <c r="B408" s="1" t="s">
        <v>7</v>
      </c>
      <c r="C408">
        <v>27.36</v>
      </c>
      <c r="D408">
        <v>0</v>
      </c>
      <c r="E408" t="s">
        <v>10</v>
      </c>
      <c r="F408" t="s">
        <v>12</v>
      </c>
      <c r="G408" s="2">
        <v>5649.7150000000001</v>
      </c>
      <c r="H408" t="str" cm="1">
        <f t="array" ref="H408">_xlfn.IFS(A408&lt;=30, "Youth", A408&lt;=50, "Adult", A408&gt;50, "Older")</f>
        <v>Youth</v>
      </c>
      <c r="I408" t="str" cm="1">
        <f t="array" ref="I408">_xlfn.IFS(A408&lt;=25,"18-25",A408&lt;=35,"26-35",A408&lt;=45,"36-45",A408&lt;=60,"46-60",A408&gt;60,"60+")</f>
        <v>26-35</v>
      </c>
      <c r="J408" t="str" cm="1">
        <f t="array" ref="J408">_xlfn.IFS(C408&lt;18.5,"Underweight",C408&lt;25,"Normal",C408&lt;30,"Overweight",C408&gt;=30,"Obese")</f>
        <v>Overweight</v>
      </c>
      <c r="K408" t="str" cm="1">
        <f t="array" ref="K408">_xlfn.IFS(G408&lt;10000, "Low", G408&lt;=25000, "Medium", G408&gt;25000, "High")</f>
        <v>Low</v>
      </c>
    </row>
    <row r="409" spans="1:11" x14ac:dyDescent="0.3">
      <c r="A409">
        <v>29</v>
      </c>
      <c r="B409" s="1" t="s">
        <v>7</v>
      </c>
      <c r="C409">
        <v>27.36</v>
      </c>
      <c r="D409">
        <v>0</v>
      </c>
      <c r="E409" t="s">
        <v>10</v>
      </c>
      <c r="F409" t="s">
        <v>11</v>
      </c>
      <c r="G409" s="2">
        <v>5662.2250000000004</v>
      </c>
      <c r="H409" t="str" cm="1">
        <f t="array" ref="H409">_xlfn.IFS(A409&lt;=30, "Youth", A409&lt;=50, "Adult", A409&gt;50, "Older")</f>
        <v>Youth</v>
      </c>
      <c r="I409" t="str" cm="1">
        <f t="array" ref="I409">_xlfn.IFS(A409&lt;=25,"18-25",A409&lt;=35,"26-35",A409&lt;=45,"36-45",A409&lt;=60,"46-60",A409&gt;60,"60+")</f>
        <v>26-35</v>
      </c>
      <c r="J409" t="str" cm="1">
        <f t="array" ref="J409">_xlfn.IFS(C409&lt;18.5,"Underweight",C409&lt;25,"Normal",C409&lt;30,"Overweight",C409&gt;=30,"Obese")</f>
        <v>Overweight</v>
      </c>
      <c r="K409" t="str" cm="1">
        <f t="array" ref="K409">_xlfn.IFS(G409&lt;10000, "Low", G409&lt;=25000, "Medium", G409&gt;25000, "High")</f>
        <v>Low</v>
      </c>
    </row>
    <row r="410" spans="1:11" x14ac:dyDescent="0.3">
      <c r="A410">
        <v>29</v>
      </c>
      <c r="B410" s="1" t="s">
        <v>8</v>
      </c>
      <c r="C410">
        <v>27.4</v>
      </c>
      <c r="D410">
        <v>0</v>
      </c>
      <c r="E410" t="s">
        <v>10</v>
      </c>
      <c r="F410" t="s">
        <v>12</v>
      </c>
      <c r="G410" s="2">
        <v>5693.4305000000004</v>
      </c>
      <c r="H410" t="str" cm="1">
        <f t="array" ref="H410">_xlfn.IFS(A410&lt;=30, "Youth", A410&lt;=50, "Adult", A410&gt;50, "Older")</f>
        <v>Youth</v>
      </c>
      <c r="I410" t="str" cm="1">
        <f t="array" ref="I410">_xlfn.IFS(A410&lt;=25,"18-25",A410&lt;=35,"26-35",A410&lt;=45,"36-45",A410&lt;=60,"46-60",A410&gt;60,"60+")</f>
        <v>26-35</v>
      </c>
      <c r="J410" t="str" cm="1">
        <f t="array" ref="J410">_xlfn.IFS(C410&lt;18.5,"Underweight",C410&lt;25,"Normal",C410&lt;30,"Overweight",C410&gt;=30,"Obese")</f>
        <v>Overweight</v>
      </c>
      <c r="K410" t="str" cm="1">
        <f t="array" ref="K410">_xlfn.IFS(G410&lt;10000, "Low", G410&lt;=25000, "Medium", G410&gt;25000, "High")</f>
        <v>Low</v>
      </c>
    </row>
    <row r="411" spans="1:11" x14ac:dyDescent="0.3">
      <c r="A411">
        <v>29</v>
      </c>
      <c r="B411" s="1" t="s">
        <v>8</v>
      </c>
      <c r="C411">
        <v>27.4</v>
      </c>
      <c r="D411">
        <v>0</v>
      </c>
      <c r="E411" t="s">
        <v>10</v>
      </c>
      <c r="F411" t="s">
        <v>12</v>
      </c>
      <c r="G411" s="2">
        <v>5699.8374999999996</v>
      </c>
      <c r="H411" t="str" cm="1">
        <f t="array" ref="H411">_xlfn.IFS(A411&lt;=30, "Youth", A411&lt;=50, "Adult", A411&gt;50, "Older")</f>
        <v>Youth</v>
      </c>
      <c r="I411" t="str" cm="1">
        <f t="array" ref="I411">_xlfn.IFS(A411&lt;=25,"18-25",A411&lt;=35,"26-35",A411&lt;=45,"36-45",A411&lt;=60,"46-60",A411&gt;60,"60+")</f>
        <v>26-35</v>
      </c>
      <c r="J411" t="str" cm="1">
        <f t="array" ref="J411">_xlfn.IFS(C411&lt;18.5,"Underweight",C411&lt;25,"Normal",C411&lt;30,"Overweight",C411&gt;=30,"Obese")</f>
        <v>Overweight</v>
      </c>
      <c r="K411" t="str" cm="1">
        <f t="array" ref="K411">_xlfn.IFS(G411&lt;10000, "Low", G411&lt;=25000, "Medium", G411&gt;25000, "High")</f>
        <v>Low</v>
      </c>
    </row>
    <row r="412" spans="1:11" x14ac:dyDescent="0.3">
      <c r="A412">
        <v>29</v>
      </c>
      <c r="B412" s="1" t="s">
        <v>8</v>
      </c>
      <c r="C412">
        <v>27.454999999999998</v>
      </c>
      <c r="D412">
        <v>0</v>
      </c>
      <c r="E412" t="s">
        <v>10</v>
      </c>
      <c r="F412" t="s">
        <v>13</v>
      </c>
      <c r="G412" s="2">
        <v>5708.8670000000002</v>
      </c>
      <c r="H412" t="str" cm="1">
        <f t="array" ref="H412">_xlfn.IFS(A412&lt;=30, "Youth", A412&lt;=50, "Adult", A412&gt;50, "Older")</f>
        <v>Youth</v>
      </c>
      <c r="I412" t="str" cm="1">
        <f t="array" ref="I412">_xlfn.IFS(A412&lt;=25,"18-25",A412&lt;=35,"26-35",A412&lt;=45,"36-45",A412&lt;=60,"46-60",A412&gt;60,"60+")</f>
        <v>26-35</v>
      </c>
      <c r="J412" t="str" cm="1">
        <f t="array" ref="J412">_xlfn.IFS(C412&lt;18.5,"Underweight",C412&lt;25,"Normal",C412&lt;30,"Overweight",C412&gt;=30,"Obese")</f>
        <v>Overweight</v>
      </c>
      <c r="K412" t="str" cm="1">
        <f t="array" ref="K412">_xlfn.IFS(G412&lt;10000, "Low", G412&lt;=25000, "Medium", G412&gt;25000, "High")</f>
        <v>Low</v>
      </c>
    </row>
    <row r="413" spans="1:11" x14ac:dyDescent="0.3">
      <c r="A413">
        <v>29</v>
      </c>
      <c r="B413" s="1" t="s">
        <v>7</v>
      </c>
      <c r="C413">
        <v>27.454999999999998</v>
      </c>
      <c r="D413">
        <v>0</v>
      </c>
      <c r="E413" t="s">
        <v>9</v>
      </c>
      <c r="F413" t="s">
        <v>14</v>
      </c>
      <c r="G413" s="2">
        <v>5709.1643999999997</v>
      </c>
      <c r="H413" t="str" cm="1">
        <f t="array" ref="H413">_xlfn.IFS(A413&lt;=30, "Youth", A413&lt;=50, "Adult", A413&gt;50, "Older")</f>
        <v>Youth</v>
      </c>
      <c r="I413" t="str" cm="1">
        <f t="array" ref="I413">_xlfn.IFS(A413&lt;=25,"18-25",A413&lt;=35,"26-35",A413&lt;=45,"36-45",A413&lt;=60,"46-60",A413&gt;60,"60+")</f>
        <v>26-35</v>
      </c>
      <c r="J413" t="str" cm="1">
        <f t="array" ref="J413">_xlfn.IFS(C413&lt;18.5,"Underweight",C413&lt;25,"Normal",C413&lt;30,"Overweight",C413&gt;=30,"Obese")</f>
        <v>Overweight</v>
      </c>
      <c r="K413" t="str" cm="1">
        <f t="array" ref="K413">_xlfn.IFS(G413&lt;10000, "Low", G413&lt;=25000, "Medium", G413&gt;25000, "High")</f>
        <v>Low</v>
      </c>
    </row>
    <row r="414" spans="1:11" x14ac:dyDescent="0.3">
      <c r="A414">
        <v>29</v>
      </c>
      <c r="B414" s="1" t="s">
        <v>7</v>
      </c>
      <c r="C414">
        <v>27.5</v>
      </c>
      <c r="D414">
        <v>0</v>
      </c>
      <c r="E414" t="s">
        <v>9</v>
      </c>
      <c r="F414" t="s">
        <v>14</v>
      </c>
      <c r="G414" s="2">
        <v>5729.0052999999998</v>
      </c>
      <c r="H414" t="str" cm="1">
        <f t="array" ref="H414">_xlfn.IFS(A414&lt;=30, "Youth", A414&lt;=50, "Adult", A414&gt;50, "Older")</f>
        <v>Youth</v>
      </c>
      <c r="I414" t="str" cm="1">
        <f t="array" ref="I414">_xlfn.IFS(A414&lt;=25,"18-25",A414&lt;=35,"26-35",A414&lt;=45,"36-45",A414&lt;=60,"46-60",A414&gt;60,"60+")</f>
        <v>26-35</v>
      </c>
      <c r="J414" t="str" cm="1">
        <f t="array" ref="J414">_xlfn.IFS(C414&lt;18.5,"Underweight",C414&lt;25,"Normal",C414&lt;30,"Overweight",C414&gt;=30,"Obese")</f>
        <v>Overweight</v>
      </c>
      <c r="K414" t="str" cm="1">
        <f t="array" ref="K414">_xlfn.IFS(G414&lt;10000, "Low", G414&lt;=25000, "Medium", G414&gt;25000, "High")</f>
        <v>Low</v>
      </c>
    </row>
    <row r="415" spans="1:11" x14ac:dyDescent="0.3">
      <c r="A415">
        <v>29</v>
      </c>
      <c r="B415" s="1" t="s">
        <v>8</v>
      </c>
      <c r="C415">
        <v>27.5</v>
      </c>
      <c r="D415">
        <v>0</v>
      </c>
      <c r="E415" t="s">
        <v>10</v>
      </c>
      <c r="F415" t="s">
        <v>11</v>
      </c>
      <c r="G415" s="2">
        <v>5757.41345</v>
      </c>
      <c r="H415" t="str" cm="1">
        <f t="array" ref="H415">_xlfn.IFS(A415&lt;=30, "Youth", A415&lt;=50, "Adult", A415&gt;50, "Older")</f>
        <v>Youth</v>
      </c>
      <c r="I415" t="str" cm="1">
        <f t="array" ref="I415">_xlfn.IFS(A415&lt;=25,"18-25",A415&lt;=35,"26-35",A415&lt;=45,"36-45",A415&lt;=60,"46-60",A415&gt;60,"60+")</f>
        <v>26-35</v>
      </c>
      <c r="J415" t="str" cm="1">
        <f t="array" ref="J415">_xlfn.IFS(C415&lt;18.5,"Underweight",C415&lt;25,"Normal",C415&lt;30,"Overweight",C415&gt;=30,"Obese")</f>
        <v>Overweight</v>
      </c>
      <c r="K415" t="str" cm="1">
        <f t="array" ref="K415">_xlfn.IFS(G415&lt;10000, "Low", G415&lt;=25000, "Medium", G415&gt;25000, "High")</f>
        <v>Low</v>
      </c>
    </row>
    <row r="416" spans="1:11" x14ac:dyDescent="0.3">
      <c r="A416">
        <v>29</v>
      </c>
      <c r="B416" s="1" t="s">
        <v>7</v>
      </c>
      <c r="C416">
        <v>27.5</v>
      </c>
      <c r="D416">
        <v>0</v>
      </c>
      <c r="E416" t="s">
        <v>10</v>
      </c>
      <c r="F416" t="s">
        <v>13</v>
      </c>
      <c r="G416" s="2">
        <v>5836.5204000000003</v>
      </c>
      <c r="H416" t="str" cm="1">
        <f t="array" ref="H416">_xlfn.IFS(A416&lt;=30, "Youth", A416&lt;=50, "Adult", A416&gt;50, "Older")</f>
        <v>Youth</v>
      </c>
      <c r="I416" t="str" cm="1">
        <f t="array" ref="I416">_xlfn.IFS(A416&lt;=25,"18-25",A416&lt;=35,"26-35",A416&lt;=45,"36-45",A416&lt;=60,"46-60",A416&gt;60,"60+")</f>
        <v>26-35</v>
      </c>
      <c r="J416" t="str" cm="1">
        <f t="array" ref="J416">_xlfn.IFS(C416&lt;18.5,"Underweight",C416&lt;25,"Normal",C416&lt;30,"Overweight",C416&gt;=30,"Obese")</f>
        <v>Overweight</v>
      </c>
      <c r="K416" t="str" cm="1">
        <f t="array" ref="K416">_xlfn.IFS(G416&lt;10000, "Low", G416&lt;=25000, "Medium", G416&gt;25000, "High")</f>
        <v>Low</v>
      </c>
    </row>
    <row r="417" spans="1:11" x14ac:dyDescent="0.3">
      <c r="A417">
        <v>29</v>
      </c>
      <c r="B417" s="1" t="s">
        <v>7</v>
      </c>
      <c r="C417">
        <v>27.5</v>
      </c>
      <c r="D417">
        <v>0</v>
      </c>
      <c r="E417" t="s">
        <v>10</v>
      </c>
      <c r="F417" t="s">
        <v>12</v>
      </c>
      <c r="G417" s="2">
        <v>5846.9175999999998</v>
      </c>
      <c r="H417" t="str" cm="1">
        <f t="array" ref="H417">_xlfn.IFS(A417&lt;=30, "Youth", A417&lt;=50, "Adult", A417&gt;50, "Older")</f>
        <v>Youth</v>
      </c>
      <c r="I417" t="str" cm="1">
        <f t="array" ref="I417">_xlfn.IFS(A417&lt;=25,"18-25",A417&lt;=35,"26-35",A417&lt;=45,"36-45",A417&lt;=60,"46-60",A417&gt;60,"60+")</f>
        <v>26-35</v>
      </c>
      <c r="J417" t="str" cm="1">
        <f t="array" ref="J417">_xlfn.IFS(C417&lt;18.5,"Underweight",C417&lt;25,"Normal",C417&lt;30,"Overweight",C417&gt;=30,"Obese")</f>
        <v>Overweight</v>
      </c>
      <c r="K417" t="str" cm="1">
        <f t="array" ref="K417">_xlfn.IFS(G417&lt;10000, "Low", G417&lt;=25000, "Medium", G417&gt;25000, "High")</f>
        <v>Low</v>
      </c>
    </row>
    <row r="418" spans="1:11" x14ac:dyDescent="0.3">
      <c r="A418">
        <v>30</v>
      </c>
      <c r="B418" s="1" t="s">
        <v>8</v>
      </c>
      <c r="C418">
        <v>27.5</v>
      </c>
      <c r="D418">
        <v>0</v>
      </c>
      <c r="E418" t="s">
        <v>10</v>
      </c>
      <c r="F418" t="s">
        <v>12</v>
      </c>
      <c r="G418" s="2">
        <v>5855.9025000000001</v>
      </c>
      <c r="H418" t="str" cm="1">
        <f t="array" ref="H418">_xlfn.IFS(A418&lt;=30, "Youth", A418&lt;=50, "Adult", A418&gt;50, "Older")</f>
        <v>Youth</v>
      </c>
      <c r="I418" t="str" cm="1">
        <f t="array" ref="I418">_xlfn.IFS(A418&lt;=25,"18-25",A418&lt;=35,"26-35",A418&lt;=45,"36-45",A418&lt;=60,"46-60",A418&gt;60,"60+")</f>
        <v>26-35</v>
      </c>
      <c r="J418" t="str" cm="1">
        <f t="array" ref="J418">_xlfn.IFS(C418&lt;18.5,"Underweight",C418&lt;25,"Normal",C418&lt;30,"Overweight",C418&gt;=30,"Obese")</f>
        <v>Overweight</v>
      </c>
      <c r="K418" t="str" cm="1">
        <f t="array" ref="K418">_xlfn.IFS(G418&lt;10000, "Low", G418&lt;=25000, "Medium", G418&gt;25000, "High")</f>
        <v>Low</v>
      </c>
    </row>
    <row r="419" spans="1:11" x14ac:dyDescent="0.3">
      <c r="A419">
        <v>30</v>
      </c>
      <c r="B419" s="1" t="s">
        <v>7</v>
      </c>
      <c r="C419">
        <v>27.5</v>
      </c>
      <c r="D419">
        <v>0</v>
      </c>
      <c r="E419" t="s">
        <v>9</v>
      </c>
      <c r="F419" t="s">
        <v>11</v>
      </c>
      <c r="G419" s="2">
        <v>5910.9440000000004</v>
      </c>
      <c r="H419" t="str" cm="1">
        <f t="array" ref="H419">_xlfn.IFS(A419&lt;=30, "Youth", A419&lt;=50, "Adult", A419&gt;50, "Older")</f>
        <v>Youth</v>
      </c>
      <c r="I419" t="str" cm="1">
        <f t="array" ref="I419">_xlfn.IFS(A419&lt;=25,"18-25",A419&lt;=35,"26-35",A419&lt;=45,"36-45",A419&lt;=60,"46-60",A419&gt;60,"60+")</f>
        <v>26-35</v>
      </c>
      <c r="J419" t="str" cm="1">
        <f t="array" ref="J419">_xlfn.IFS(C419&lt;18.5,"Underweight",C419&lt;25,"Normal",C419&lt;30,"Overweight",C419&gt;=30,"Obese")</f>
        <v>Overweight</v>
      </c>
      <c r="K419" t="str" cm="1">
        <f t="array" ref="K419">_xlfn.IFS(G419&lt;10000, "Low", G419&lt;=25000, "Medium", G419&gt;25000, "High")</f>
        <v>Low</v>
      </c>
    </row>
    <row r="420" spans="1:11" x14ac:dyDescent="0.3">
      <c r="A420">
        <v>30</v>
      </c>
      <c r="B420" s="1" t="s">
        <v>8</v>
      </c>
      <c r="C420">
        <v>27.55</v>
      </c>
      <c r="D420">
        <v>0</v>
      </c>
      <c r="E420" t="s">
        <v>10</v>
      </c>
      <c r="F420" t="s">
        <v>12</v>
      </c>
      <c r="G420" s="2">
        <v>5920.1040999999996</v>
      </c>
      <c r="H420" t="str" cm="1">
        <f t="array" ref="H420">_xlfn.IFS(A420&lt;=30, "Youth", A420&lt;=50, "Adult", A420&gt;50, "Older")</f>
        <v>Youth</v>
      </c>
      <c r="I420" t="str" cm="1">
        <f t="array" ref="I420">_xlfn.IFS(A420&lt;=25,"18-25",A420&lt;=35,"26-35",A420&lt;=45,"36-45",A420&lt;=60,"46-60",A420&gt;60,"60+")</f>
        <v>26-35</v>
      </c>
      <c r="J420" t="str" cm="1">
        <f t="array" ref="J420">_xlfn.IFS(C420&lt;18.5,"Underweight",C420&lt;25,"Normal",C420&lt;30,"Overweight",C420&gt;=30,"Obese")</f>
        <v>Overweight</v>
      </c>
      <c r="K420" t="str" cm="1">
        <f t="array" ref="K420">_xlfn.IFS(G420&lt;10000, "Low", G420&lt;=25000, "Medium", G420&gt;25000, "High")</f>
        <v>Low</v>
      </c>
    </row>
    <row r="421" spans="1:11" x14ac:dyDescent="0.3">
      <c r="A421">
        <v>30</v>
      </c>
      <c r="B421" s="1" t="s">
        <v>7</v>
      </c>
      <c r="C421">
        <v>27.55</v>
      </c>
      <c r="D421">
        <v>0</v>
      </c>
      <c r="E421" t="s">
        <v>9</v>
      </c>
      <c r="F421" t="s">
        <v>13</v>
      </c>
      <c r="G421" s="2">
        <v>5926.8459999999995</v>
      </c>
      <c r="H421" t="str" cm="1">
        <f t="array" ref="H421">_xlfn.IFS(A421&lt;=30, "Youth", A421&lt;=50, "Adult", A421&gt;50, "Older")</f>
        <v>Youth</v>
      </c>
      <c r="I421" t="str" cm="1">
        <f t="array" ref="I421">_xlfn.IFS(A421&lt;=25,"18-25",A421&lt;=35,"26-35",A421&lt;=45,"36-45",A421&lt;=60,"46-60",A421&gt;60,"60+")</f>
        <v>26-35</v>
      </c>
      <c r="J421" t="str" cm="1">
        <f t="array" ref="J421">_xlfn.IFS(C421&lt;18.5,"Underweight",C421&lt;25,"Normal",C421&lt;30,"Overweight",C421&gt;=30,"Obese")</f>
        <v>Overweight</v>
      </c>
      <c r="K421" t="str" cm="1">
        <f t="array" ref="K421">_xlfn.IFS(G421&lt;10000, "Low", G421&lt;=25000, "Medium", G421&gt;25000, "High")</f>
        <v>Low</v>
      </c>
    </row>
    <row r="422" spans="1:11" x14ac:dyDescent="0.3">
      <c r="A422">
        <v>30</v>
      </c>
      <c r="B422" s="1" t="s">
        <v>8</v>
      </c>
      <c r="C422">
        <v>27.55</v>
      </c>
      <c r="D422">
        <v>0</v>
      </c>
      <c r="E422" t="s">
        <v>9</v>
      </c>
      <c r="F422" t="s">
        <v>12</v>
      </c>
      <c r="G422" s="2">
        <v>5934.3797999999997</v>
      </c>
      <c r="H422" t="str" cm="1">
        <f t="array" ref="H422">_xlfn.IFS(A422&lt;=30, "Youth", A422&lt;=50, "Adult", A422&gt;50, "Older")</f>
        <v>Youth</v>
      </c>
      <c r="I422" t="str" cm="1">
        <f t="array" ref="I422">_xlfn.IFS(A422&lt;=25,"18-25",A422&lt;=35,"26-35",A422&lt;=45,"36-45",A422&lt;=60,"46-60",A422&gt;60,"60+")</f>
        <v>26-35</v>
      </c>
      <c r="J422" t="str" cm="1">
        <f t="array" ref="J422">_xlfn.IFS(C422&lt;18.5,"Underweight",C422&lt;25,"Normal",C422&lt;30,"Overweight",C422&gt;=30,"Obese")</f>
        <v>Overweight</v>
      </c>
      <c r="K422" t="str" cm="1">
        <f t="array" ref="K422">_xlfn.IFS(G422&lt;10000, "Low", G422&lt;=25000, "Medium", G422&gt;25000, "High")</f>
        <v>Low</v>
      </c>
    </row>
    <row r="423" spans="1:11" x14ac:dyDescent="0.3">
      <c r="A423">
        <v>30</v>
      </c>
      <c r="B423" s="1" t="s">
        <v>8</v>
      </c>
      <c r="C423">
        <v>27.55</v>
      </c>
      <c r="D423">
        <v>0</v>
      </c>
      <c r="E423" t="s">
        <v>9</v>
      </c>
      <c r="F423" t="s">
        <v>12</v>
      </c>
      <c r="G423" s="2">
        <v>5966.8873999999996</v>
      </c>
      <c r="H423" t="str" cm="1">
        <f t="array" ref="H423">_xlfn.IFS(A423&lt;=30, "Youth", A423&lt;=50, "Adult", A423&gt;50, "Older")</f>
        <v>Youth</v>
      </c>
      <c r="I423" t="str" cm="1">
        <f t="array" ref="I423">_xlfn.IFS(A423&lt;=25,"18-25",A423&lt;=35,"26-35",A423&lt;=45,"36-45",A423&lt;=60,"46-60",A423&gt;60,"60+")</f>
        <v>26-35</v>
      </c>
      <c r="J423" t="str" cm="1">
        <f t="array" ref="J423">_xlfn.IFS(C423&lt;18.5,"Underweight",C423&lt;25,"Normal",C423&lt;30,"Overweight",C423&gt;=30,"Obese")</f>
        <v>Overweight</v>
      </c>
      <c r="K423" t="str" cm="1">
        <f t="array" ref="K423">_xlfn.IFS(G423&lt;10000, "Low", G423&lt;=25000, "Medium", G423&gt;25000, "High")</f>
        <v>Low</v>
      </c>
    </row>
    <row r="424" spans="1:11" x14ac:dyDescent="0.3">
      <c r="A424">
        <v>30</v>
      </c>
      <c r="B424" s="1" t="s">
        <v>8</v>
      </c>
      <c r="C424">
        <v>27.6</v>
      </c>
      <c r="D424">
        <v>0</v>
      </c>
      <c r="E424" t="s">
        <v>9</v>
      </c>
      <c r="F424" t="s">
        <v>14</v>
      </c>
      <c r="G424" s="2">
        <v>5969.723</v>
      </c>
      <c r="H424" t="str" cm="1">
        <f t="array" ref="H424">_xlfn.IFS(A424&lt;=30, "Youth", A424&lt;=50, "Adult", A424&gt;50, "Older")</f>
        <v>Youth</v>
      </c>
      <c r="I424" t="str" cm="1">
        <f t="array" ref="I424">_xlfn.IFS(A424&lt;=25,"18-25",A424&lt;=35,"26-35",A424&lt;=45,"36-45",A424&lt;=60,"46-60",A424&gt;60,"60+")</f>
        <v>26-35</v>
      </c>
      <c r="J424" t="str" cm="1">
        <f t="array" ref="J424">_xlfn.IFS(C424&lt;18.5,"Underweight",C424&lt;25,"Normal",C424&lt;30,"Overweight",C424&gt;=30,"Obese")</f>
        <v>Overweight</v>
      </c>
      <c r="K424" t="str" cm="1">
        <f t="array" ref="K424">_xlfn.IFS(G424&lt;10000, "Low", G424&lt;=25000, "Medium", G424&gt;25000, "High")</f>
        <v>Low</v>
      </c>
    </row>
    <row r="425" spans="1:11" x14ac:dyDescent="0.3">
      <c r="A425">
        <v>30</v>
      </c>
      <c r="B425" s="1" t="s">
        <v>8</v>
      </c>
      <c r="C425">
        <v>27.6</v>
      </c>
      <c r="D425">
        <v>0</v>
      </c>
      <c r="E425" t="s">
        <v>10</v>
      </c>
      <c r="F425" t="s">
        <v>14</v>
      </c>
      <c r="G425" s="2">
        <v>5972.3779999999997</v>
      </c>
      <c r="H425" t="str" cm="1">
        <f t="array" ref="H425">_xlfn.IFS(A425&lt;=30, "Youth", A425&lt;=50, "Adult", A425&gt;50, "Older")</f>
        <v>Youth</v>
      </c>
      <c r="I425" t="str" cm="1">
        <f t="array" ref="I425">_xlfn.IFS(A425&lt;=25,"18-25",A425&lt;=35,"26-35",A425&lt;=45,"36-45",A425&lt;=60,"46-60",A425&gt;60,"60+")</f>
        <v>26-35</v>
      </c>
      <c r="J425" t="str" cm="1">
        <f t="array" ref="J425">_xlfn.IFS(C425&lt;18.5,"Underweight",C425&lt;25,"Normal",C425&lt;30,"Overweight",C425&gt;=30,"Obese")</f>
        <v>Overweight</v>
      </c>
      <c r="K425" t="str" cm="1">
        <f t="array" ref="K425">_xlfn.IFS(G425&lt;10000, "Low", G425&lt;=25000, "Medium", G425&gt;25000, "High")</f>
        <v>Low</v>
      </c>
    </row>
    <row r="426" spans="1:11" x14ac:dyDescent="0.3">
      <c r="A426">
        <v>30</v>
      </c>
      <c r="B426" s="1" t="s">
        <v>8</v>
      </c>
      <c r="C426">
        <v>27.6</v>
      </c>
      <c r="D426">
        <v>0</v>
      </c>
      <c r="E426" t="s">
        <v>10</v>
      </c>
      <c r="F426" t="s">
        <v>11</v>
      </c>
      <c r="G426" s="2">
        <v>5974.3846999999996</v>
      </c>
      <c r="H426" t="str" cm="1">
        <f t="array" ref="H426">_xlfn.IFS(A426&lt;=30, "Youth", A426&lt;=50, "Adult", A426&gt;50, "Older")</f>
        <v>Youth</v>
      </c>
      <c r="I426" t="str" cm="1">
        <f t="array" ref="I426">_xlfn.IFS(A426&lt;=25,"18-25",A426&lt;=35,"26-35",A426&lt;=45,"36-45",A426&lt;=60,"46-60",A426&gt;60,"60+")</f>
        <v>26-35</v>
      </c>
      <c r="J426" t="str" cm="1">
        <f t="array" ref="J426">_xlfn.IFS(C426&lt;18.5,"Underweight",C426&lt;25,"Normal",C426&lt;30,"Overweight",C426&gt;=30,"Obese")</f>
        <v>Overweight</v>
      </c>
      <c r="K426" t="str" cm="1">
        <f t="array" ref="K426">_xlfn.IFS(G426&lt;10000, "Low", G426&lt;=25000, "Medium", G426&gt;25000, "High")</f>
        <v>Low</v>
      </c>
    </row>
    <row r="427" spans="1:11" x14ac:dyDescent="0.3">
      <c r="A427">
        <v>30</v>
      </c>
      <c r="B427" s="1" t="s">
        <v>8</v>
      </c>
      <c r="C427">
        <v>27.6</v>
      </c>
      <c r="D427">
        <v>0</v>
      </c>
      <c r="E427" t="s">
        <v>10</v>
      </c>
      <c r="F427" t="s">
        <v>12</v>
      </c>
      <c r="G427" s="2">
        <v>5976.8311000000003</v>
      </c>
      <c r="H427" t="str" cm="1">
        <f t="array" ref="H427">_xlfn.IFS(A427&lt;=30, "Youth", A427&lt;=50, "Adult", A427&gt;50, "Older")</f>
        <v>Youth</v>
      </c>
      <c r="I427" t="str" cm="1">
        <f t="array" ref="I427">_xlfn.IFS(A427&lt;=25,"18-25",A427&lt;=35,"26-35",A427&lt;=45,"36-45",A427&lt;=60,"46-60",A427&gt;60,"60+")</f>
        <v>26-35</v>
      </c>
      <c r="J427" t="str" cm="1">
        <f t="array" ref="J427">_xlfn.IFS(C427&lt;18.5,"Underweight",C427&lt;25,"Normal",C427&lt;30,"Overweight",C427&gt;=30,"Obese")</f>
        <v>Overweight</v>
      </c>
      <c r="K427" t="str" cm="1">
        <f t="array" ref="K427">_xlfn.IFS(G427&lt;10000, "Low", G427&lt;=25000, "Medium", G427&gt;25000, "High")</f>
        <v>Low</v>
      </c>
    </row>
    <row r="428" spans="1:11" x14ac:dyDescent="0.3">
      <c r="A428">
        <v>30</v>
      </c>
      <c r="B428" s="1" t="s">
        <v>7</v>
      </c>
      <c r="C428">
        <v>27.6</v>
      </c>
      <c r="D428">
        <v>0</v>
      </c>
      <c r="E428" t="s">
        <v>10</v>
      </c>
      <c r="F428" t="s">
        <v>14</v>
      </c>
      <c r="G428" s="2">
        <v>5979.7309999999998</v>
      </c>
      <c r="H428" t="str" cm="1">
        <f t="array" ref="H428">_xlfn.IFS(A428&lt;=30, "Youth", A428&lt;=50, "Adult", A428&gt;50, "Older")</f>
        <v>Youth</v>
      </c>
      <c r="I428" t="str" cm="1">
        <f t="array" ref="I428">_xlfn.IFS(A428&lt;=25,"18-25",A428&lt;=35,"26-35",A428&lt;=45,"36-45",A428&lt;=60,"46-60",A428&gt;60,"60+")</f>
        <v>26-35</v>
      </c>
      <c r="J428" t="str" cm="1">
        <f t="array" ref="J428">_xlfn.IFS(C428&lt;18.5,"Underweight",C428&lt;25,"Normal",C428&lt;30,"Overweight",C428&gt;=30,"Obese")</f>
        <v>Overweight</v>
      </c>
      <c r="K428" t="str" cm="1">
        <f t="array" ref="K428">_xlfn.IFS(G428&lt;10000, "Low", G428&lt;=25000, "Medium", G428&gt;25000, "High")</f>
        <v>Low</v>
      </c>
    </row>
    <row r="429" spans="1:11" x14ac:dyDescent="0.3">
      <c r="A429">
        <v>30</v>
      </c>
      <c r="B429" s="1" t="s">
        <v>7</v>
      </c>
      <c r="C429">
        <v>27.61</v>
      </c>
      <c r="D429">
        <v>0</v>
      </c>
      <c r="E429" t="s">
        <v>10</v>
      </c>
      <c r="F429" t="s">
        <v>14</v>
      </c>
      <c r="G429" s="2">
        <v>5989.5236500000001</v>
      </c>
      <c r="H429" t="str" cm="1">
        <f t="array" ref="H429">_xlfn.IFS(A429&lt;=30, "Youth", A429&lt;=50, "Adult", A429&gt;50, "Older")</f>
        <v>Youth</v>
      </c>
      <c r="I429" t="str" cm="1">
        <f t="array" ref="I429">_xlfn.IFS(A429&lt;=25,"18-25",A429&lt;=35,"26-35",A429&lt;=45,"36-45",A429&lt;=60,"46-60",A429&gt;60,"60+")</f>
        <v>26-35</v>
      </c>
      <c r="J429" t="str" cm="1">
        <f t="array" ref="J429">_xlfn.IFS(C429&lt;18.5,"Underweight",C429&lt;25,"Normal",C429&lt;30,"Overweight",C429&gt;=30,"Obese")</f>
        <v>Overweight</v>
      </c>
      <c r="K429" t="str" cm="1">
        <f t="array" ref="K429">_xlfn.IFS(G429&lt;10000, "Low", G429&lt;=25000, "Medium", G429&gt;25000, "High")</f>
        <v>Low</v>
      </c>
    </row>
    <row r="430" spans="1:11" x14ac:dyDescent="0.3">
      <c r="A430">
        <v>30</v>
      </c>
      <c r="B430" s="1" t="s">
        <v>7</v>
      </c>
      <c r="C430">
        <v>27.645</v>
      </c>
      <c r="D430">
        <v>0</v>
      </c>
      <c r="E430" t="s">
        <v>10</v>
      </c>
      <c r="F430" t="s">
        <v>14</v>
      </c>
      <c r="G430" s="2">
        <v>6059.1729999999998</v>
      </c>
      <c r="H430" t="str" cm="1">
        <f t="array" ref="H430">_xlfn.IFS(A430&lt;=30, "Youth", A430&lt;=50, "Adult", A430&gt;50, "Older")</f>
        <v>Youth</v>
      </c>
      <c r="I430" t="str" cm="1">
        <f t="array" ref="I430">_xlfn.IFS(A430&lt;=25,"18-25",A430&lt;=35,"26-35",A430&lt;=45,"36-45",A430&lt;=60,"46-60",A430&gt;60,"60+")</f>
        <v>26-35</v>
      </c>
      <c r="J430" t="str" cm="1">
        <f t="array" ref="J430">_xlfn.IFS(C430&lt;18.5,"Underweight",C430&lt;25,"Normal",C430&lt;30,"Overweight",C430&gt;=30,"Obese")</f>
        <v>Overweight</v>
      </c>
      <c r="K430" t="str" cm="1">
        <f t="array" ref="K430">_xlfn.IFS(G430&lt;10000, "Low", G430&lt;=25000, "Medium", G430&gt;25000, "High")</f>
        <v>Low</v>
      </c>
    </row>
    <row r="431" spans="1:11" x14ac:dyDescent="0.3">
      <c r="A431">
        <v>30</v>
      </c>
      <c r="B431" s="1" t="s">
        <v>7</v>
      </c>
      <c r="C431">
        <v>27.645</v>
      </c>
      <c r="D431">
        <v>0</v>
      </c>
      <c r="E431" t="s">
        <v>10</v>
      </c>
      <c r="F431" t="s">
        <v>13</v>
      </c>
      <c r="G431" s="2">
        <v>6067.1267500000004</v>
      </c>
      <c r="H431" t="str" cm="1">
        <f t="array" ref="H431">_xlfn.IFS(A431&lt;=30, "Youth", A431&lt;=50, "Adult", A431&gt;50, "Older")</f>
        <v>Youth</v>
      </c>
      <c r="I431" t="str" cm="1">
        <f t="array" ref="I431">_xlfn.IFS(A431&lt;=25,"18-25",A431&lt;=35,"26-35",A431&lt;=45,"36-45",A431&lt;=60,"46-60",A431&gt;60,"60+")</f>
        <v>26-35</v>
      </c>
      <c r="J431" t="str" cm="1">
        <f t="array" ref="J431">_xlfn.IFS(C431&lt;18.5,"Underweight",C431&lt;25,"Normal",C431&lt;30,"Overweight",C431&gt;=30,"Obese")</f>
        <v>Overweight</v>
      </c>
      <c r="K431" t="str" cm="1">
        <f t="array" ref="K431">_xlfn.IFS(G431&lt;10000, "Low", G431&lt;=25000, "Medium", G431&gt;25000, "High")</f>
        <v>Low</v>
      </c>
    </row>
    <row r="432" spans="1:11" x14ac:dyDescent="0.3">
      <c r="A432">
        <v>30</v>
      </c>
      <c r="B432" s="1" t="s">
        <v>8</v>
      </c>
      <c r="C432">
        <v>27.645</v>
      </c>
      <c r="D432">
        <v>0</v>
      </c>
      <c r="E432" t="s">
        <v>10</v>
      </c>
      <c r="F432" t="s">
        <v>11</v>
      </c>
      <c r="G432" s="2">
        <v>6079.6715000000004</v>
      </c>
      <c r="H432" t="str" cm="1">
        <f t="array" ref="H432">_xlfn.IFS(A432&lt;=30, "Youth", A432&lt;=50, "Adult", A432&gt;50, "Older")</f>
        <v>Youth</v>
      </c>
      <c r="I432" t="str" cm="1">
        <f t="array" ref="I432">_xlfn.IFS(A432&lt;=25,"18-25",A432&lt;=35,"26-35",A432&lt;=45,"36-45",A432&lt;=60,"46-60",A432&gt;60,"60+")</f>
        <v>26-35</v>
      </c>
      <c r="J432" t="str" cm="1">
        <f t="array" ref="J432">_xlfn.IFS(C432&lt;18.5,"Underweight",C432&lt;25,"Normal",C432&lt;30,"Overweight",C432&gt;=30,"Obese")</f>
        <v>Overweight</v>
      </c>
      <c r="K432" t="str" cm="1">
        <f t="array" ref="K432">_xlfn.IFS(G432&lt;10000, "Low", G432&lt;=25000, "Medium", G432&gt;25000, "High")</f>
        <v>Low</v>
      </c>
    </row>
    <row r="433" spans="1:11" x14ac:dyDescent="0.3">
      <c r="A433">
        <v>30</v>
      </c>
      <c r="B433" s="1" t="s">
        <v>7</v>
      </c>
      <c r="C433">
        <v>27.645</v>
      </c>
      <c r="D433">
        <v>0</v>
      </c>
      <c r="E433" t="s">
        <v>10</v>
      </c>
      <c r="F433" t="s">
        <v>13</v>
      </c>
      <c r="G433" s="2">
        <v>6082.4049999999997</v>
      </c>
      <c r="H433" t="str" cm="1">
        <f t="array" ref="H433">_xlfn.IFS(A433&lt;=30, "Youth", A433&lt;=50, "Adult", A433&gt;50, "Older")</f>
        <v>Youth</v>
      </c>
      <c r="I433" t="str" cm="1">
        <f t="array" ref="I433">_xlfn.IFS(A433&lt;=25,"18-25",A433&lt;=35,"26-35",A433&lt;=45,"36-45",A433&lt;=60,"46-60",A433&gt;60,"60+")</f>
        <v>26-35</v>
      </c>
      <c r="J433" t="str" cm="1">
        <f t="array" ref="J433">_xlfn.IFS(C433&lt;18.5,"Underweight",C433&lt;25,"Normal",C433&lt;30,"Overweight",C433&gt;=30,"Obese")</f>
        <v>Overweight</v>
      </c>
      <c r="K433" t="str" cm="1">
        <f t="array" ref="K433">_xlfn.IFS(G433&lt;10000, "Low", G433&lt;=25000, "Medium", G433&gt;25000, "High")</f>
        <v>Low</v>
      </c>
    </row>
    <row r="434" spans="1:11" x14ac:dyDescent="0.3">
      <c r="A434">
        <v>30</v>
      </c>
      <c r="B434" s="1" t="s">
        <v>8</v>
      </c>
      <c r="C434">
        <v>27.645</v>
      </c>
      <c r="D434">
        <v>0</v>
      </c>
      <c r="E434" t="s">
        <v>10</v>
      </c>
      <c r="F434" t="s">
        <v>11</v>
      </c>
      <c r="G434" s="2">
        <v>6112.3529500000004</v>
      </c>
      <c r="H434" t="str" cm="1">
        <f t="array" ref="H434">_xlfn.IFS(A434&lt;=30, "Youth", A434&lt;=50, "Adult", A434&gt;50, "Older")</f>
        <v>Youth</v>
      </c>
      <c r="I434" t="str" cm="1">
        <f t="array" ref="I434">_xlfn.IFS(A434&lt;=25,"18-25",A434&lt;=35,"26-35",A434&lt;=45,"36-45",A434&lt;=60,"46-60",A434&gt;60,"60+")</f>
        <v>26-35</v>
      </c>
      <c r="J434" t="str" cm="1">
        <f t="array" ref="J434">_xlfn.IFS(C434&lt;18.5,"Underweight",C434&lt;25,"Normal",C434&lt;30,"Overweight",C434&gt;=30,"Obese")</f>
        <v>Overweight</v>
      </c>
      <c r="K434" t="str" cm="1">
        <f t="array" ref="K434">_xlfn.IFS(G434&lt;10000, "Low", G434&lt;=25000, "Medium", G434&gt;25000, "High")</f>
        <v>Low</v>
      </c>
    </row>
    <row r="435" spans="1:11" x14ac:dyDescent="0.3">
      <c r="A435">
        <v>30</v>
      </c>
      <c r="B435" s="1" t="s">
        <v>7</v>
      </c>
      <c r="C435">
        <v>27.645</v>
      </c>
      <c r="D435">
        <v>0</v>
      </c>
      <c r="E435" t="s">
        <v>10</v>
      </c>
      <c r="F435" t="s">
        <v>11</v>
      </c>
      <c r="G435" s="2">
        <v>6113.2310500000003</v>
      </c>
      <c r="H435" t="str" cm="1">
        <f t="array" ref="H435">_xlfn.IFS(A435&lt;=30, "Youth", A435&lt;=50, "Adult", A435&gt;50, "Older")</f>
        <v>Youth</v>
      </c>
      <c r="I435" t="str" cm="1">
        <f t="array" ref="I435">_xlfn.IFS(A435&lt;=25,"18-25",A435&lt;=35,"26-35",A435&lt;=45,"36-45",A435&lt;=60,"46-60",A435&gt;60,"60+")</f>
        <v>26-35</v>
      </c>
      <c r="J435" t="str" cm="1">
        <f t="array" ref="J435">_xlfn.IFS(C435&lt;18.5,"Underweight",C435&lt;25,"Normal",C435&lt;30,"Overweight",C435&gt;=30,"Obese")</f>
        <v>Overweight</v>
      </c>
      <c r="K435" t="str" cm="1">
        <f t="array" ref="K435">_xlfn.IFS(G435&lt;10000, "Low", G435&lt;=25000, "Medium", G435&gt;25000, "High")</f>
        <v>Low</v>
      </c>
    </row>
    <row r="436" spans="1:11" x14ac:dyDescent="0.3">
      <c r="A436">
        <v>30</v>
      </c>
      <c r="B436" s="1" t="s">
        <v>8</v>
      </c>
      <c r="C436">
        <v>27.645</v>
      </c>
      <c r="D436">
        <v>0</v>
      </c>
      <c r="E436" t="s">
        <v>10</v>
      </c>
      <c r="F436" t="s">
        <v>13</v>
      </c>
      <c r="G436" s="2">
        <v>6117.4944999999998</v>
      </c>
      <c r="H436" t="str" cm="1">
        <f t="array" ref="H436">_xlfn.IFS(A436&lt;=30, "Youth", A436&lt;=50, "Adult", A436&gt;50, "Older")</f>
        <v>Youth</v>
      </c>
      <c r="I436" t="str" cm="1">
        <f t="array" ref="I436">_xlfn.IFS(A436&lt;=25,"18-25",A436&lt;=35,"26-35",A436&lt;=45,"36-45",A436&lt;=60,"46-60",A436&gt;60,"60+")</f>
        <v>26-35</v>
      </c>
      <c r="J436" t="str" cm="1">
        <f t="array" ref="J436">_xlfn.IFS(C436&lt;18.5,"Underweight",C436&lt;25,"Normal",C436&lt;30,"Overweight",C436&gt;=30,"Obese")</f>
        <v>Overweight</v>
      </c>
      <c r="K436" t="str" cm="1">
        <f t="array" ref="K436">_xlfn.IFS(G436&lt;10000, "Low", G436&lt;=25000, "Medium", G436&gt;25000, "High")</f>
        <v>Low</v>
      </c>
    </row>
    <row r="437" spans="1:11" x14ac:dyDescent="0.3">
      <c r="A437">
        <v>30</v>
      </c>
      <c r="B437" s="1" t="s">
        <v>8</v>
      </c>
      <c r="C437">
        <v>27.7</v>
      </c>
      <c r="D437">
        <v>0</v>
      </c>
      <c r="E437" t="s">
        <v>10</v>
      </c>
      <c r="F437" t="s">
        <v>12</v>
      </c>
      <c r="G437" s="2">
        <v>6123.5688</v>
      </c>
      <c r="H437" t="str" cm="1">
        <f t="array" ref="H437">_xlfn.IFS(A437&lt;=30, "Youth", A437&lt;=50, "Adult", A437&gt;50, "Older")</f>
        <v>Youth</v>
      </c>
      <c r="I437" t="str" cm="1">
        <f t="array" ref="I437">_xlfn.IFS(A437&lt;=25,"18-25",A437&lt;=35,"26-35",A437&lt;=45,"36-45",A437&lt;=60,"46-60",A437&gt;60,"60+")</f>
        <v>26-35</v>
      </c>
      <c r="J437" t="str" cm="1">
        <f t="array" ref="J437">_xlfn.IFS(C437&lt;18.5,"Underweight",C437&lt;25,"Normal",C437&lt;30,"Overweight",C437&gt;=30,"Obese")</f>
        <v>Overweight</v>
      </c>
      <c r="K437" t="str" cm="1">
        <f t="array" ref="K437">_xlfn.IFS(G437&lt;10000, "Low", G437&lt;=25000, "Medium", G437&gt;25000, "High")</f>
        <v>Low</v>
      </c>
    </row>
    <row r="438" spans="1:11" x14ac:dyDescent="0.3">
      <c r="A438">
        <v>30</v>
      </c>
      <c r="B438" s="1" t="s">
        <v>8</v>
      </c>
      <c r="C438">
        <v>27.7</v>
      </c>
      <c r="D438">
        <v>0</v>
      </c>
      <c r="E438" t="s">
        <v>10</v>
      </c>
      <c r="F438" t="s">
        <v>14</v>
      </c>
      <c r="G438" s="2">
        <v>6128.79745</v>
      </c>
      <c r="H438" t="str" cm="1">
        <f t="array" ref="H438">_xlfn.IFS(A438&lt;=30, "Youth", A438&lt;=50, "Adult", A438&gt;50, "Older")</f>
        <v>Youth</v>
      </c>
      <c r="I438" t="str" cm="1">
        <f t="array" ref="I438">_xlfn.IFS(A438&lt;=25,"18-25",A438&lt;=35,"26-35",A438&lt;=45,"36-45",A438&lt;=60,"46-60",A438&gt;60,"60+")</f>
        <v>26-35</v>
      </c>
      <c r="J438" t="str" cm="1">
        <f t="array" ref="J438">_xlfn.IFS(C438&lt;18.5,"Underweight",C438&lt;25,"Normal",C438&lt;30,"Overweight",C438&gt;=30,"Obese")</f>
        <v>Overweight</v>
      </c>
      <c r="K438" t="str" cm="1">
        <f t="array" ref="K438">_xlfn.IFS(G438&lt;10000, "Low", G438&lt;=25000, "Medium", G438&gt;25000, "High")</f>
        <v>Low</v>
      </c>
    </row>
    <row r="439" spans="1:11" x14ac:dyDescent="0.3">
      <c r="A439">
        <v>30</v>
      </c>
      <c r="B439" s="1" t="s">
        <v>8</v>
      </c>
      <c r="C439">
        <v>27.7</v>
      </c>
      <c r="D439">
        <v>0</v>
      </c>
      <c r="E439" t="s">
        <v>10</v>
      </c>
      <c r="F439" t="s">
        <v>11</v>
      </c>
      <c r="G439" s="2">
        <v>6184.2993999999999</v>
      </c>
      <c r="H439" t="str" cm="1">
        <f t="array" ref="H439">_xlfn.IFS(A439&lt;=30, "Youth", A439&lt;=50, "Adult", A439&gt;50, "Older")</f>
        <v>Youth</v>
      </c>
      <c r="I439" t="str" cm="1">
        <f t="array" ref="I439">_xlfn.IFS(A439&lt;=25,"18-25",A439&lt;=35,"26-35",A439&lt;=45,"36-45",A439&lt;=60,"46-60",A439&gt;60,"60+")</f>
        <v>26-35</v>
      </c>
      <c r="J439" t="str" cm="1">
        <f t="array" ref="J439">_xlfn.IFS(C439&lt;18.5,"Underweight",C439&lt;25,"Normal",C439&lt;30,"Overweight",C439&gt;=30,"Obese")</f>
        <v>Overweight</v>
      </c>
      <c r="K439" t="str" cm="1">
        <f t="array" ref="K439">_xlfn.IFS(G439&lt;10000, "Low", G439&lt;=25000, "Medium", G439&gt;25000, "High")</f>
        <v>Low</v>
      </c>
    </row>
    <row r="440" spans="1:11" x14ac:dyDescent="0.3">
      <c r="A440">
        <v>30</v>
      </c>
      <c r="B440" s="1" t="s">
        <v>7</v>
      </c>
      <c r="C440">
        <v>27.72</v>
      </c>
      <c r="D440">
        <v>0</v>
      </c>
      <c r="E440" t="s">
        <v>10</v>
      </c>
      <c r="F440" t="s">
        <v>12</v>
      </c>
      <c r="G440" s="2">
        <v>6185.3208000000004</v>
      </c>
      <c r="H440" t="str" cm="1">
        <f t="array" ref="H440">_xlfn.IFS(A440&lt;=30, "Youth", A440&lt;=50, "Adult", A440&gt;50, "Older")</f>
        <v>Youth</v>
      </c>
      <c r="I440" t="str" cm="1">
        <f t="array" ref="I440">_xlfn.IFS(A440&lt;=25,"18-25",A440&lt;=35,"26-35",A440&lt;=45,"36-45",A440&lt;=60,"46-60",A440&gt;60,"60+")</f>
        <v>26-35</v>
      </c>
      <c r="J440" t="str" cm="1">
        <f t="array" ref="J440">_xlfn.IFS(C440&lt;18.5,"Underweight",C440&lt;25,"Normal",C440&lt;30,"Overweight",C440&gt;=30,"Obese")</f>
        <v>Overweight</v>
      </c>
      <c r="K440" t="str" cm="1">
        <f t="array" ref="K440">_xlfn.IFS(G440&lt;10000, "Low", G440&lt;=25000, "Medium", G440&gt;25000, "High")</f>
        <v>Low</v>
      </c>
    </row>
    <row r="441" spans="1:11" x14ac:dyDescent="0.3">
      <c r="A441">
        <v>30</v>
      </c>
      <c r="B441" s="1" t="s">
        <v>8</v>
      </c>
      <c r="C441">
        <v>27.72</v>
      </c>
      <c r="D441">
        <v>0</v>
      </c>
      <c r="E441" t="s">
        <v>10</v>
      </c>
      <c r="F441" t="s">
        <v>14</v>
      </c>
      <c r="G441" s="2">
        <v>6186.1270000000004</v>
      </c>
      <c r="H441" t="str" cm="1">
        <f t="array" ref="H441">_xlfn.IFS(A441&lt;=30, "Youth", A441&lt;=50, "Adult", A441&gt;50, "Older")</f>
        <v>Youth</v>
      </c>
      <c r="I441" t="str" cm="1">
        <f t="array" ref="I441">_xlfn.IFS(A441&lt;=25,"18-25",A441&lt;=35,"26-35",A441&lt;=45,"36-45",A441&lt;=60,"46-60",A441&gt;60,"60+")</f>
        <v>26-35</v>
      </c>
      <c r="J441" t="str" cm="1">
        <f t="array" ref="J441">_xlfn.IFS(C441&lt;18.5,"Underweight",C441&lt;25,"Normal",C441&lt;30,"Overweight",C441&gt;=30,"Obese")</f>
        <v>Overweight</v>
      </c>
      <c r="K441" t="str" cm="1">
        <f t="array" ref="K441">_xlfn.IFS(G441&lt;10000, "Low", G441&lt;=25000, "Medium", G441&gt;25000, "High")</f>
        <v>Low</v>
      </c>
    </row>
    <row r="442" spans="1:11" x14ac:dyDescent="0.3">
      <c r="A442">
        <v>30</v>
      </c>
      <c r="B442" s="1" t="s">
        <v>7</v>
      </c>
      <c r="C442">
        <v>27.72</v>
      </c>
      <c r="D442">
        <v>0</v>
      </c>
      <c r="E442" t="s">
        <v>10</v>
      </c>
      <c r="F442" t="s">
        <v>13</v>
      </c>
      <c r="G442" s="2">
        <v>6196.4480000000003</v>
      </c>
      <c r="H442" t="str" cm="1">
        <f t="array" ref="H442">_xlfn.IFS(A442&lt;=30, "Youth", A442&lt;=50, "Adult", A442&gt;50, "Older")</f>
        <v>Youth</v>
      </c>
      <c r="I442" t="str" cm="1">
        <f t="array" ref="I442">_xlfn.IFS(A442&lt;=25,"18-25",A442&lt;=35,"26-35",A442&lt;=45,"36-45",A442&lt;=60,"46-60",A442&gt;60,"60+")</f>
        <v>26-35</v>
      </c>
      <c r="J442" t="str" cm="1">
        <f t="array" ref="J442">_xlfn.IFS(C442&lt;18.5,"Underweight",C442&lt;25,"Normal",C442&lt;30,"Overweight",C442&gt;=30,"Obese")</f>
        <v>Overweight</v>
      </c>
      <c r="K442" t="str" cm="1">
        <f t="array" ref="K442">_xlfn.IFS(G442&lt;10000, "Low", G442&lt;=25000, "Medium", G442&gt;25000, "High")</f>
        <v>Low</v>
      </c>
    </row>
    <row r="443" spans="1:11" x14ac:dyDescent="0.3">
      <c r="A443">
        <v>30</v>
      </c>
      <c r="B443" s="1" t="s">
        <v>7</v>
      </c>
      <c r="C443">
        <v>27.72</v>
      </c>
      <c r="D443">
        <v>0</v>
      </c>
      <c r="E443" t="s">
        <v>9</v>
      </c>
      <c r="F443" t="s">
        <v>11</v>
      </c>
      <c r="G443" s="2">
        <v>6198.7518</v>
      </c>
      <c r="H443" t="str" cm="1">
        <f t="array" ref="H443">_xlfn.IFS(A443&lt;=30, "Youth", A443&lt;=50, "Adult", A443&gt;50, "Older")</f>
        <v>Youth</v>
      </c>
      <c r="I443" t="str" cm="1">
        <f t="array" ref="I443">_xlfn.IFS(A443&lt;=25,"18-25",A443&lt;=35,"26-35",A443&lt;=45,"36-45",A443&lt;=60,"46-60",A443&gt;60,"60+")</f>
        <v>26-35</v>
      </c>
      <c r="J443" t="str" cm="1">
        <f t="array" ref="J443">_xlfn.IFS(C443&lt;18.5,"Underweight",C443&lt;25,"Normal",C443&lt;30,"Overweight",C443&gt;=30,"Obese")</f>
        <v>Overweight</v>
      </c>
      <c r="K443" t="str" cm="1">
        <f t="array" ref="K443">_xlfn.IFS(G443&lt;10000, "Low", G443&lt;=25000, "Medium", G443&gt;25000, "High")</f>
        <v>Low</v>
      </c>
    </row>
    <row r="444" spans="1:11" x14ac:dyDescent="0.3">
      <c r="A444">
        <v>30</v>
      </c>
      <c r="B444" s="1" t="s">
        <v>8</v>
      </c>
      <c r="C444">
        <v>27.74</v>
      </c>
      <c r="D444">
        <v>0</v>
      </c>
      <c r="E444" t="s">
        <v>10</v>
      </c>
      <c r="F444" t="s">
        <v>12</v>
      </c>
      <c r="G444" s="2">
        <v>6203.90175</v>
      </c>
      <c r="H444" t="str" cm="1">
        <f t="array" ref="H444">_xlfn.IFS(A444&lt;=30, "Youth", A444&lt;=50, "Adult", A444&gt;50, "Older")</f>
        <v>Youth</v>
      </c>
      <c r="I444" t="str" cm="1">
        <f t="array" ref="I444">_xlfn.IFS(A444&lt;=25,"18-25",A444&lt;=35,"26-35",A444&lt;=45,"36-45",A444&lt;=60,"46-60",A444&gt;60,"60+")</f>
        <v>26-35</v>
      </c>
      <c r="J444" t="str" cm="1">
        <f t="array" ref="J444">_xlfn.IFS(C444&lt;18.5,"Underweight",C444&lt;25,"Normal",C444&lt;30,"Overweight",C444&gt;=30,"Obese")</f>
        <v>Overweight</v>
      </c>
      <c r="K444" t="str" cm="1">
        <f t="array" ref="K444">_xlfn.IFS(G444&lt;10000, "Low", G444&lt;=25000, "Medium", G444&gt;25000, "High")</f>
        <v>Low</v>
      </c>
    </row>
    <row r="445" spans="1:11" x14ac:dyDescent="0.3">
      <c r="A445">
        <v>31</v>
      </c>
      <c r="B445" s="1" t="s">
        <v>7</v>
      </c>
      <c r="C445">
        <v>27.74</v>
      </c>
      <c r="D445">
        <v>0</v>
      </c>
      <c r="E445" t="s">
        <v>10</v>
      </c>
      <c r="F445" t="s">
        <v>12</v>
      </c>
      <c r="G445" s="2">
        <v>6238.2979999999998</v>
      </c>
      <c r="H445" t="str" cm="1">
        <f t="array" ref="H445">_xlfn.IFS(A445&lt;=30, "Youth", A445&lt;=50, "Adult", A445&gt;50, "Older")</f>
        <v>Adult</v>
      </c>
      <c r="I445" t="str" cm="1">
        <f t="array" ref="I445">_xlfn.IFS(A445&lt;=25,"18-25",A445&lt;=35,"26-35",A445&lt;=45,"36-45",A445&lt;=60,"46-60",A445&gt;60,"60+")</f>
        <v>26-35</v>
      </c>
      <c r="J445" t="str" cm="1">
        <f t="array" ref="J445">_xlfn.IFS(C445&lt;18.5,"Underweight",C445&lt;25,"Normal",C445&lt;30,"Overweight",C445&gt;=30,"Obese")</f>
        <v>Overweight</v>
      </c>
      <c r="K445" t="str" cm="1">
        <f t="array" ref="K445">_xlfn.IFS(G445&lt;10000, "Low", G445&lt;=25000, "Medium", G445&gt;25000, "High")</f>
        <v>Low</v>
      </c>
    </row>
    <row r="446" spans="1:11" x14ac:dyDescent="0.3">
      <c r="A446">
        <v>31</v>
      </c>
      <c r="B446" s="1" t="s">
        <v>8</v>
      </c>
      <c r="C446">
        <v>27.74</v>
      </c>
      <c r="D446">
        <v>0</v>
      </c>
      <c r="E446" t="s">
        <v>9</v>
      </c>
      <c r="F446" t="s">
        <v>13</v>
      </c>
      <c r="G446" s="2">
        <v>6250.4350000000004</v>
      </c>
      <c r="H446" t="str" cm="1">
        <f t="array" ref="H446">_xlfn.IFS(A446&lt;=30, "Youth", A446&lt;=50, "Adult", A446&gt;50, "Older")</f>
        <v>Adult</v>
      </c>
      <c r="I446" t="str" cm="1">
        <f t="array" ref="I446">_xlfn.IFS(A446&lt;=25,"18-25",A446&lt;=35,"26-35",A446&lt;=45,"36-45",A446&lt;=60,"46-60",A446&gt;60,"60+")</f>
        <v>26-35</v>
      </c>
      <c r="J446" t="str" cm="1">
        <f t="array" ref="J446">_xlfn.IFS(C446&lt;18.5,"Underweight",C446&lt;25,"Normal",C446&lt;30,"Overweight",C446&gt;=30,"Obese")</f>
        <v>Overweight</v>
      </c>
      <c r="K446" t="str" cm="1">
        <f t="array" ref="K446">_xlfn.IFS(G446&lt;10000, "Low", G446&lt;=25000, "Medium", G446&gt;25000, "High")</f>
        <v>Low</v>
      </c>
    </row>
    <row r="447" spans="1:11" x14ac:dyDescent="0.3">
      <c r="A447">
        <v>31</v>
      </c>
      <c r="B447" s="1" t="s">
        <v>7</v>
      </c>
      <c r="C447">
        <v>27.74</v>
      </c>
      <c r="D447">
        <v>0</v>
      </c>
      <c r="E447" t="s">
        <v>10</v>
      </c>
      <c r="F447" t="s">
        <v>11</v>
      </c>
      <c r="G447" s="2">
        <v>6272.4772000000003</v>
      </c>
      <c r="H447" t="str" cm="1">
        <f t="array" ref="H447">_xlfn.IFS(A447&lt;=30, "Youth", A447&lt;=50, "Adult", A447&gt;50, "Older")</f>
        <v>Adult</v>
      </c>
      <c r="I447" t="str" cm="1">
        <f t="array" ref="I447">_xlfn.IFS(A447&lt;=25,"18-25",A447&lt;=35,"26-35",A447&lt;=45,"36-45",A447&lt;=60,"46-60",A447&gt;60,"60+")</f>
        <v>26-35</v>
      </c>
      <c r="J447" t="str" cm="1">
        <f t="array" ref="J447">_xlfn.IFS(C447&lt;18.5,"Underweight",C447&lt;25,"Normal",C447&lt;30,"Overweight",C447&gt;=30,"Obese")</f>
        <v>Overweight</v>
      </c>
      <c r="K447" t="str" cm="1">
        <f t="array" ref="K447">_xlfn.IFS(G447&lt;10000, "Low", G447&lt;=25000, "Medium", G447&gt;25000, "High")</f>
        <v>Low</v>
      </c>
    </row>
    <row r="448" spans="1:11" x14ac:dyDescent="0.3">
      <c r="A448">
        <v>31</v>
      </c>
      <c r="B448" s="1" t="s">
        <v>8</v>
      </c>
      <c r="C448">
        <v>27.74</v>
      </c>
      <c r="D448">
        <v>0</v>
      </c>
      <c r="E448" t="s">
        <v>10</v>
      </c>
      <c r="F448" t="s">
        <v>14</v>
      </c>
      <c r="G448" s="2">
        <v>6282.2349999999997</v>
      </c>
      <c r="H448" t="str" cm="1">
        <f t="array" ref="H448">_xlfn.IFS(A448&lt;=30, "Youth", A448&lt;=50, "Adult", A448&gt;50, "Older")</f>
        <v>Adult</v>
      </c>
      <c r="I448" t="str" cm="1">
        <f t="array" ref="I448">_xlfn.IFS(A448&lt;=25,"18-25",A448&lt;=35,"26-35",A448&lt;=45,"36-45",A448&lt;=60,"46-60",A448&gt;60,"60+")</f>
        <v>26-35</v>
      </c>
      <c r="J448" t="str" cm="1">
        <f t="array" ref="J448">_xlfn.IFS(C448&lt;18.5,"Underweight",C448&lt;25,"Normal",C448&lt;30,"Overweight",C448&gt;=30,"Obese")</f>
        <v>Overweight</v>
      </c>
      <c r="K448" t="str" cm="1">
        <f t="array" ref="K448">_xlfn.IFS(G448&lt;10000, "Low", G448&lt;=25000, "Medium", G448&gt;25000, "High")</f>
        <v>Low</v>
      </c>
    </row>
    <row r="449" spans="1:11" x14ac:dyDescent="0.3">
      <c r="A449">
        <v>31</v>
      </c>
      <c r="B449" s="1" t="s">
        <v>7</v>
      </c>
      <c r="C449">
        <v>27.74</v>
      </c>
      <c r="D449">
        <v>0</v>
      </c>
      <c r="E449" t="s">
        <v>10</v>
      </c>
      <c r="F449" t="s">
        <v>13</v>
      </c>
      <c r="G449" s="2">
        <v>6289.7548999999999</v>
      </c>
      <c r="H449" t="str" cm="1">
        <f t="array" ref="H449">_xlfn.IFS(A449&lt;=30, "Youth", A449&lt;=50, "Adult", A449&gt;50, "Older")</f>
        <v>Adult</v>
      </c>
      <c r="I449" t="str" cm="1">
        <f t="array" ref="I449">_xlfn.IFS(A449&lt;=25,"18-25",A449&lt;=35,"26-35",A449&lt;=45,"36-45",A449&lt;=60,"46-60",A449&gt;60,"60+")</f>
        <v>26-35</v>
      </c>
      <c r="J449" t="str" cm="1">
        <f t="array" ref="J449">_xlfn.IFS(C449&lt;18.5,"Underweight",C449&lt;25,"Normal",C449&lt;30,"Overweight",C449&gt;=30,"Obese")</f>
        <v>Overweight</v>
      </c>
      <c r="K449" t="str" cm="1">
        <f t="array" ref="K449">_xlfn.IFS(G449&lt;10000, "Low", G449&lt;=25000, "Medium", G449&gt;25000, "High")</f>
        <v>Low</v>
      </c>
    </row>
    <row r="450" spans="1:11" x14ac:dyDescent="0.3">
      <c r="A450">
        <v>31</v>
      </c>
      <c r="B450" s="1" t="s">
        <v>7</v>
      </c>
      <c r="C450">
        <v>27.8</v>
      </c>
      <c r="D450">
        <v>0</v>
      </c>
      <c r="E450" t="s">
        <v>10</v>
      </c>
      <c r="F450" t="s">
        <v>11</v>
      </c>
      <c r="G450" s="2">
        <v>6311.9520000000002</v>
      </c>
      <c r="H450" t="str" cm="1">
        <f t="array" ref="H450">_xlfn.IFS(A450&lt;=30, "Youth", A450&lt;=50, "Adult", A450&gt;50, "Older")</f>
        <v>Adult</v>
      </c>
      <c r="I450" t="str" cm="1">
        <f t="array" ref="I450">_xlfn.IFS(A450&lt;=25,"18-25",A450&lt;=35,"26-35",A450&lt;=45,"36-45",A450&lt;=60,"46-60",A450&gt;60,"60+")</f>
        <v>26-35</v>
      </c>
      <c r="J450" t="str" cm="1">
        <f t="array" ref="J450">_xlfn.IFS(C450&lt;18.5,"Underweight",C450&lt;25,"Normal",C450&lt;30,"Overweight",C450&gt;=30,"Obese")</f>
        <v>Overweight</v>
      </c>
      <c r="K450" t="str" cm="1">
        <f t="array" ref="K450">_xlfn.IFS(G450&lt;10000, "Low", G450&lt;=25000, "Medium", G450&gt;25000, "High")</f>
        <v>Low</v>
      </c>
    </row>
    <row r="451" spans="1:11" x14ac:dyDescent="0.3">
      <c r="A451">
        <v>31</v>
      </c>
      <c r="B451" s="1" t="s">
        <v>8</v>
      </c>
      <c r="C451">
        <v>27.83</v>
      </c>
      <c r="D451">
        <v>0</v>
      </c>
      <c r="E451" t="s">
        <v>10</v>
      </c>
      <c r="F451" t="s">
        <v>11</v>
      </c>
      <c r="G451" s="2">
        <v>6313.759</v>
      </c>
      <c r="H451" t="str" cm="1">
        <f t="array" ref="H451">_xlfn.IFS(A451&lt;=30, "Youth", A451&lt;=50, "Adult", A451&gt;50, "Older")</f>
        <v>Adult</v>
      </c>
      <c r="I451" t="str" cm="1">
        <f t="array" ref="I451">_xlfn.IFS(A451&lt;=25,"18-25",A451&lt;=35,"26-35",A451&lt;=45,"36-45",A451&lt;=60,"46-60",A451&gt;60,"60+")</f>
        <v>26-35</v>
      </c>
      <c r="J451" t="str" cm="1">
        <f t="array" ref="J451">_xlfn.IFS(C451&lt;18.5,"Underweight",C451&lt;25,"Normal",C451&lt;30,"Overweight",C451&gt;=30,"Obese")</f>
        <v>Overweight</v>
      </c>
      <c r="K451" t="str" cm="1">
        <f t="array" ref="K451">_xlfn.IFS(G451&lt;10000, "Low", G451&lt;=25000, "Medium", G451&gt;25000, "High")</f>
        <v>Low</v>
      </c>
    </row>
    <row r="452" spans="1:11" x14ac:dyDescent="0.3">
      <c r="A452">
        <v>31</v>
      </c>
      <c r="B452" s="1" t="s">
        <v>8</v>
      </c>
      <c r="C452">
        <v>27.83</v>
      </c>
      <c r="D452">
        <v>0</v>
      </c>
      <c r="E452" t="s">
        <v>10</v>
      </c>
      <c r="F452" t="s">
        <v>11</v>
      </c>
      <c r="G452" s="2">
        <v>6334.3435499999996</v>
      </c>
      <c r="H452" t="str" cm="1">
        <f t="array" ref="H452">_xlfn.IFS(A452&lt;=30, "Youth", A452&lt;=50, "Adult", A452&gt;50, "Older")</f>
        <v>Adult</v>
      </c>
      <c r="I452" t="str" cm="1">
        <f t="array" ref="I452">_xlfn.IFS(A452&lt;=25,"18-25",A452&lt;=35,"26-35",A452&lt;=45,"36-45",A452&lt;=60,"46-60",A452&gt;60,"60+")</f>
        <v>26-35</v>
      </c>
      <c r="J452" t="str" cm="1">
        <f t="array" ref="J452">_xlfn.IFS(C452&lt;18.5,"Underweight",C452&lt;25,"Normal",C452&lt;30,"Overweight",C452&gt;=30,"Obese")</f>
        <v>Overweight</v>
      </c>
      <c r="K452" t="str" cm="1">
        <f t="array" ref="K452">_xlfn.IFS(G452&lt;10000, "Low", G452&lt;=25000, "Medium", G452&gt;25000, "High")</f>
        <v>Low</v>
      </c>
    </row>
    <row r="453" spans="1:11" x14ac:dyDescent="0.3">
      <c r="A453">
        <v>31</v>
      </c>
      <c r="B453" s="1" t="s">
        <v>8</v>
      </c>
      <c r="C453">
        <v>27.83</v>
      </c>
      <c r="D453">
        <v>0</v>
      </c>
      <c r="E453" t="s">
        <v>10</v>
      </c>
      <c r="F453" t="s">
        <v>13</v>
      </c>
      <c r="G453" s="2">
        <v>6338.0756000000001</v>
      </c>
      <c r="H453" t="str" cm="1">
        <f t="array" ref="H453">_xlfn.IFS(A453&lt;=30, "Youth", A453&lt;=50, "Adult", A453&gt;50, "Older")</f>
        <v>Adult</v>
      </c>
      <c r="I453" t="str" cm="1">
        <f t="array" ref="I453">_xlfn.IFS(A453&lt;=25,"18-25",A453&lt;=35,"26-35",A453&lt;=45,"36-45",A453&lt;=60,"46-60",A453&gt;60,"60+")</f>
        <v>26-35</v>
      </c>
      <c r="J453" t="str" cm="1">
        <f t="array" ref="J453">_xlfn.IFS(C453&lt;18.5,"Underweight",C453&lt;25,"Normal",C453&lt;30,"Overweight",C453&gt;=30,"Obese")</f>
        <v>Overweight</v>
      </c>
      <c r="K453" t="str" cm="1">
        <f t="array" ref="K453">_xlfn.IFS(G453&lt;10000, "Low", G453&lt;=25000, "Medium", G453&gt;25000, "High")</f>
        <v>Low</v>
      </c>
    </row>
    <row r="454" spans="1:11" x14ac:dyDescent="0.3">
      <c r="A454">
        <v>31</v>
      </c>
      <c r="B454" s="1" t="s">
        <v>8</v>
      </c>
      <c r="C454">
        <v>27.83</v>
      </c>
      <c r="D454">
        <v>0</v>
      </c>
      <c r="E454" t="s">
        <v>10</v>
      </c>
      <c r="F454" t="s">
        <v>11</v>
      </c>
      <c r="G454" s="2">
        <v>6356.2707</v>
      </c>
      <c r="H454" t="str" cm="1">
        <f t="array" ref="H454">_xlfn.IFS(A454&lt;=30, "Youth", A454&lt;=50, "Adult", A454&gt;50, "Older")</f>
        <v>Adult</v>
      </c>
      <c r="I454" t="str" cm="1">
        <f t="array" ref="I454">_xlfn.IFS(A454&lt;=25,"18-25",A454&lt;=35,"26-35",A454&lt;=45,"36-45",A454&lt;=60,"46-60",A454&gt;60,"60+")</f>
        <v>26-35</v>
      </c>
      <c r="J454" t="str" cm="1">
        <f t="array" ref="J454">_xlfn.IFS(C454&lt;18.5,"Underweight",C454&lt;25,"Normal",C454&lt;30,"Overweight",C454&gt;=30,"Obese")</f>
        <v>Overweight</v>
      </c>
      <c r="K454" t="str" cm="1">
        <f t="array" ref="K454">_xlfn.IFS(G454&lt;10000, "Low", G454&lt;=25000, "Medium", G454&gt;25000, "High")</f>
        <v>Low</v>
      </c>
    </row>
    <row r="455" spans="1:11" x14ac:dyDescent="0.3">
      <c r="A455">
        <v>31</v>
      </c>
      <c r="B455" s="1" t="s">
        <v>8</v>
      </c>
      <c r="C455">
        <v>27.835000000000001</v>
      </c>
      <c r="D455">
        <v>0</v>
      </c>
      <c r="E455" t="s">
        <v>10</v>
      </c>
      <c r="F455" t="s">
        <v>13</v>
      </c>
      <c r="G455" s="2">
        <v>6358.7764500000003</v>
      </c>
      <c r="H455" t="str" cm="1">
        <f t="array" ref="H455">_xlfn.IFS(A455&lt;=30, "Youth", A455&lt;=50, "Adult", A455&gt;50, "Older")</f>
        <v>Adult</v>
      </c>
      <c r="I455" t="str" cm="1">
        <f t="array" ref="I455">_xlfn.IFS(A455&lt;=25,"18-25",A455&lt;=35,"26-35",A455&lt;=45,"36-45",A455&lt;=60,"46-60",A455&gt;60,"60+")</f>
        <v>26-35</v>
      </c>
      <c r="J455" t="str" cm="1">
        <f t="array" ref="J455">_xlfn.IFS(C455&lt;18.5,"Underweight",C455&lt;25,"Normal",C455&lt;30,"Overweight",C455&gt;=30,"Obese")</f>
        <v>Overweight</v>
      </c>
      <c r="K455" t="str" cm="1">
        <f t="array" ref="K455">_xlfn.IFS(G455&lt;10000, "Low", G455&lt;=25000, "Medium", G455&gt;25000, "High")</f>
        <v>Low</v>
      </c>
    </row>
    <row r="456" spans="1:11" x14ac:dyDescent="0.3">
      <c r="A456">
        <v>31</v>
      </c>
      <c r="B456" s="1" t="s">
        <v>8</v>
      </c>
      <c r="C456">
        <v>27.835000000000001</v>
      </c>
      <c r="D456">
        <v>0</v>
      </c>
      <c r="E456" t="s">
        <v>10</v>
      </c>
      <c r="F456" t="s">
        <v>12</v>
      </c>
      <c r="G456" s="2">
        <v>6360.9935999999998</v>
      </c>
      <c r="H456" t="str" cm="1">
        <f t="array" ref="H456">_xlfn.IFS(A456&lt;=30, "Youth", A456&lt;=50, "Adult", A456&gt;50, "Older")</f>
        <v>Adult</v>
      </c>
      <c r="I456" t="str" cm="1">
        <f t="array" ref="I456">_xlfn.IFS(A456&lt;=25,"18-25",A456&lt;=35,"26-35",A456&lt;=45,"36-45",A456&lt;=60,"46-60",A456&gt;60,"60+")</f>
        <v>26-35</v>
      </c>
      <c r="J456" t="str" cm="1">
        <f t="array" ref="J456">_xlfn.IFS(C456&lt;18.5,"Underweight",C456&lt;25,"Normal",C456&lt;30,"Overweight",C456&gt;=30,"Obese")</f>
        <v>Overweight</v>
      </c>
      <c r="K456" t="str" cm="1">
        <f t="array" ref="K456">_xlfn.IFS(G456&lt;10000, "Low", G456&lt;=25000, "Medium", G456&gt;25000, "High")</f>
        <v>Low</v>
      </c>
    </row>
    <row r="457" spans="1:11" x14ac:dyDescent="0.3">
      <c r="A457">
        <v>31</v>
      </c>
      <c r="B457" s="1" t="s">
        <v>8</v>
      </c>
      <c r="C457">
        <v>27.835000000000001</v>
      </c>
      <c r="D457">
        <v>0</v>
      </c>
      <c r="E457" t="s">
        <v>10</v>
      </c>
      <c r="F457" t="s">
        <v>11</v>
      </c>
      <c r="G457" s="2">
        <v>6373.55735</v>
      </c>
      <c r="H457" t="str" cm="1">
        <f t="array" ref="H457">_xlfn.IFS(A457&lt;=30, "Youth", A457&lt;=50, "Adult", A457&gt;50, "Older")</f>
        <v>Adult</v>
      </c>
      <c r="I457" t="str" cm="1">
        <f t="array" ref="I457">_xlfn.IFS(A457&lt;=25,"18-25",A457&lt;=35,"26-35",A457&lt;=45,"36-45",A457&lt;=60,"46-60",A457&gt;60,"60+")</f>
        <v>26-35</v>
      </c>
      <c r="J457" t="str" cm="1">
        <f t="array" ref="J457">_xlfn.IFS(C457&lt;18.5,"Underweight",C457&lt;25,"Normal",C457&lt;30,"Overweight",C457&gt;=30,"Obese")</f>
        <v>Overweight</v>
      </c>
      <c r="K457" t="str" cm="1">
        <f t="array" ref="K457">_xlfn.IFS(G457&lt;10000, "Low", G457&lt;=25000, "Medium", G457&gt;25000, "High")</f>
        <v>Low</v>
      </c>
    </row>
    <row r="458" spans="1:11" x14ac:dyDescent="0.3">
      <c r="A458">
        <v>31</v>
      </c>
      <c r="B458" s="1" t="s">
        <v>7</v>
      </c>
      <c r="C458">
        <v>27.835000000000001</v>
      </c>
      <c r="D458">
        <v>0</v>
      </c>
      <c r="E458" t="s">
        <v>10</v>
      </c>
      <c r="F458" t="s">
        <v>12</v>
      </c>
      <c r="G458" s="2">
        <v>6389.3778499999999</v>
      </c>
      <c r="H458" t="str" cm="1">
        <f t="array" ref="H458">_xlfn.IFS(A458&lt;=30, "Youth", A458&lt;=50, "Adult", A458&gt;50, "Older")</f>
        <v>Adult</v>
      </c>
      <c r="I458" t="str" cm="1">
        <f t="array" ref="I458">_xlfn.IFS(A458&lt;=25,"18-25",A458&lt;=35,"26-35",A458&lt;=45,"36-45",A458&lt;=60,"46-60",A458&gt;60,"60+")</f>
        <v>26-35</v>
      </c>
      <c r="J458" t="str" cm="1">
        <f t="array" ref="J458">_xlfn.IFS(C458&lt;18.5,"Underweight",C458&lt;25,"Normal",C458&lt;30,"Overweight",C458&gt;=30,"Obese")</f>
        <v>Overweight</v>
      </c>
      <c r="K458" t="str" cm="1">
        <f t="array" ref="K458">_xlfn.IFS(G458&lt;10000, "Low", G458&lt;=25000, "Medium", G458&gt;25000, "High")</f>
        <v>Low</v>
      </c>
    </row>
    <row r="459" spans="1:11" x14ac:dyDescent="0.3">
      <c r="A459">
        <v>31</v>
      </c>
      <c r="B459" s="1" t="s">
        <v>7</v>
      </c>
      <c r="C459">
        <v>27.835000000000001</v>
      </c>
      <c r="D459">
        <v>0</v>
      </c>
      <c r="E459" t="s">
        <v>10</v>
      </c>
      <c r="F459" t="s">
        <v>13</v>
      </c>
      <c r="G459" s="2">
        <v>6393.6034499999996</v>
      </c>
      <c r="H459" t="str" cm="1">
        <f t="array" ref="H459">_xlfn.IFS(A459&lt;=30, "Youth", A459&lt;=50, "Adult", A459&gt;50, "Older")</f>
        <v>Adult</v>
      </c>
      <c r="I459" t="str" cm="1">
        <f t="array" ref="I459">_xlfn.IFS(A459&lt;=25,"18-25",A459&lt;=35,"26-35",A459&lt;=45,"36-45",A459&lt;=60,"46-60",A459&gt;60,"60+")</f>
        <v>26-35</v>
      </c>
      <c r="J459" t="str" cm="1">
        <f t="array" ref="J459">_xlfn.IFS(C459&lt;18.5,"Underweight",C459&lt;25,"Normal",C459&lt;30,"Overweight",C459&gt;=30,"Obese")</f>
        <v>Overweight</v>
      </c>
      <c r="K459" t="str" cm="1">
        <f t="array" ref="K459">_xlfn.IFS(G459&lt;10000, "Low", G459&lt;=25000, "Medium", G459&gt;25000, "High")</f>
        <v>Low</v>
      </c>
    </row>
    <row r="460" spans="1:11" x14ac:dyDescent="0.3">
      <c r="A460">
        <v>31</v>
      </c>
      <c r="B460" s="1" t="s">
        <v>8</v>
      </c>
      <c r="C460">
        <v>27.9</v>
      </c>
      <c r="D460">
        <v>0</v>
      </c>
      <c r="E460" t="s">
        <v>10</v>
      </c>
      <c r="F460" t="s">
        <v>11</v>
      </c>
      <c r="G460" s="2">
        <v>6402.2913500000004</v>
      </c>
      <c r="H460" t="str" cm="1">
        <f t="array" ref="H460">_xlfn.IFS(A460&lt;=30, "Youth", A460&lt;=50, "Adult", A460&gt;50, "Older")</f>
        <v>Adult</v>
      </c>
      <c r="I460" t="str" cm="1">
        <f t="array" ref="I460">_xlfn.IFS(A460&lt;=25,"18-25",A460&lt;=35,"26-35",A460&lt;=45,"36-45",A460&lt;=60,"46-60",A460&gt;60,"60+")</f>
        <v>26-35</v>
      </c>
      <c r="J460" t="str" cm="1">
        <f t="array" ref="J460">_xlfn.IFS(C460&lt;18.5,"Underweight",C460&lt;25,"Normal",C460&lt;30,"Overweight",C460&gt;=30,"Obese")</f>
        <v>Overweight</v>
      </c>
      <c r="K460" t="str" cm="1">
        <f t="array" ref="K460">_xlfn.IFS(G460&lt;10000, "Low", G460&lt;=25000, "Medium", G460&gt;25000, "High")</f>
        <v>Low</v>
      </c>
    </row>
    <row r="461" spans="1:11" x14ac:dyDescent="0.3">
      <c r="A461">
        <v>31</v>
      </c>
      <c r="B461" s="1" t="s">
        <v>7</v>
      </c>
      <c r="C461">
        <v>27.93</v>
      </c>
      <c r="D461">
        <v>0</v>
      </c>
      <c r="E461" t="s">
        <v>10</v>
      </c>
      <c r="F461" t="s">
        <v>12</v>
      </c>
      <c r="G461" s="2">
        <v>6406.4107000000004</v>
      </c>
      <c r="H461" t="str" cm="1">
        <f t="array" ref="H461">_xlfn.IFS(A461&lt;=30, "Youth", A461&lt;=50, "Adult", A461&gt;50, "Older")</f>
        <v>Adult</v>
      </c>
      <c r="I461" t="str" cm="1">
        <f t="array" ref="I461">_xlfn.IFS(A461&lt;=25,"18-25",A461&lt;=35,"26-35",A461&lt;=45,"36-45",A461&lt;=60,"46-60",A461&gt;60,"60+")</f>
        <v>26-35</v>
      </c>
      <c r="J461" t="str" cm="1">
        <f t="array" ref="J461">_xlfn.IFS(C461&lt;18.5,"Underweight",C461&lt;25,"Normal",C461&lt;30,"Overweight",C461&gt;=30,"Obese")</f>
        <v>Overweight</v>
      </c>
      <c r="K461" t="str" cm="1">
        <f t="array" ref="K461">_xlfn.IFS(G461&lt;10000, "Low", G461&lt;=25000, "Medium", G461&gt;25000, "High")</f>
        <v>Low</v>
      </c>
    </row>
    <row r="462" spans="1:11" x14ac:dyDescent="0.3">
      <c r="A462">
        <v>31</v>
      </c>
      <c r="B462" s="1" t="s">
        <v>7</v>
      </c>
      <c r="C462">
        <v>27.93</v>
      </c>
      <c r="D462">
        <v>0</v>
      </c>
      <c r="E462" t="s">
        <v>10</v>
      </c>
      <c r="F462" t="s">
        <v>12</v>
      </c>
      <c r="G462" s="2">
        <v>6414.1779999999999</v>
      </c>
      <c r="H462" t="str" cm="1">
        <f t="array" ref="H462">_xlfn.IFS(A462&lt;=30, "Youth", A462&lt;=50, "Adult", A462&gt;50, "Older")</f>
        <v>Adult</v>
      </c>
      <c r="I462" t="str" cm="1">
        <f t="array" ref="I462">_xlfn.IFS(A462&lt;=25,"18-25",A462&lt;=35,"26-35",A462&lt;=45,"36-45",A462&lt;=60,"46-60",A462&gt;60,"60+")</f>
        <v>26-35</v>
      </c>
      <c r="J462" t="str" cm="1">
        <f t="array" ref="J462">_xlfn.IFS(C462&lt;18.5,"Underweight",C462&lt;25,"Normal",C462&lt;30,"Overweight",C462&gt;=30,"Obese")</f>
        <v>Overweight</v>
      </c>
      <c r="K462" t="str" cm="1">
        <f t="array" ref="K462">_xlfn.IFS(G462&lt;10000, "Low", G462&lt;=25000, "Medium", G462&gt;25000, "High")</f>
        <v>Low</v>
      </c>
    </row>
    <row r="463" spans="1:11" x14ac:dyDescent="0.3">
      <c r="A463">
        <v>31</v>
      </c>
      <c r="B463" s="1" t="s">
        <v>8</v>
      </c>
      <c r="C463">
        <v>27.93</v>
      </c>
      <c r="D463">
        <v>0</v>
      </c>
      <c r="E463" t="s">
        <v>9</v>
      </c>
      <c r="F463" t="s">
        <v>11</v>
      </c>
      <c r="G463" s="2">
        <v>6435.6237000000001</v>
      </c>
      <c r="H463" t="str" cm="1">
        <f t="array" ref="H463">_xlfn.IFS(A463&lt;=30, "Youth", A463&lt;=50, "Adult", A463&gt;50, "Older")</f>
        <v>Adult</v>
      </c>
      <c r="I463" t="str" cm="1">
        <f t="array" ref="I463">_xlfn.IFS(A463&lt;=25,"18-25",A463&lt;=35,"26-35",A463&lt;=45,"36-45",A463&lt;=60,"46-60",A463&gt;60,"60+")</f>
        <v>26-35</v>
      </c>
      <c r="J463" t="str" cm="1">
        <f t="array" ref="J463">_xlfn.IFS(C463&lt;18.5,"Underweight",C463&lt;25,"Normal",C463&lt;30,"Overweight",C463&gt;=30,"Obese")</f>
        <v>Overweight</v>
      </c>
      <c r="K463" t="str" cm="1">
        <f t="array" ref="K463">_xlfn.IFS(G463&lt;10000, "Low", G463&lt;=25000, "Medium", G463&gt;25000, "High")</f>
        <v>Low</v>
      </c>
    </row>
    <row r="464" spans="1:11" x14ac:dyDescent="0.3">
      <c r="A464">
        <v>31</v>
      </c>
      <c r="B464" s="1" t="s">
        <v>7</v>
      </c>
      <c r="C464">
        <v>27.93</v>
      </c>
      <c r="D464">
        <v>0</v>
      </c>
      <c r="E464" t="s">
        <v>10</v>
      </c>
      <c r="F464" t="s">
        <v>14</v>
      </c>
      <c r="G464" s="2">
        <v>6455.86265</v>
      </c>
      <c r="H464" t="str" cm="1">
        <f t="array" ref="H464">_xlfn.IFS(A464&lt;=30, "Youth", A464&lt;=50, "Adult", A464&gt;50, "Older")</f>
        <v>Adult</v>
      </c>
      <c r="I464" t="str" cm="1">
        <f t="array" ref="I464">_xlfn.IFS(A464&lt;=25,"18-25",A464&lt;=35,"26-35",A464&lt;=45,"36-45",A464&lt;=60,"46-60",A464&gt;60,"60+")</f>
        <v>26-35</v>
      </c>
      <c r="J464" t="str" cm="1">
        <f t="array" ref="J464">_xlfn.IFS(C464&lt;18.5,"Underweight",C464&lt;25,"Normal",C464&lt;30,"Overweight",C464&gt;=30,"Obese")</f>
        <v>Overweight</v>
      </c>
      <c r="K464" t="str" cm="1">
        <f t="array" ref="K464">_xlfn.IFS(G464&lt;10000, "Low", G464&lt;=25000, "Medium", G464&gt;25000, "High")</f>
        <v>Low</v>
      </c>
    </row>
    <row r="465" spans="1:11" x14ac:dyDescent="0.3">
      <c r="A465">
        <v>31</v>
      </c>
      <c r="B465" s="1" t="s">
        <v>8</v>
      </c>
      <c r="C465">
        <v>27.94</v>
      </c>
      <c r="D465">
        <v>0</v>
      </c>
      <c r="E465" t="s">
        <v>10</v>
      </c>
      <c r="F465" t="s">
        <v>14</v>
      </c>
      <c r="G465" s="2">
        <v>6457.8433999999997</v>
      </c>
      <c r="H465" t="str" cm="1">
        <f t="array" ref="H465">_xlfn.IFS(A465&lt;=30, "Youth", A465&lt;=50, "Adult", A465&gt;50, "Older")</f>
        <v>Adult</v>
      </c>
      <c r="I465" t="str" cm="1">
        <f t="array" ref="I465">_xlfn.IFS(A465&lt;=25,"18-25",A465&lt;=35,"26-35",A465&lt;=45,"36-45",A465&lt;=60,"46-60",A465&gt;60,"60+")</f>
        <v>26-35</v>
      </c>
      <c r="J465" t="str" cm="1">
        <f t="array" ref="J465">_xlfn.IFS(C465&lt;18.5,"Underweight",C465&lt;25,"Normal",C465&lt;30,"Overweight",C465&gt;=30,"Obese")</f>
        <v>Overweight</v>
      </c>
      <c r="K465" t="str" cm="1">
        <f t="array" ref="K465">_xlfn.IFS(G465&lt;10000, "Low", G465&lt;=25000, "Medium", G465&gt;25000, "High")</f>
        <v>Low</v>
      </c>
    </row>
    <row r="466" spans="1:11" x14ac:dyDescent="0.3">
      <c r="A466">
        <v>31</v>
      </c>
      <c r="B466" s="1" t="s">
        <v>8</v>
      </c>
      <c r="C466">
        <v>27.94</v>
      </c>
      <c r="D466">
        <v>0</v>
      </c>
      <c r="E466" t="s">
        <v>10</v>
      </c>
      <c r="F466" t="s">
        <v>13</v>
      </c>
      <c r="G466" s="2">
        <v>6474.0129999999999</v>
      </c>
      <c r="H466" t="str" cm="1">
        <f t="array" ref="H466">_xlfn.IFS(A466&lt;=30, "Youth", A466&lt;=50, "Adult", A466&gt;50, "Older")</f>
        <v>Adult</v>
      </c>
      <c r="I466" t="str" cm="1">
        <f t="array" ref="I466">_xlfn.IFS(A466&lt;=25,"18-25",A466&lt;=35,"26-35",A466&lt;=45,"36-45",A466&lt;=60,"46-60",A466&gt;60,"60+")</f>
        <v>26-35</v>
      </c>
      <c r="J466" t="str" cm="1">
        <f t="array" ref="J466">_xlfn.IFS(C466&lt;18.5,"Underweight",C466&lt;25,"Normal",C466&lt;30,"Overweight",C466&gt;=30,"Obese")</f>
        <v>Overweight</v>
      </c>
      <c r="K466" t="str" cm="1">
        <f t="array" ref="K466">_xlfn.IFS(G466&lt;10000, "Low", G466&lt;=25000, "Medium", G466&gt;25000, "High")</f>
        <v>Low</v>
      </c>
    </row>
    <row r="467" spans="1:11" x14ac:dyDescent="0.3">
      <c r="A467">
        <v>31</v>
      </c>
      <c r="B467" s="1" t="s">
        <v>7</v>
      </c>
      <c r="C467">
        <v>27.94</v>
      </c>
      <c r="D467">
        <v>0</v>
      </c>
      <c r="E467" t="s">
        <v>9</v>
      </c>
      <c r="F467" t="s">
        <v>12</v>
      </c>
      <c r="G467" s="2">
        <v>6496.8860000000004</v>
      </c>
      <c r="H467" t="str" cm="1">
        <f t="array" ref="H467">_xlfn.IFS(A467&lt;=30, "Youth", A467&lt;=50, "Adult", A467&gt;50, "Older")</f>
        <v>Adult</v>
      </c>
      <c r="I467" t="str" cm="1">
        <f t="array" ref="I467">_xlfn.IFS(A467&lt;=25,"18-25",A467&lt;=35,"26-35",A467&lt;=45,"36-45",A467&lt;=60,"46-60",A467&gt;60,"60+")</f>
        <v>26-35</v>
      </c>
      <c r="J467" t="str" cm="1">
        <f t="array" ref="J467">_xlfn.IFS(C467&lt;18.5,"Underweight",C467&lt;25,"Normal",C467&lt;30,"Overweight",C467&gt;=30,"Obese")</f>
        <v>Overweight</v>
      </c>
      <c r="K467" t="str" cm="1">
        <f t="array" ref="K467">_xlfn.IFS(G467&lt;10000, "Low", G467&lt;=25000, "Medium", G467&gt;25000, "High")</f>
        <v>Low</v>
      </c>
    </row>
    <row r="468" spans="1:11" x14ac:dyDescent="0.3">
      <c r="A468">
        <v>31</v>
      </c>
      <c r="B468" s="1" t="s">
        <v>7</v>
      </c>
      <c r="C468">
        <v>28</v>
      </c>
      <c r="D468">
        <v>0</v>
      </c>
      <c r="E468" t="s">
        <v>10</v>
      </c>
      <c r="F468" t="s">
        <v>11</v>
      </c>
      <c r="G468" s="2">
        <v>6500.2358999999997</v>
      </c>
      <c r="H468" t="str" cm="1">
        <f t="array" ref="H468">_xlfn.IFS(A468&lt;=30, "Youth", A468&lt;=50, "Adult", A468&gt;50, "Older")</f>
        <v>Adult</v>
      </c>
      <c r="I468" t="str" cm="1">
        <f t="array" ref="I468">_xlfn.IFS(A468&lt;=25,"18-25",A468&lt;=35,"26-35",A468&lt;=45,"36-45",A468&lt;=60,"46-60",A468&gt;60,"60+")</f>
        <v>26-35</v>
      </c>
      <c r="J468" t="str" cm="1">
        <f t="array" ref="J468">_xlfn.IFS(C468&lt;18.5,"Underweight",C468&lt;25,"Normal",C468&lt;30,"Overweight",C468&gt;=30,"Obese")</f>
        <v>Overweight</v>
      </c>
      <c r="K468" t="str" cm="1">
        <f t="array" ref="K468">_xlfn.IFS(G468&lt;10000, "Low", G468&lt;=25000, "Medium", G468&gt;25000, "High")</f>
        <v>Low</v>
      </c>
    </row>
    <row r="469" spans="1:11" x14ac:dyDescent="0.3">
      <c r="A469">
        <v>31</v>
      </c>
      <c r="B469" s="1" t="s">
        <v>7</v>
      </c>
      <c r="C469">
        <v>28</v>
      </c>
      <c r="D469">
        <v>0</v>
      </c>
      <c r="E469" t="s">
        <v>10</v>
      </c>
      <c r="F469" t="s">
        <v>13</v>
      </c>
      <c r="G469" s="2">
        <v>6548.1950500000003</v>
      </c>
      <c r="H469" t="str" cm="1">
        <f t="array" ref="H469">_xlfn.IFS(A469&lt;=30, "Youth", A469&lt;=50, "Adult", A469&gt;50, "Older")</f>
        <v>Adult</v>
      </c>
      <c r="I469" t="str" cm="1">
        <f t="array" ref="I469">_xlfn.IFS(A469&lt;=25,"18-25",A469&lt;=35,"26-35",A469&lt;=45,"36-45",A469&lt;=60,"46-60",A469&gt;60,"60+")</f>
        <v>26-35</v>
      </c>
      <c r="J469" t="str" cm="1">
        <f t="array" ref="J469">_xlfn.IFS(C469&lt;18.5,"Underweight",C469&lt;25,"Normal",C469&lt;30,"Overweight",C469&gt;=30,"Obese")</f>
        <v>Overweight</v>
      </c>
      <c r="K469" t="str" cm="1">
        <f t="array" ref="K469">_xlfn.IFS(G469&lt;10000, "Low", G469&lt;=25000, "Medium", G469&gt;25000, "High")</f>
        <v>Low</v>
      </c>
    </row>
    <row r="470" spans="1:11" x14ac:dyDescent="0.3">
      <c r="A470">
        <v>31</v>
      </c>
      <c r="B470" s="1" t="s">
        <v>7</v>
      </c>
      <c r="C470">
        <v>28</v>
      </c>
      <c r="D470">
        <v>0</v>
      </c>
      <c r="E470" t="s">
        <v>10</v>
      </c>
      <c r="F470" t="s">
        <v>14</v>
      </c>
      <c r="G470" s="2">
        <v>6551.7501000000002</v>
      </c>
      <c r="H470" t="str" cm="1">
        <f t="array" ref="H470">_xlfn.IFS(A470&lt;=30, "Youth", A470&lt;=50, "Adult", A470&gt;50, "Older")</f>
        <v>Adult</v>
      </c>
      <c r="I470" t="str" cm="1">
        <f t="array" ref="I470">_xlfn.IFS(A470&lt;=25,"18-25",A470&lt;=35,"26-35",A470&lt;=45,"36-45",A470&lt;=60,"46-60",A470&gt;60,"60+")</f>
        <v>26-35</v>
      </c>
      <c r="J470" t="str" cm="1">
        <f t="array" ref="J470">_xlfn.IFS(C470&lt;18.5,"Underweight",C470&lt;25,"Normal",C470&lt;30,"Overweight",C470&gt;=30,"Obese")</f>
        <v>Overweight</v>
      </c>
      <c r="K470" t="str" cm="1">
        <f t="array" ref="K470">_xlfn.IFS(G470&lt;10000, "Low", G470&lt;=25000, "Medium", G470&gt;25000, "High")</f>
        <v>Low</v>
      </c>
    </row>
    <row r="471" spans="1:11" x14ac:dyDescent="0.3">
      <c r="A471">
        <v>31</v>
      </c>
      <c r="B471" s="1" t="s">
        <v>7</v>
      </c>
      <c r="C471">
        <v>28.024999999999999</v>
      </c>
      <c r="D471">
        <v>0</v>
      </c>
      <c r="E471" t="s">
        <v>10</v>
      </c>
      <c r="F471" t="s">
        <v>12</v>
      </c>
      <c r="G471" s="2">
        <v>6555.07035</v>
      </c>
      <c r="H471" t="str" cm="1">
        <f t="array" ref="H471">_xlfn.IFS(A471&lt;=30, "Youth", A471&lt;=50, "Adult", A471&gt;50, "Older")</f>
        <v>Adult</v>
      </c>
      <c r="I471" t="str" cm="1">
        <f t="array" ref="I471">_xlfn.IFS(A471&lt;=25,"18-25",A471&lt;=35,"26-35",A471&lt;=45,"36-45",A471&lt;=60,"46-60",A471&gt;60,"60+")</f>
        <v>26-35</v>
      </c>
      <c r="J471" t="str" cm="1">
        <f t="array" ref="J471">_xlfn.IFS(C471&lt;18.5,"Underweight",C471&lt;25,"Normal",C471&lt;30,"Overweight",C471&gt;=30,"Obese")</f>
        <v>Overweight</v>
      </c>
      <c r="K471" t="str" cm="1">
        <f t="array" ref="K471">_xlfn.IFS(G471&lt;10000, "Low", G471&lt;=25000, "Medium", G471&gt;25000, "High")</f>
        <v>Low</v>
      </c>
    </row>
    <row r="472" spans="1:11" x14ac:dyDescent="0.3">
      <c r="A472">
        <v>32</v>
      </c>
      <c r="B472" s="1" t="s">
        <v>8</v>
      </c>
      <c r="C472">
        <v>28.024999999999999</v>
      </c>
      <c r="D472">
        <v>0</v>
      </c>
      <c r="E472" t="s">
        <v>10</v>
      </c>
      <c r="F472" t="s">
        <v>12</v>
      </c>
      <c r="G472" s="2">
        <v>6571.0243499999997</v>
      </c>
      <c r="H472" t="str" cm="1">
        <f t="array" ref="H472">_xlfn.IFS(A472&lt;=30, "Youth", A472&lt;=50, "Adult", A472&gt;50, "Older")</f>
        <v>Adult</v>
      </c>
      <c r="I472" t="str" cm="1">
        <f t="array" ref="I472">_xlfn.IFS(A472&lt;=25,"18-25",A472&lt;=35,"26-35",A472&lt;=45,"36-45",A472&lt;=60,"46-60",A472&gt;60,"60+")</f>
        <v>26-35</v>
      </c>
      <c r="J472" t="str" cm="1">
        <f t="array" ref="J472">_xlfn.IFS(C472&lt;18.5,"Underweight",C472&lt;25,"Normal",C472&lt;30,"Overweight",C472&gt;=30,"Obese")</f>
        <v>Overweight</v>
      </c>
      <c r="K472" t="str" cm="1">
        <f t="array" ref="K472">_xlfn.IFS(G472&lt;10000, "Low", G472&lt;=25000, "Medium", G472&gt;25000, "High")</f>
        <v>Low</v>
      </c>
    </row>
    <row r="473" spans="1:11" x14ac:dyDescent="0.3">
      <c r="A473">
        <v>32</v>
      </c>
      <c r="B473" s="1" t="s">
        <v>7</v>
      </c>
      <c r="C473">
        <v>28.024999999999999</v>
      </c>
      <c r="D473">
        <v>0</v>
      </c>
      <c r="E473" t="s">
        <v>10</v>
      </c>
      <c r="F473" t="s">
        <v>14</v>
      </c>
      <c r="G473" s="2">
        <v>6571.5439999999999</v>
      </c>
      <c r="H473" t="str" cm="1">
        <f t="array" ref="H473">_xlfn.IFS(A473&lt;=30, "Youth", A473&lt;=50, "Adult", A473&gt;50, "Older")</f>
        <v>Adult</v>
      </c>
      <c r="I473" t="str" cm="1">
        <f t="array" ref="I473">_xlfn.IFS(A473&lt;=25,"18-25",A473&lt;=35,"26-35",A473&lt;=45,"36-45",A473&lt;=60,"46-60",A473&gt;60,"60+")</f>
        <v>26-35</v>
      </c>
      <c r="J473" t="str" cm="1">
        <f t="array" ref="J473">_xlfn.IFS(C473&lt;18.5,"Underweight",C473&lt;25,"Normal",C473&lt;30,"Overweight",C473&gt;=30,"Obese")</f>
        <v>Overweight</v>
      </c>
      <c r="K473" t="str" cm="1">
        <f t="array" ref="K473">_xlfn.IFS(G473&lt;10000, "Low", G473&lt;=25000, "Medium", G473&gt;25000, "High")</f>
        <v>Low</v>
      </c>
    </row>
    <row r="474" spans="1:11" x14ac:dyDescent="0.3">
      <c r="A474">
        <v>32</v>
      </c>
      <c r="B474" s="1" t="s">
        <v>7</v>
      </c>
      <c r="C474">
        <v>28.024999999999999</v>
      </c>
      <c r="D474">
        <v>0</v>
      </c>
      <c r="E474" t="s">
        <v>10</v>
      </c>
      <c r="F474" t="s">
        <v>11</v>
      </c>
      <c r="G474" s="2">
        <v>6593.5083000000004</v>
      </c>
      <c r="H474" t="str" cm="1">
        <f t="array" ref="H474">_xlfn.IFS(A474&lt;=30, "Youth", A474&lt;=50, "Adult", A474&gt;50, "Older")</f>
        <v>Adult</v>
      </c>
      <c r="I474" t="str" cm="1">
        <f t="array" ref="I474">_xlfn.IFS(A474&lt;=25,"18-25",A474&lt;=35,"26-35",A474&lt;=45,"36-45",A474&lt;=60,"46-60",A474&gt;60,"60+")</f>
        <v>26-35</v>
      </c>
      <c r="J474" t="str" cm="1">
        <f t="array" ref="J474">_xlfn.IFS(C474&lt;18.5,"Underweight",C474&lt;25,"Normal",C474&lt;30,"Overweight",C474&gt;=30,"Obese")</f>
        <v>Overweight</v>
      </c>
      <c r="K474" t="str" cm="1">
        <f t="array" ref="K474">_xlfn.IFS(G474&lt;10000, "Low", G474&lt;=25000, "Medium", G474&gt;25000, "High")</f>
        <v>Low</v>
      </c>
    </row>
    <row r="475" spans="1:11" x14ac:dyDescent="0.3">
      <c r="A475">
        <v>32</v>
      </c>
      <c r="B475" s="1" t="s">
        <v>7</v>
      </c>
      <c r="C475">
        <v>28.024999999999999</v>
      </c>
      <c r="D475">
        <v>0</v>
      </c>
      <c r="E475" t="s">
        <v>10</v>
      </c>
      <c r="F475" t="s">
        <v>14</v>
      </c>
      <c r="G475" s="2">
        <v>6600.2059499999996</v>
      </c>
      <c r="H475" t="str" cm="1">
        <f t="array" ref="H475">_xlfn.IFS(A475&lt;=30, "Youth", A475&lt;=50, "Adult", A475&gt;50, "Older")</f>
        <v>Adult</v>
      </c>
      <c r="I475" t="str" cm="1">
        <f t="array" ref="I475">_xlfn.IFS(A475&lt;=25,"18-25",A475&lt;=35,"26-35",A475&lt;=45,"36-45",A475&lt;=60,"46-60",A475&gt;60,"60+")</f>
        <v>26-35</v>
      </c>
      <c r="J475" t="str" cm="1">
        <f t="array" ref="J475">_xlfn.IFS(C475&lt;18.5,"Underweight",C475&lt;25,"Normal",C475&lt;30,"Overweight",C475&gt;=30,"Obese")</f>
        <v>Overweight</v>
      </c>
      <c r="K475" t="str" cm="1">
        <f t="array" ref="K475">_xlfn.IFS(G475&lt;10000, "Low", G475&lt;=25000, "Medium", G475&gt;25000, "High")</f>
        <v>Low</v>
      </c>
    </row>
    <row r="476" spans="1:11" x14ac:dyDescent="0.3">
      <c r="A476">
        <v>32</v>
      </c>
      <c r="B476" s="1" t="s">
        <v>8</v>
      </c>
      <c r="C476">
        <v>28.05</v>
      </c>
      <c r="D476">
        <v>0</v>
      </c>
      <c r="E476" t="s">
        <v>9</v>
      </c>
      <c r="F476" t="s">
        <v>11</v>
      </c>
      <c r="G476" s="2">
        <v>6600.3609999999999</v>
      </c>
      <c r="H476" t="str" cm="1">
        <f t="array" ref="H476">_xlfn.IFS(A476&lt;=30, "Youth", A476&lt;=50, "Adult", A476&gt;50, "Older")</f>
        <v>Adult</v>
      </c>
      <c r="I476" t="str" cm="1">
        <f t="array" ref="I476">_xlfn.IFS(A476&lt;=25,"18-25",A476&lt;=35,"26-35",A476&lt;=45,"36-45",A476&lt;=60,"46-60",A476&gt;60,"60+")</f>
        <v>26-35</v>
      </c>
      <c r="J476" t="str" cm="1">
        <f t="array" ref="J476">_xlfn.IFS(C476&lt;18.5,"Underweight",C476&lt;25,"Normal",C476&lt;30,"Overweight",C476&gt;=30,"Obese")</f>
        <v>Overweight</v>
      </c>
      <c r="K476" t="str" cm="1">
        <f t="array" ref="K476">_xlfn.IFS(G476&lt;10000, "Low", G476&lt;=25000, "Medium", G476&gt;25000, "High")</f>
        <v>Low</v>
      </c>
    </row>
    <row r="477" spans="1:11" x14ac:dyDescent="0.3">
      <c r="A477">
        <v>32</v>
      </c>
      <c r="B477" s="1" t="s">
        <v>8</v>
      </c>
      <c r="C477">
        <v>28.05</v>
      </c>
      <c r="D477">
        <v>0</v>
      </c>
      <c r="E477" t="s">
        <v>9</v>
      </c>
      <c r="F477" t="s">
        <v>13</v>
      </c>
      <c r="G477" s="2">
        <v>6610.1097</v>
      </c>
      <c r="H477" t="str" cm="1">
        <f t="array" ref="H477">_xlfn.IFS(A477&lt;=30, "Youth", A477&lt;=50, "Adult", A477&gt;50, "Older")</f>
        <v>Adult</v>
      </c>
      <c r="I477" t="str" cm="1">
        <f t="array" ref="I477">_xlfn.IFS(A477&lt;=25,"18-25",A477&lt;=35,"26-35",A477&lt;=45,"36-45",A477&lt;=60,"46-60",A477&gt;60,"60+")</f>
        <v>26-35</v>
      </c>
      <c r="J477" t="str" cm="1">
        <f t="array" ref="J477">_xlfn.IFS(C477&lt;18.5,"Underweight",C477&lt;25,"Normal",C477&lt;30,"Overweight",C477&gt;=30,"Obese")</f>
        <v>Overweight</v>
      </c>
      <c r="K477" t="str" cm="1">
        <f t="array" ref="K477">_xlfn.IFS(G477&lt;10000, "Low", G477&lt;=25000, "Medium", G477&gt;25000, "High")</f>
        <v>Low</v>
      </c>
    </row>
    <row r="478" spans="1:11" x14ac:dyDescent="0.3">
      <c r="A478">
        <v>32</v>
      </c>
      <c r="B478" s="1" t="s">
        <v>8</v>
      </c>
      <c r="C478">
        <v>28.05</v>
      </c>
      <c r="D478">
        <v>0</v>
      </c>
      <c r="E478" t="s">
        <v>9</v>
      </c>
      <c r="F478" t="s">
        <v>14</v>
      </c>
      <c r="G478" s="2">
        <v>6640.5448500000002</v>
      </c>
      <c r="H478" t="str" cm="1">
        <f t="array" ref="H478">_xlfn.IFS(A478&lt;=30, "Youth", A478&lt;=50, "Adult", A478&gt;50, "Older")</f>
        <v>Adult</v>
      </c>
      <c r="I478" t="str" cm="1">
        <f t="array" ref="I478">_xlfn.IFS(A478&lt;=25,"18-25",A478&lt;=35,"26-35",A478&lt;=45,"36-45",A478&lt;=60,"46-60",A478&gt;60,"60+")</f>
        <v>26-35</v>
      </c>
      <c r="J478" t="str" cm="1">
        <f t="array" ref="J478">_xlfn.IFS(C478&lt;18.5,"Underweight",C478&lt;25,"Normal",C478&lt;30,"Overweight",C478&gt;=30,"Obese")</f>
        <v>Overweight</v>
      </c>
      <c r="K478" t="str" cm="1">
        <f t="array" ref="K478">_xlfn.IFS(G478&lt;10000, "Low", G478&lt;=25000, "Medium", G478&gt;25000, "High")</f>
        <v>Low</v>
      </c>
    </row>
    <row r="479" spans="1:11" x14ac:dyDescent="0.3">
      <c r="A479">
        <v>32</v>
      </c>
      <c r="B479" s="1" t="s">
        <v>8</v>
      </c>
      <c r="C479">
        <v>28.1</v>
      </c>
      <c r="D479">
        <v>0</v>
      </c>
      <c r="E479" t="s">
        <v>10</v>
      </c>
      <c r="F479" t="s">
        <v>13</v>
      </c>
      <c r="G479" s="2">
        <v>6652.5288</v>
      </c>
      <c r="H479" t="str" cm="1">
        <f t="array" ref="H479">_xlfn.IFS(A479&lt;=30, "Youth", A479&lt;=50, "Adult", A479&gt;50, "Older")</f>
        <v>Adult</v>
      </c>
      <c r="I479" t="str" cm="1">
        <f t="array" ref="I479">_xlfn.IFS(A479&lt;=25,"18-25",A479&lt;=35,"26-35",A479&lt;=45,"36-45",A479&lt;=60,"46-60",A479&gt;60,"60+")</f>
        <v>26-35</v>
      </c>
      <c r="J479" t="str" cm="1">
        <f t="array" ref="J479">_xlfn.IFS(C479&lt;18.5,"Underweight",C479&lt;25,"Normal",C479&lt;30,"Overweight",C479&gt;=30,"Obese")</f>
        <v>Overweight</v>
      </c>
      <c r="K479" t="str" cm="1">
        <f t="array" ref="K479">_xlfn.IFS(G479&lt;10000, "Low", G479&lt;=25000, "Medium", G479&gt;25000, "High")</f>
        <v>Low</v>
      </c>
    </row>
    <row r="480" spans="1:11" x14ac:dyDescent="0.3">
      <c r="A480">
        <v>32</v>
      </c>
      <c r="B480" s="1" t="s">
        <v>8</v>
      </c>
      <c r="C480">
        <v>28.1</v>
      </c>
      <c r="D480">
        <v>0</v>
      </c>
      <c r="E480" t="s">
        <v>10</v>
      </c>
      <c r="F480" t="s">
        <v>12</v>
      </c>
      <c r="G480" s="2">
        <v>6653.7885999999999</v>
      </c>
      <c r="H480" t="str" cm="1">
        <f t="array" ref="H480">_xlfn.IFS(A480&lt;=30, "Youth", A480&lt;=50, "Adult", A480&gt;50, "Older")</f>
        <v>Adult</v>
      </c>
      <c r="I480" t="str" cm="1">
        <f t="array" ref="I480">_xlfn.IFS(A480&lt;=25,"18-25",A480&lt;=35,"26-35",A480&lt;=45,"36-45",A480&lt;=60,"46-60",A480&gt;60,"60+")</f>
        <v>26-35</v>
      </c>
      <c r="J480" t="str" cm="1">
        <f t="array" ref="J480">_xlfn.IFS(C480&lt;18.5,"Underweight",C480&lt;25,"Normal",C480&lt;30,"Overweight",C480&gt;=30,"Obese")</f>
        <v>Overweight</v>
      </c>
      <c r="K480" t="str" cm="1">
        <f t="array" ref="K480">_xlfn.IFS(G480&lt;10000, "Low", G480&lt;=25000, "Medium", G480&gt;25000, "High")</f>
        <v>Low</v>
      </c>
    </row>
    <row r="481" spans="1:11" x14ac:dyDescent="0.3">
      <c r="A481">
        <v>32</v>
      </c>
      <c r="B481" s="1" t="s">
        <v>8</v>
      </c>
      <c r="C481">
        <v>28.12</v>
      </c>
      <c r="D481">
        <v>0</v>
      </c>
      <c r="E481" t="s">
        <v>10</v>
      </c>
      <c r="F481" t="s">
        <v>12</v>
      </c>
      <c r="G481" s="2">
        <v>6664.68595</v>
      </c>
      <c r="H481" t="str" cm="1">
        <f t="array" ref="H481">_xlfn.IFS(A481&lt;=30, "Youth", A481&lt;=50, "Adult", A481&gt;50, "Older")</f>
        <v>Adult</v>
      </c>
      <c r="I481" t="str" cm="1">
        <f t="array" ref="I481">_xlfn.IFS(A481&lt;=25,"18-25",A481&lt;=35,"26-35",A481&lt;=45,"36-45",A481&lt;=60,"46-60",A481&gt;60,"60+")</f>
        <v>26-35</v>
      </c>
      <c r="J481" t="str" cm="1">
        <f t="array" ref="J481">_xlfn.IFS(C481&lt;18.5,"Underweight",C481&lt;25,"Normal",C481&lt;30,"Overweight",C481&gt;=30,"Obese")</f>
        <v>Overweight</v>
      </c>
      <c r="K481" t="str" cm="1">
        <f t="array" ref="K481">_xlfn.IFS(G481&lt;10000, "Low", G481&lt;=25000, "Medium", G481&gt;25000, "High")</f>
        <v>Low</v>
      </c>
    </row>
    <row r="482" spans="1:11" x14ac:dyDescent="0.3">
      <c r="A482">
        <v>32</v>
      </c>
      <c r="B482" s="1" t="s">
        <v>8</v>
      </c>
      <c r="C482">
        <v>28.12</v>
      </c>
      <c r="D482">
        <v>0</v>
      </c>
      <c r="E482" t="s">
        <v>10</v>
      </c>
      <c r="F482" t="s">
        <v>13</v>
      </c>
      <c r="G482" s="2">
        <v>6666.2430000000004</v>
      </c>
      <c r="H482" t="str" cm="1">
        <f t="array" ref="H482">_xlfn.IFS(A482&lt;=30, "Youth", A482&lt;=50, "Adult", A482&gt;50, "Older")</f>
        <v>Adult</v>
      </c>
      <c r="I482" t="str" cm="1">
        <f t="array" ref="I482">_xlfn.IFS(A482&lt;=25,"18-25",A482&lt;=35,"26-35",A482&lt;=45,"36-45",A482&lt;=60,"46-60",A482&gt;60,"60+")</f>
        <v>26-35</v>
      </c>
      <c r="J482" t="str" cm="1">
        <f t="array" ref="J482">_xlfn.IFS(C482&lt;18.5,"Underweight",C482&lt;25,"Normal",C482&lt;30,"Overweight",C482&gt;=30,"Obese")</f>
        <v>Overweight</v>
      </c>
      <c r="K482" t="str" cm="1">
        <f t="array" ref="K482">_xlfn.IFS(G482&lt;10000, "Low", G482&lt;=25000, "Medium", G482&gt;25000, "High")</f>
        <v>Low</v>
      </c>
    </row>
    <row r="483" spans="1:11" x14ac:dyDescent="0.3">
      <c r="A483">
        <v>32</v>
      </c>
      <c r="B483" s="1" t="s">
        <v>8</v>
      </c>
      <c r="C483">
        <v>28.12</v>
      </c>
      <c r="D483">
        <v>0</v>
      </c>
      <c r="E483" t="s">
        <v>10</v>
      </c>
      <c r="F483" t="s">
        <v>12</v>
      </c>
      <c r="G483" s="2">
        <v>6686.4313000000002</v>
      </c>
      <c r="H483" t="str" cm="1">
        <f t="array" ref="H483">_xlfn.IFS(A483&lt;=30, "Youth", A483&lt;=50, "Adult", A483&gt;50, "Older")</f>
        <v>Adult</v>
      </c>
      <c r="I483" t="str" cm="1">
        <f t="array" ref="I483">_xlfn.IFS(A483&lt;=25,"18-25",A483&lt;=35,"26-35",A483&lt;=45,"36-45",A483&lt;=60,"46-60",A483&gt;60,"60+")</f>
        <v>26-35</v>
      </c>
      <c r="J483" t="str" cm="1">
        <f t="array" ref="J483">_xlfn.IFS(C483&lt;18.5,"Underweight",C483&lt;25,"Normal",C483&lt;30,"Overweight",C483&gt;=30,"Obese")</f>
        <v>Overweight</v>
      </c>
      <c r="K483" t="str" cm="1">
        <f t="array" ref="K483">_xlfn.IFS(G483&lt;10000, "Low", G483&lt;=25000, "Medium", G483&gt;25000, "High")</f>
        <v>Low</v>
      </c>
    </row>
    <row r="484" spans="1:11" x14ac:dyDescent="0.3">
      <c r="A484">
        <v>32</v>
      </c>
      <c r="B484" s="1" t="s">
        <v>7</v>
      </c>
      <c r="C484">
        <v>28.12</v>
      </c>
      <c r="D484">
        <v>0</v>
      </c>
      <c r="E484" t="s">
        <v>10</v>
      </c>
      <c r="F484" t="s">
        <v>12</v>
      </c>
      <c r="G484" s="2">
        <v>6710.1918999999998</v>
      </c>
      <c r="H484" t="str" cm="1">
        <f t="array" ref="H484">_xlfn.IFS(A484&lt;=30, "Youth", A484&lt;=50, "Adult", A484&gt;50, "Older")</f>
        <v>Adult</v>
      </c>
      <c r="I484" t="str" cm="1">
        <f t="array" ref="I484">_xlfn.IFS(A484&lt;=25,"18-25",A484&lt;=35,"26-35",A484&lt;=45,"36-45",A484&lt;=60,"46-60",A484&gt;60,"60+")</f>
        <v>26-35</v>
      </c>
      <c r="J484" t="str" cm="1">
        <f t="array" ref="J484">_xlfn.IFS(C484&lt;18.5,"Underweight",C484&lt;25,"Normal",C484&lt;30,"Overweight",C484&gt;=30,"Obese")</f>
        <v>Overweight</v>
      </c>
      <c r="K484" t="str" cm="1">
        <f t="array" ref="K484">_xlfn.IFS(G484&lt;10000, "Low", G484&lt;=25000, "Medium", G484&gt;25000, "High")</f>
        <v>Low</v>
      </c>
    </row>
    <row r="485" spans="1:11" x14ac:dyDescent="0.3">
      <c r="A485">
        <v>32</v>
      </c>
      <c r="B485" s="1" t="s">
        <v>7</v>
      </c>
      <c r="C485">
        <v>28.16</v>
      </c>
      <c r="D485">
        <v>0</v>
      </c>
      <c r="E485" t="s">
        <v>10</v>
      </c>
      <c r="F485" t="s">
        <v>11</v>
      </c>
      <c r="G485" s="2">
        <v>6746.7425000000003</v>
      </c>
      <c r="H485" t="str" cm="1">
        <f t="array" ref="H485">_xlfn.IFS(A485&lt;=30, "Youth", A485&lt;=50, "Adult", A485&gt;50, "Older")</f>
        <v>Adult</v>
      </c>
      <c r="I485" t="str" cm="1">
        <f t="array" ref="I485">_xlfn.IFS(A485&lt;=25,"18-25",A485&lt;=35,"26-35",A485&lt;=45,"36-45",A485&lt;=60,"46-60",A485&gt;60,"60+")</f>
        <v>26-35</v>
      </c>
      <c r="J485" t="str" cm="1">
        <f t="array" ref="J485">_xlfn.IFS(C485&lt;18.5,"Underweight",C485&lt;25,"Normal",C485&lt;30,"Overweight",C485&gt;=30,"Obese")</f>
        <v>Overweight</v>
      </c>
      <c r="K485" t="str" cm="1">
        <f t="array" ref="K485">_xlfn.IFS(G485&lt;10000, "Low", G485&lt;=25000, "Medium", G485&gt;25000, "High")</f>
        <v>Low</v>
      </c>
    </row>
    <row r="486" spans="1:11" x14ac:dyDescent="0.3">
      <c r="A486">
        <v>32</v>
      </c>
      <c r="B486" s="1" t="s">
        <v>8</v>
      </c>
      <c r="C486">
        <v>28.2</v>
      </c>
      <c r="D486">
        <v>0</v>
      </c>
      <c r="E486" t="s">
        <v>10</v>
      </c>
      <c r="F486" t="s">
        <v>11</v>
      </c>
      <c r="G486" s="2">
        <v>6748.5911999999998</v>
      </c>
      <c r="H486" t="str" cm="1">
        <f t="array" ref="H486">_xlfn.IFS(A486&lt;=30, "Youth", A486&lt;=50, "Adult", A486&gt;50, "Older")</f>
        <v>Adult</v>
      </c>
      <c r="I486" t="str" cm="1">
        <f t="array" ref="I486">_xlfn.IFS(A486&lt;=25,"18-25",A486&lt;=35,"26-35",A486&lt;=45,"36-45",A486&lt;=60,"46-60",A486&gt;60,"60+")</f>
        <v>26-35</v>
      </c>
      <c r="J486" t="str" cm="1">
        <f t="array" ref="J486">_xlfn.IFS(C486&lt;18.5,"Underweight",C486&lt;25,"Normal",C486&lt;30,"Overweight",C486&gt;=30,"Obese")</f>
        <v>Overweight</v>
      </c>
      <c r="K486" t="str" cm="1">
        <f t="array" ref="K486">_xlfn.IFS(G486&lt;10000, "Low", G486&lt;=25000, "Medium", G486&gt;25000, "High")</f>
        <v>Low</v>
      </c>
    </row>
    <row r="487" spans="1:11" x14ac:dyDescent="0.3">
      <c r="A487">
        <v>32</v>
      </c>
      <c r="B487" s="1" t="s">
        <v>7</v>
      </c>
      <c r="C487">
        <v>28.215</v>
      </c>
      <c r="D487">
        <v>0</v>
      </c>
      <c r="E487" t="s">
        <v>10</v>
      </c>
      <c r="F487" t="s">
        <v>14</v>
      </c>
      <c r="G487" s="2">
        <v>6753.0379999999996</v>
      </c>
      <c r="H487" t="str" cm="1">
        <f t="array" ref="H487">_xlfn.IFS(A487&lt;=30, "Youth", A487&lt;=50, "Adult", A487&gt;50, "Older")</f>
        <v>Adult</v>
      </c>
      <c r="I487" t="str" cm="1">
        <f t="array" ref="I487">_xlfn.IFS(A487&lt;=25,"18-25",A487&lt;=35,"26-35",A487&lt;=45,"36-45",A487&lt;=60,"46-60",A487&gt;60,"60+")</f>
        <v>26-35</v>
      </c>
      <c r="J487" t="str" cm="1">
        <f t="array" ref="J487">_xlfn.IFS(C487&lt;18.5,"Underweight",C487&lt;25,"Normal",C487&lt;30,"Overweight",C487&gt;=30,"Obese")</f>
        <v>Overweight</v>
      </c>
      <c r="K487" t="str" cm="1">
        <f t="array" ref="K487">_xlfn.IFS(G487&lt;10000, "Low", G487&lt;=25000, "Medium", G487&gt;25000, "High")</f>
        <v>Low</v>
      </c>
    </row>
    <row r="488" spans="1:11" x14ac:dyDescent="0.3">
      <c r="A488">
        <v>32</v>
      </c>
      <c r="B488" s="1" t="s">
        <v>7</v>
      </c>
      <c r="C488">
        <v>28.215</v>
      </c>
      <c r="D488">
        <v>0</v>
      </c>
      <c r="E488" t="s">
        <v>10</v>
      </c>
      <c r="F488" t="s">
        <v>13</v>
      </c>
      <c r="G488" s="2">
        <v>6770.1925000000001</v>
      </c>
      <c r="H488" t="str" cm="1">
        <f t="array" ref="H488">_xlfn.IFS(A488&lt;=30, "Youth", A488&lt;=50, "Adult", A488&gt;50, "Older")</f>
        <v>Adult</v>
      </c>
      <c r="I488" t="str" cm="1">
        <f t="array" ref="I488">_xlfn.IFS(A488&lt;=25,"18-25",A488&lt;=35,"26-35",A488&lt;=45,"36-45",A488&lt;=60,"46-60",A488&gt;60,"60+")</f>
        <v>26-35</v>
      </c>
      <c r="J488" t="str" cm="1">
        <f t="array" ref="J488">_xlfn.IFS(C488&lt;18.5,"Underweight",C488&lt;25,"Normal",C488&lt;30,"Overweight",C488&gt;=30,"Obese")</f>
        <v>Overweight</v>
      </c>
      <c r="K488" t="str" cm="1">
        <f t="array" ref="K488">_xlfn.IFS(G488&lt;10000, "Low", G488&lt;=25000, "Medium", G488&gt;25000, "High")</f>
        <v>Low</v>
      </c>
    </row>
    <row r="489" spans="1:11" x14ac:dyDescent="0.3">
      <c r="A489">
        <v>32</v>
      </c>
      <c r="B489" s="1" t="s">
        <v>8</v>
      </c>
      <c r="C489">
        <v>28.215</v>
      </c>
      <c r="D489">
        <v>0</v>
      </c>
      <c r="E489" t="s">
        <v>10</v>
      </c>
      <c r="F489" t="s">
        <v>11</v>
      </c>
      <c r="G489" s="2">
        <v>6775.9610000000002</v>
      </c>
      <c r="H489" t="str" cm="1">
        <f t="array" ref="H489">_xlfn.IFS(A489&lt;=30, "Youth", A489&lt;=50, "Adult", A489&gt;50, "Older")</f>
        <v>Adult</v>
      </c>
      <c r="I489" t="str" cm="1">
        <f t="array" ref="I489">_xlfn.IFS(A489&lt;=25,"18-25",A489&lt;=35,"26-35",A489&lt;=45,"36-45",A489&lt;=60,"46-60",A489&gt;60,"60+")</f>
        <v>26-35</v>
      </c>
      <c r="J489" t="str" cm="1">
        <f t="array" ref="J489">_xlfn.IFS(C489&lt;18.5,"Underweight",C489&lt;25,"Normal",C489&lt;30,"Overweight",C489&gt;=30,"Obese")</f>
        <v>Overweight</v>
      </c>
      <c r="K489" t="str" cm="1">
        <f t="array" ref="K489">_xlfn.IFS(G489&lt;10000, "Low", G489&lt;=25000, "Medium", G489&gt;25000, "High")</f>
        <v>Low</v>
      </c>
    </row>
    <row r="490" spans="1:11" x14ac:dyDescent="0.3">
      <c r="A490">
        <v>32</v>
      </c>
      <c r="B490" s="1" t="s">
        <v>7</v>
      </c>
      <c r="C490">
        <v>28.215</v>
      </c>
      <c r="D490">
        <v>0</v>
      </c>
      <c r="E490" t="s">
        <v>9</v>
      </c>
      <c r="F490" t="s">
        <v>12</v>
      </c>
      <c r="G490" s="2">
        <v>6781.3541999999998</v>
      </c>
      <c r="H490" t="str" cm="1">
        <f t="array" ref="H490">_xlfn.IFS(A490&lt;=30, "Youth", A490&lt;=50, "Adult", A490&gt;50, "Older")</f>
        <v>Adult</v>
      </c>
      <c r="I490" t="str" cm="1">
        <f t="array" ref="I490">_xlfn.IFS(A490&lt;=25,"18-25",A490&lt;=35,"26-35",A490&lt;=45,"36-45",A490&lt;=60,"46-60",A490&gt;60,"60+")</f>
        <v>26-35</v>
      </c>
      <c r="J490" t="str" cm="1">
        <f t="array" ref="J490">_xlfn.IFS(C490&lt;18.5,"Underweight",C490&lt;25,"Normal",C490&lt;30,"Overweight",C490&gt;=30,"Obese")</f>
        <v>Overweight</v>
      </c>
      <c r="K490" t="str" cm="1">
        <f t="array" ref="K490">_xlfn.IFS(G490&lt;10000, "Low", G490&lt;=25000, "Medium", G490&gt;25000, "High")</f>
        <v>Low</v>
      </c>
    </row>
    <row r="491" spans="1:11" x14ac:dyDescent="0.3">
      <c r="A491">
        <v>32</v>
      </c>
      <c r="B491" s="1" t="s">
        <v>8</v>
      </c>
      <c r="C491">
        <v>28.27</v>
      </c>
      <c r="D491">
        <v>0</v>
      </c>
      <c r="E491" t="s">
        <v>10</v>
      </c>
      <c r="F491" t="s">
        <v>13</v>
      </c>
      <c r="G491" s="2">
        <v>6796.8632500000003</v>
      </c>
      <c r="H491" t="str" cm="1">
        <f t="array" ref="H491">_xlfn.IFS(A491&lt;=30, "Youth", A491&lt;=50, "Adult", A491&gt;50, "Older")</f>
        <v>Adult</v>
      </c>
      <c r="I491" t="str" cm="1">
        <f t="array" ref="I491">_xlfn.IFS(A491&lt;=25,"18-25",A491&lt;=35,"26-35",A491&lt;=45,"36-45",A491&lt;=60,"46-60",A491&gt;60,"60+")</f>
        <v>26-35</v>
      </c>
      <c r="J491" t="str" cm="1">
        <f t="array" ref="J491">_xlfn.IFS(C491&lt;18.5,"Underweight",C491&lt;25,"Normal",C491&lt;30,"Overweight",C491&gt;=30,"Obese")</f>
        <v>Overweight</v>
      </c>
      <c r="K491" t="str" cm="1">
        <f t="array" ref="K491">_xlfn.IFS(G491&lt;10000, "Low", G491&lt;=25000, "Medium", G491&gt;25000, "High")</f>
        <v>Low</v>
      </c>
    </row>
    <row r="492" spans="1:11" x14ac:dyDescent="0.3">
      <c r="A492">
        <v>32</v>
      </c>
      <c r="B492" s="1" t="s">
        <v>7</v>
      </c>
      <c r="C492">
        <v>28.27</v>
      </c>
      <c r="D492">
        <v>0</v>
      </c>
      <c r="E492" t="s">
        <v>10</v>
      </c>
      <c r="F492" t="s">
        <v>11</v>
      </c>
      <c r="G492" s="2">
        <v>6799.4579999999996</v>
      </c>
      <c r="H492" t="str" cm="1">
        <f t="array" ref="H492">_xlfn.IFS(A492&lt;=30, "Youth", A492&lt;=50, "Adult", A492&gt;50, "Older")</f>
        <v>Adult</v>
      </c>
      <c r="I492" t="str" cm="1">
        <f t="array" ref="I492">_xlfn.IFS(A492&lt;=25,"18-25",A492&lt;=35,"26-35",A492&lt;=45,"36-45",A492&lt;=60,"46-60",A492&gt;60,"60+")</f>
        <v>26-35</v>
      </c>
      <c r="J492" t="str" cm="1">
        <f t="array" ref="J492">_xlfn.IFS(C492&lt;18.5,"Underweight",C492&lt;25,"Normal",C492&lt;30,"Overweight",C492&gt;=30,"Obese")</f>
        <v>Overweight</v>
      </c>
      <c r="K492" t="str" cm="1">
        <f t="array" ref="K492">_xlfn.IFS(G492&lt;10000, "Low", G492&lt;=25000, "Medium", G492&gt;25000, "High")</f>
        <v>Low</v>
      </c>
    </row>
    <row r="493" spans="1:11" x14ac:dyDescent="0.3">
      <c r="A493">
        <v>32</v>
      </c>
      <c r="B493" s="1" t="s">
        <v>7</v>
      </c>
      <c r="C493">
        <v>28.3</v>
      </c>
      <c r="D493">
        <v>0</v>
      </c>
      <c r="E493" t="s">
        <v>10</v>
      </c>
      <c r="F493" t="s">
        <v>12</v>
      </c>
      <c r="G493" s="2">
        <v>6837.3687</v>
      </c>
      <c r="H493" t="str" cm="1">
        <f t="array" ref="H493">_xlfn.IFS(A493&lt;=30, "Youth", A493&lt;=50, "Adult", A493&gt;50, "Older")</f>
        <v>Adult</v>
      </c>
      <c r="I493" t="str" cm="1">
        <f t="array" ref="I493">_xlfn.IFS(A493&lt;=25,"18-25",A493&lt;=35,"26-35",A493&lt;=45,"36-45",A493&lt;=60,"46-60",A493&gt;60,"60+")</f>
        <v>26-35</v>
      </c>
      <c r="J493" t="str" cm="1">
        <f t="array" ref="J493">_xlfn.IFS(C493&lt;18.5,"Underweight",C493&lt;25,"Normal",C493&lt;30,"Overweight",C493&gt;=30,"Obese")</f>
        <v>Overweight</v>
      </c>
      <c r="K493" t="str" cm="1">
        <f t="array" ref="K493">_xlfn.IFS(G493&lt;10000, "Low", G493&lt;=25000, "Medium", G493&gt;25000, "High")</f>
        <v>Low</v>
      </c>
    </row>
    <row r="494" spans="1:11" x14ac:dyDescent="0.3">
      <c r="A494">
        <v>32</v>
      </c>
      <c r="B494" s="1" t="s">
        <v>7</v>
      </c>
      <c r="C494">
        <v>28.3</v>
      </c>
      <c r="D494">
        <v>0</v>
      </c>
      <c r="E494" t="s">
        <v>10</v>
      </c>
      <c r="F494" t="s">
        <v>14</v>
      </c>
      <c r="G494" s="2">
        <v>6849.0259999999998</v>
      </c>
      <c r="H494" t="str" cm="1">
        <f t="array" ref="H494">_xlfn.IFS(A494&lt;=30, "Youth", A494&lt;=50, "Adult", A494&gt;50, "Older")</f>
        <v>Adult</v>
      </c>
      <c r="I494" t="str" cm="1">
        <f t="array" ref="I494">_xlfn.IFS(A494&lt;=25,"18-25",A494&lt;=35,"26-35",A494&lt;=45,"36-45",A494&lt;=60,"46-60",A494&gt;60,"60+")</f>
        <v>26-35</v>
      </c>
      <c r="J494" t="str" cm="1">
        <f t="array" ref="J494">_xlfn.IFS(C494&lt;18.5,"Underweight",C494&lt;25,"Normal",C494&lt;30,"Overweight",C494&gt;=30,"Obese")</f>
        <v>Overweight</v>
      </c>
      <c r="K494" t="str" cm="1">
        <f t="array" ref="K494">_xlfn.IFS(G494&lt;10000, "Low", G494&lt;=25000, "Medium", G494&gt;25000, "High")</f>
        <v>Low</v>
      </c>
    </row>
    <row r="495" spans="1:11" x14ac:dyDescent="0.3">
      <c r="A495">
        <v>32</v>
      </c>
      <c r="B495" s="1" t="s">
        <v>8</v>
      </c>
      <c r="C495">
        <v>28.31</v>
      </c>
      <c r="D495">
        <v>0</v>
      </c>
      <c r="E495" t="s">
        <v>10</v>
      </c>
      <c r="F495" t="s">
        <v>11</v>
      </c>
      <c r="G495" s="2">
        <v>6858.4795999999997</v>
      </c>
      <c r="H495" t="str" cm="1">
        <f t="array" ref="H495">_xlfn.IFS(A495&lt;=30, "Youth", A495&lt;=50, "Adult", A495&gt;50, "Older")</f>
        <v>Adult</v>
      </c>
      <c r="I495" t="str" cm="1">
        <f t="array" ref="I495">_xlfn.IFS(A495&lt;=25,"18-25",A495&lt;=35,"26-35",A495&lt;=45,"36-45",A495&lt;=60,"46-60",A495&gt;60,"60+")</f>
        <v>26-35</v>
      </c>
      <c r="J495" t="str" cm="1">
        <f t="array" ref="J495">_xlfn.IFS(C495&lt;18.5,"Underweight",C495&lt;25,"Normal",C495&lt;30,"Overweight",C495&gt;=30,"Obese")</f>
        <v>Overweight</v>
      </c>
      <c r="K495" t="str" cm="1">
        <f t="array" ref="K495">_xlfn.IFS(G495&lt;10000, "Low", G495&lt;=25000, "Medium", G495&gt;25000, "High")</f>
        <v>Low</v>
      </c>
    </row>
    <row r="496" spans="1:11" x14ac:dyDescent="0.3">
      <c r="A496">
        <v>32</v>
      </c>
      <c r="B496" s="1" t="s">
        <v>8</v>
      </c>
      <c r="C496">
        <v>28.31</v>
      </c>
      <c r="D496">
        <v>0</v>
      </c>
      <c r="E496" t="s">
        <v>9</v>
      </c>
      <c r="F496" t="s">
        <v>11</v>
      </c>
      <c r="G496" s="2">
        <v>6875.9610000000002</v>
      </c>
      <c r="H496" t="str" cm="1">
        <f t="array" ref="H496">_xlfn.IFS(A496&lt;=30, "Youth", A496&lt;=50, "Adult", A496&gt;50, "Older")</f>
        <v>Adult</v>
      </c>
      <c r="I496" t="str" cm="1">
        <f t="array" ref="I496">_xlfn.IFS(A496&lt;=25,"18-25",A496&lt;=35,"26-35",A496&lt;=45,"36-45",A496&lt;=60,"46-60",A496&gt;60,"60+")</f>
        <v>26-35</v>
      </c>
      <c r="J496" t="str" cm="1">
        <f t="array" ref="J496">_xlfn.IFS(C496&lt;18.5,"Underweight",C496&lt;25,"Normal",C496&lt;30,"Overweight",C496&gt;=30,"Obese")</f>
        <v>Overweight</v>
      </c>
      <c r="K496" t="str" cm="1">
        <f t="array" ref="K496">_xlfn.IFS(G496&lt;10000, "Low", G496&lt;=25000, "Medium", G496&gt;25000, "High")</f>
        <v>Low</v>
      </c>
    </row>
    <row r="497" spans="1:11" x14ac:dyDescent="0.3">
      <c r="A497">
        <v>32</v>
      </c>
      <c r="B497" s="1" t="s">
        <v>8</v>
      </c>
      <c r="C497">
        <v>28.31</v>
      </c>
      <c r="D497">
        <v>0</v>
      </c>
      <c r="E497" t="s">
        <v>10</v>
      </c>
      <c r="F497" t="s">
        <v>14</v>
      </c>
      <c r="G497" s="2">
        <v>6877.9800999999998</v>
      </c>
      <c r="H497" t="str" cm="1">
        <f t="array" ref="H497">_xlfn.IFS(A497&lt;=30, "Youth", A497&lt;=50, "Adult", A497&gt;50, "Older")</f>
        <v>Adult</v>
      </c>
      <c r="I497" t="str" cm="1">
        <f t="array" ref="I497">_xlfn.IFS(A497&lt;=25,"18-25",A497&lt;=35,"26-35",A497&lt;=45,"36-45",A497&lt;=60,"46-60",A497&gt;60,"60+")</f>
        <v>26-35</v>
      </c>
      <c r="J497" t="str" cm="1">
        <f t="array" ref="J497">_xlfn.IFS(C497&lt;18.5,"Underweight",C497&lt;25,"Normal",C497&lt;30,"Overweight",C497&gt;=30,"Obese")</f>
        <v>Overweight</v>
      </c>
      <c r="K497" t="str" cm="1">
        <f t="array" ref="K497">_xlfn.IFS(G497&lt;10000, "Low", G497&lt;=25000, "Medium", G497&gt;25000, "High")</f>
        <v>Low</v>
      </c>
    </row>
    <row r="498" spans="1:11" x14ac:dyDescent="0.3">
      <c r="A498">
        <v>33</v>
      </c>
      <c r="B498" s="1" t="s">
        <v>7</v>
      </c>
      <c r="C498">
        <v>28.31</v>
      </c>
      <c r="D498">
        <v>0</v>
      </c>
      <c r="E498" t="s">
        <v>10</v>
      </c>
      <c r="F498" t="s">
        <v>11</v>
      </c>
      <c r="G498" s="2">
        <v>6933.2422500000002</v>
      </c>
      <c r="H498" t="str" cm="1">
        <f t="array" ref="H498">_xlfn.IFS(A498&lt;=30, "Youth", A498&lt;=50, "Adult", A498&gt;50, "Older")</f>
        <v>Adult</v>
      </c>
      <c r="I498" t="str" cm="1">
        <f t="array" ref="I498">_xlfn.IFS(A498&lt;=25,"18-25",A498&lt;=35,"26-35",A498&lt;=45,"36-45",A498&lt;=60,"46-60",A498&gt;60,"60+")</f>
        <v>26-35</v>
      </c>
      <c r="J498" t="str" cm="1">
        <f t="array" ref="J498">_xlfn.IFS(C498&lt;18.5,"Underweight",C498&lt;25,"Normal",C498&lt;30,"Overweight",C498&gt;=30,"Obese")</f>
        <v>Overweight</v>
      </c>
      <c r="K498" t="str" cm="1">
        <f t="array" ref="K498">_xlfn.IFS(G498&lt;10000, "Low", G498&lt;=25000, "Medium", G498&gt;25000, "High")</f>
        <v>Low</v>
      </c>
    </row>
    <row r="499" spans="1:11" x14ac:dyDescent="0.3">
      <c r="A499">
        <v>33</v>
      </c>
      <c r="B499" s="1" t="s">
        <v>8</v>
      </c>
      <c r="C499">
        <v>28.31</v>
      </c>
      <c r="D499">
        <v>0</v>
      </c>
      <c r="E499" t="s">
        <v>10</v>
      </c>
      <c r="F499" t="s">
        <v>11</v>
      </c>
      <c r="G499" s="2">
        <v>6940.90985</v>
      </c>
      <c r="H499" t="str" cm="1">
        <f t="array" ref="H499">_xlfn.IFS(A499&lt;=30, "Youth", A499&lt;=50, "Adult", A499&gt;50, "Older")</f>
        <v>Adult</v>
      </c>
      <c r="I499" t="str" cm="1">
        <f t="array" ref="I499">_xlfn.IFS(A499&lt;=25,"18-25",A499&lt;=35,"26-35",A499&lt;=45,"36-45",A499&lt;=60,"46-60",A499&gt;60,"60+")</f>
        <v>26-35</v>
      </c>
      <c r="J499" t="str" cm="1">
        <f t="array" ref="J499">_xlfn.IFS(C499&lt;18.5,"Underweight",C499&lt;25,"Normal",C499&lt;30,"Overweight",C499&gt;=30,"Obese")</f>
        <v>Overweight</v>
      </c>
      <c r="K499" t="str" cm="1">
        <f t="array" ref="K499">_xlfn.IFS(G499&lt;10000, "Low", G499&lt;=25000, "Medium", G499&gt;25000, "High")</f>
        <v>Low</v>
      </c>
    </row>
    <row r="500" spans="1:11" x14ac:dyDescent="0.3">
      <c r="A500">
        <v>33</v>
      </c>
      <c r="B500" s="1" t="s">
        <v>7</v>
      </c>
      <c r="C500">
        <v>28.31</v>
      </c>
      <c r="D500">
        <v>0</v>
      </c>
      <c r="E500" t="s">
        <v>10</v>
      </c>
      <c r="F500" t="s">
        <v>12</v>
      </c>
      <c r="G500" s="2">
        <v>6948.7007999999996</v>
      </c>
      <c r="H500" t="str" cm="1">
        <f t="array" ref="H500">_xlfn.IFS(A500&lt;=30, "Youth", A500&lt;=50, "Adult", A500&gt;50, "Older")</f>
        <v>Adult</v>
      </c>
      <c r="I500" t="str" cm="1">
        <f t="array" ref="I500">_xlfn.IFS(A500&lt;=25,"18-25",A500&lt;=35,"26-35",A500&lt;=45,"36-45",A500&lt;=60,"46-60",A500&gt;60,"60+")</f>
        <v>26-35</v>
      </c>
      <c r="J500" t="str" cm="1">
        <f t="array" ref="J500">_xlfn.IFS(C500&lt;18.5,"Underweight",C500&lt;25,"Normal",C500&lt;30,"Overweight",C500&gt;=30,"Obese")</f>
        <v>Overweight</v>
      </c>
      <c r="K500" t="str" cm="1">
        <f t="array" ref="K500">_xlfn.IFS(G500&lt;10000, "Low", G500&lt;=25000, "Medium", G500&gt;25000, "High")</f>
        <v>Low</v>
      </c>
    </row>
    <row r="501" spans="1:11" x14ac:dyDescent="0.3">
      <c r="A501">
        <v>33</v>
      </c>
      <c r="B501" s="1" t="s">
        <v>7</v>
      </c>
      <c r="C501">
        <v>28.31</v>
      </c>
      <c r="D501">
        <v>0</v>
      </c>
      <c r="E501" t="s">
        <v>10</v>
      </c>
      <c r="F501" t="s">
        <v>11</v>
      </c>
      <c r="G501" s="2">
        <v>6985.50695</v>
      </c>
      <c r="H501" t="str" cm="1">
        <f t="array" ref="H501">_xlfn.IFS(A501&lt;=30, "Youth", A501&lt;=50, "Adult", A501&gt;50, "Older")</f>
        <v>Adult</v>
      </c>
      <c r="I501" t="str" cm="1">
        <f t="array" ref="I501">_xlfn.IFS(A501&lt;=25,"18-25",A501&lt;=35,"26-35",A501&lt;=45,"36-45",A501&lt;=60,"46-60",A501&gt;60,"60+")</f>
        <v>26-35</v>
      </c>
      <c r="J501" t="str" cm="1">
        <f t="array" ref="J501">_xlfn.IFS(C501&lt;18.5,"Underweight",C501&lt;25,"Normal",C501&lt;30,"Overweight",C501&gt;=30,"Obese")</f>
        <v>Overweight</v>
      </c>
      <c r="K501" t="str" cm="1">
        <f t="array" ref="K501">_xlfn.IFS(G501&lt;10000, "Low", G501&lt;=25000, "Medium", G501&gt;25000, "High")</f>
        <v>Low</v>
      </c>
    </row>
    <row r="502" spans="1:11" x14ac:dyDescent="0.3">
      <c r="A502">
        <v>33</v>
      </c>
      <c r="B502" s="1" t="s">
        <v>8</v>
      </c>
      <c r="C502">
        <v>28.31</v>
      </c>
      <c r="D502">
        <v>0</v>
      </c>
      <c r="E502" t="s">
        <v>9</v>
      </c>
      <c r="F502" t="s">
        <v>11</v>
      </c>
      <c r="G502" s="2">
        <v>6986.6970000000001</v>
      </c>
      <c r="H502" t="str" cm="1">
        <f t="array" ref="H502">_xlfn.IFS(A502&lt;=30, "Youth", A502&lt;=50, "Adult", A502&gt;50, "Older")</f>
        <v>Adult</v>
      </c>
      <c r="I502" t="str" cm="1">
        <f t="array" ref="I502">_xlfn.IFS(A502&lt;=25,"18-25",A502&lt;=35,"26-35",A502&lt;=45,"36-45",A502&lt;=60,"46-60",A502&gt;60,"60+")</f>
        <v>26-35</v>
      </c>
      <c r="J502" t="str" cm="1">
        <f t="array" ref="J502">_xlfn.IFS(C502&lt;18.5,"Underweight",C502&lt;25,"Normal",C502&lt;30,"Overweight",C502&gt;=30,"Obese")</f>
        <v>Overweight</v>
      </c>
      <c r="K502" t="str" cm="1">
        <f t="array" ref="K502">_xlfn.IFS(G502&lt;10000, "Low", G502&lt;=25000, "Medium", G502&gt;25000, "High")</f>
        <v>Low</v>
      </c>
    </row>
    <row r="503" spans="1:11" x14ac:dyDescent="0.3">
      <c r="A503">
        <v>33</v>
      </c>
      <c r="B503" s="1" t="s">
        <v>8</v>
      </c>
      <c r="C503">
        <v>28.31</v>
      </c>
      <c r="D503">
        <v>0</v>
      </c>
      <c r="E503" t="s">
        <v>10</v>
      </c>
      <c r="F503" t="s">
        <v>14</v>
      </c>
      <c r="G503" s="2">
        <v>7045.4989999999998</v>
      </c>
      <c r="H503" t="str" cm="1">
        <f t="array" ref="H503">_xlfn.IFS(A503&lt;=30, "Youth", A503&lt;=50, "Adult", A503&gt;50, "Older")</f>
        <v>Adult</v>
      </c>
      <c r="I503" t="str" cm="1">
        <f t="array" ref="I503">_xlfn.IFS(A503&lt;=25,"18-25",A503&lt;=35,"26-35",A503&lt;=45,"36-45",A503&lt;=60,"46-60",A503&gt;60,"60+")</f>
        <v>26-35</v>
      </c>
      <c r="J503" t="str" cm="1">
        <f t="array" ref="J503">_xlfn.IFS(C503&lt;18.5,"Underweight",C503&lt;25,"Normal",C503&lt;30,"Overweight",C503&gt;=30,"Obese")</f>
        <v>Overweight</v>
      </c>
      <c r="K503" t="str" cm="1">
        <f t="array" ref="K503">_xlfn.IFS(G503&lt;10000, "Low", G503&lt;=25000, "Medium", G503&gt;25000, "High")</f>
        <v>Low</v>
      </c>
    </row>
    <row r="504" spans="1:11" x14ac:dyDescent="0.3">
      <c r="A504">
        <v>33</v>
      </c>
      <c r="B504" s="1" t="s">
        <v>8</v>
      </c>
      <c r="C504">
        <v>28.38</v>
      </c>
      <c r="D504">
        <v>0</v>
      </c>
      <c r="E504" t="s">
        <v>9</v>
      </c>
      <c r="F504" t="s">
        <v>12</v>
      </c>
      <c r="G504" s="2">
        <v>7046.7222000000002</v>
      </c>
      <c r="H504" t="str" cm="1">
        <f t="array" ref="H504">_xlfn.IFS(A504&lt;=30, "Youth", A504&lt;=50, "Adult", A504&gt;50, "Older")</f>
        <v>Adult</v>
      </c>
      <c r="I504" t="str" cm="1">
        <f t="array" ref="I504">_xlfn.IFS(A504&lt;=25,"18-25",A504&lt;=35,"26-35",A504&lt;=45,"36-45",A504&lt;=60,"46-60",A504&gt;60,"60+")</f>
        <v>26-35</v>
      </c>
      <c r="J504" t="str" cm="1">
        <f t="array" ref="J504">_xlfn.IFS(C504&lt;18.5,"Underweight",C504&lt;25,"Normal",C504&lt;30,"Overweight",C504&gt;=30,"Obese")</f>
        <v>Overweight</v>
      </c>
      <c r="K504" t="str" cm="1">
        <f t="array" ref="K504">_xlfn.IFS(G504&lt;10000, "Low", G504&lt;=25000, "Medium", G504&gt;25000, "High")</f>
        <v>Low</v>
      </c>
    </row>
    <row r="505" spans="1:11" x14ac:dyDescent="0.3">
      <c r="A505">
        <v>33</v>
      </c>
      <c r="B505" s="1" t="s">
        <v>8</v>
      </c>
      <c r="C505">
        <v>28.4</v>
      </c>
      <c r="D505">
        <v>0</v>
      </c>
      <c r="E505" t="s">
        <v>9</v>
      </c>
      <c r="F505" t="s">
        <v>12</v>
      </c>
      <c r="G505" s="2">
        <v>7050.0213000000003</v>
      </c>
      <c r="H505" t="str" cm="1">
        <f t="array" ref="H505">_xlfn.IFS(A505&lt;=30, "Youth", A505&lt;=50, "Adult", A505&gt;50, "Older")</f>
        <v>Adult</v>
      </c>
      <c r="I505" t="str" cm="1">
        <f t="array" ref="I505">_xlfn.IFS(A505&lt;=25,"18-25",A505&lt;=35,"26-35",A505&lt;=45,"36-45",A505&lt;=60,"46-60",A505&gt;60,"60+")</f>
        <v>26-35</v>
      </c>
      <c r="J505" t="str" cm="1">
        <f t="array" ref="J505">_xlfn.IFS(C505&lt;18.5,"Underweight",C505&lt;25,"Normal",C505&lt;30,"Overweight",C505&gt;=30,"Obese")</f>
        <v>Overweight</v>
      </c>
      <c r="K505" t="str" cm="1">
        <f t="array" ref="K505">_xlfn.IFS(G505&lt;10000, "Low", G505&lt;=25000, "Medium", G505&gt;25000, "High")</f>
        <v>Low</v>
      </c>
    </row>
    <row r="506" spans="1:11" x14ac:dyDescent="0.3">
      <c r="A506">
        <v>33</v>
      </c>
      <c r="B506" s="1" t="s">
        <v>7</v>
      </c>
      <c r="C506">
        <v>28.4</v>
      </c>
      <c r="D506">
        <v>0</v>
      </c>
      <c r="E506" t="s">
        <v>10</v>
      </c>
      <c r="F506" t="s">
        <v>12</v>
      </c>
      <c r="G506" s="2">
        <v>7050.6419999999998</v>
      </c>
      <c r="H506" t="str" cm="1">
        <f t="array" ref="H506">_xlfn.IFS(A506&lt;=30, "Youth", A506&lt;=50, "Adult", A506&gt;50, "Older")</f>
        <v>Adult</v>
      </c>
      <c r="I506" t="str" cm="1">
        <f t="array" ref="I506">_xlfn.IFS(A506&lt;=25,"18-25",A506&lt;=35,"26-35",A506&lt;=45,"36-45",A506&lt;=60,"46-60",A506&gt;60,"60+")</f>
        <v>26-35</v>
      </c>
      <c r="J506" t="str" cm="1">
        <f t="array" ref="J506">_xlfn.IFS(C506&lt;18.5,"Underweight",C506&lt;25,"Normal",C506&lt;30,"Overweight",C506&gt;=30,"Obese")</f>
        <v>Overweight</v>
      </c>
      <c r="K506" t="str" cm="1">
        <f t="array" ref="K506">_xlfn.IFS(G506&lt;10000, "Low", G506&lt;=25000, "Medium", G506&gt;25000, "High")</f>
        <v>Low</v>
      </c>
    </row>
    <row r="507" spans="1:11" x14ac:dyDescent="0.3">
      <c r="A507">
        <v>33</v>
      </c>
      <c r="B507" s="1" t="s">
        <v>8</v>
      </c>
      <c r="C507">
        <v>28.405000000000001</v>
      </c>
      <c r="D507">
        <v>0</v>
      </c>
      <c r="E507" t="s">
        <v>10</v>
      </c>
      <c r="F507" t="s">
        <v>13</v>
      </c>
      <c r="G507" s="2">
        <v>7077.1894000000002</v>
      </c>
      <c r="H507" t="str" cm="1">
        <f t="array" ref="H507">_xlfn.IFS(A507&lt;=30, "Youth", A507&lt;=50, "Adult", A507&gt;50, "Older")</f>
        <v>Adult</v>
      </c>
      <c r="I507" t="str" cm="1">
        <f t="array" ref="I507">_xlfn.IFS(A507&lt;=25,"18-25",A507&lt;=35,"26-35",A507&lt;=45,"36-45",A507&lt;=60,"46-60",A507&gt;60,"60+")</f>
        <v>26-35</v>
      </c>
      <c r="J507" t="str" cm="1">
        <f t="array" ref="J507">_xlfn.IFS(C507&lt;18.5,"Underweight",C507&lt;25,"Normal",C507&lt;30,"Overweight",C507&gt;=30,"Obese")</f>
        <v>Overweight</v>
      </c>
      <c r="K507" t="str" cm="1">
        <f t="array" ref="K507">_xlfn.IFS(G507&lt;10000, "Low", G507&lt;=25000, "Medium", G507&gt;25000, "High")</f>
        <v>Low</v>
      </c>
    </row>
    <row r="508" spans="1:11" x14ac:dyDescent="0.3">
      <c r="A508">
        <v>33</v>
      </c>
      <c r="B508" s="1" t="s">
        <v>8</v>
      </c>
      <c r="C508">
        <v>28.405000000000001</v>
      </c>
      <c r="D508">
        <v>0</v>
      </c>
      <c r="E508" t="s">
        <v>10</v>
      </c>
      <c r="F508" t="s">
        <v>13</v>
      </c>
      <c r="G508" s="2">
        <v>7133.9025000000001</v>
      </c>
      <c r="H508" t="str" cm="1">
        <f t="array" ref="H508">_xlfn.IFS(A508&lt;=30, "Youth", A508&lt;=50, "Adult", A508&gt;50, "Older")</f>
        <v>Adult</v>
      </c>
      <c r="I508" t="str" cm="1">
        <f t="array" ref="I508">_xlfn.IFS(A508&lt;=25,"18-25",A508&lt;=35,"26-35",A508&lt;=45,"36-45",A508&lt;=60,"46-60",A508&gt;60,"60+")</f>
        <v>26-35</v>
      </c>
      <c r="J508" t="str" cm="1">
        <f t="array" ref="J508">_xlfn.IFS(C508&lt;18.5,"Underweight",C508&lt;25,"Normal",C508&lt;30,"Overweight",C508&gt;=30,"Obese")</f>
        <v>Overweight</v>
      </c>
      <c r="K508" t="str" cm="1">
        <f t="array" ref="K508">_xlfn.IFS(G508&lt;10000, "Low", G508&lt;=25000, "Medium", G508&gt;25000, "High")</f>
        <v>Low</v>
      </c>
    </row>
    <row r="509" spans="1:11" x14ac:dyDescent="0.3">
      <c r="A509">
        <v>33</v>
      </c>
      <c r="B509" s="1" t="s">
        <v>8</v>
      </c>
      <c r="C509">
        <v>28.49</v>
      </c>
      <c r="D509">
        <v>0</v>
      </c>
      <c r="E509" t="s">
        <v>10</v>
      </c>
      <c r="F509" t="s">
        <v>13</v>
      </c>
      <c r="G509" s="2">
        <v>7144.86265</v>
      </c>
      <c r="H509" t="str" cm="1">
        <f t="array" ref="H509">_xlfn.IFS(A509&lt;=30, "Youth", A509&lt;=50, "Adult", A509&gt;50, "Older")</f>
        <v>Adult</v>
      </c>
      <c r="I509" t="str" cm="1">
        <f t="array" ref="I509">_xlfn.IFS(A509&lt;=25,"18-25",A509&lt;=35,"26-35",A509&lt;=45,"36-45",A509&lt;=60,"46-60",A509&gt;60,"60+")</f>
        <v>26-35</v>
      </c>
      <c r="J509" t="str" cm="1">
        <f t="array" ref="J509">_xlfn.IFS(C509&lt;18.5,"Underweight",C509&lt;25,"Normal",C509&lt;30,"Overweight",C509&gt;=30,"Obese")</f>
        <v>Overweight</v>
      </c>
      <c r="K509" t="str" cm="1">
        <f t="array" ref="K509">_xlfn.IFS(G509&lt;10000, "Low", G509&lt;=25000, "Medium", G509&gt;25000, "High")</f>
        <v>Low</v>
      </c>
    </row>
    <row r="510" spans="1:11" x14ac:dyDescent="0.3">
      <c r="A510">
        <v>33</v>
      </c>
      <c r="B510" s="1" t="s">
        <v>7</v>
      </c>
      <c r="C510">
        <v>28.5</v>
      </c>
      <c r="D510">
        <v>0</v>
      </c>
      <c r="E510" t="s">
        <v>10</v>
      </c>
      <c r="F510" t="s">
        <v>14</v>
      </c>
      <c r="G510" s="2">
        <v>7147.1049999999996</v>
      </c>
      <c r="H510" t="str" cm="1">
        <f t="array" ref="H510">_xlfn.IFS(A510&lt;=30, "Youth", A510&lt;=50, "Adult", A510&gt;50, "Older")</f>
        <v>Adult</v>
      </c>
      <c r="I510" t="str" cm="1">
        <f t="array" ref="I510">_xlfn.IFS(A510&lt;=25,"18-25",A510&lt;=35,"26-35",A510&lt;=45,"36-45",A510&lt;=60,"46-60",A510&gt;60,"60+")</f>
        <v>26-35</v>
      </c>
      <c r="J510" t="str" cm="1">
        <f t="array" ref="J510">_xlfn.IFS(C510&lt;18.5,"Underweight",C510&lt;25,"Normal",C510&lt;30,"Overweight",C510&gt;=30,"Obese")</f>
        <v>Overweight</v>
      </c>
      <c r="K510" t="str" cm="1">
        <f t="array" ref="K510">_xlfn.IFS(G510&lt;10000, "Low", G510&lt;=25000, "Medium", G510&gt;25000, "High")</f>
        <v>Low</v>
      </c>
    </row>
    <row r="511" spans="1:11" x14ac:dyDescent="0.3">
      <c r="A511">
        <v>33</v>
      </c>
      <c r="B511" s="1" t="s">
        <v>7</v>
      </c>
      <c r="C511">
        <v>28.5</v>
      </c>
      <c r="D511">
        <v>0</v>
      </c>
      <c r="E511" t="s">
        <v>10</v>
      </c>
      <c r="F511" t="s">
        <v>11</v>
      </c>
      <c r="G511" s="2">
        <v>7147.4727999999996</v>
      </c>
      <c r="H511" t="str" cm="1">
        <f t="array" ref="H511">_xlfn.IFS(A511&lt;=30, "Youth", A511&lt;=50, "Adult", A511&gt;50, "Older")</f>
        <v>Adult</v>
      </c>
      <c r="I511" t="str" cm="1">
        <f t="array" ref="I511">_xlfn.IFS(A511&lt;=25,"18-25",A511&lt;=35,"26-35",A511&lt;=45,"36-45",A511&lt;=60,"46-60",A511&gt;60,"60+")</f>
        <v>26-35</v>
      </c>
      <c r="J511" t="str" cm="1">
        <f t="array" ref="J511">_xlfn.IFS(C511&lt;18.5,"Underweight",C511&lt;25,"Normal",C511&lt;30,"Overweight",C511&gt;=30,"Obese")</f>
        <v>Overweight</v>
      </c>
      <c r="K511" t="str" cm="1">
        <f t="array" ref="K511">_xlfn.IFS(G511&lt;10000, "Low", G511&lt;=25000, "Medium", G511&gt;25000, "High")</f>
        <v>Low</v>
      </c>
    </row>
    <row r="512" spans="1:11" x14ac:dyDescent="0.3">
      <c r="A512">
        <v>33</v>
      </c>
      <c r="B512" s="1" t="s">
        <v>8</v>
      </c>
      <c r="C512">
        <v>28.5</v>
      </c>
      <c r="D512">
        <v>0</v>
      </c>
      <c r="E512" t="s">
        <v>10</v>
      </c>
      <c r="F512" t="s">
        <v>14</v>
      </c>
      <c r="G512" s="2">
        <v>7151.0919999999996</v>
      </c>
      <c r="H512" t="str" cm="1">
        <f t="array" ref="H512">_xlfn.IFS(A512&lt;=30, "Youth", A512&lt;=50, "Adult", A512&gt;50, "Older")</f>
        <v>Adult</v>
      </c>
      <c r="I512" t="str" cm="1">
        <f t="array" ref="I512">_xlfn.IFS(A512&lt;=25,"18-25",A512&lt;=35,"26-35",A512&lt;=45,"36-45",A512&lt;=60,"46-60",A512&gt;60,"60+")</f>
        <v>26-35</v>
      </c>
      <c r="J512" t="str" cm="1">
        <f t="array" ref="J512">_xlfn.IFS(C512&lt;18.5,"Underweight",C512&lt;25,"Normal",C512&lt;30,"Overweight",C512&gt;=30,"Obese")</f>
        <v>Overweight</v>
      </c>
      <c r="K512" t="str" cm="1">
        <f t="array" ref="K512">_xlfn.IFS(G512&lt;10000, "Low", G512&lt;=25000, "Medium", G512&gt;25000, "High")</f>
        <v>Low</v>
      </c>
    </row>
    <row r="513" spans="1:11" x14ac:dyDescent="0.3">
      <c r="A513">
        <v>33</v>
      </c>
      <c r="B513" s="1" t="s">
        <v>8</v>
      </c>
      <c r="C513">
        <v>28.5</v>
      </c>
      <c r="D513">
        <v>0</v>
      </c>
      <c r="E513" t="s">
        <v>10</v>
      </c>
      <c r="F513" t="s">
        <v>12</v>
      </c>
      <c r="G513" s="2">
        <v>7152.6714000000002</v>
      </c>
      <c r="H513" t="str" cm="1">
        <f t="array" ref="H513">_xlfn.IFS(A513&lt;=30, "Youth", A513&lt;=50, "Adult", A513&gt;50, "Older")</f>
        <v>Adult</v>
      </c>
      <c r="I513" t="str" cm="1">
        <f t="array" ref="I513">_xlfn.IFS(A513&lt;=25,"18-25",A513&lt;=35,"26-35",A513&lt;=45,"36-45",A513&lt;=60,"46-60",A513&gt;60,"60+")</f>
        <v>26-35</v>
      </c>
      <c r="J513" t="str" cm="1">
        <f t="array" ref="J513">_xlfn.IFS(C513&lt;18.5,"Underweight",C513&lt;25,"Normal",C513&lt;30,"Overweight",C513&gt;=30,"Obese")</f>
        <v>Overweight</v>
      </c>
      <c r="K513" t="str" cm="1">
        <f t="array" ref="K513">_xlfn.IFS(G513&lt;10000, "Low", G513&lt;=25000, "Medium", G513&gt;25000, "High")</f>
        <v>Low</v>
      </c>
    </row>
    <row r="514" spans="1:11" x14ac:dyDescent="0.3">
      <c r="A514">
        <v>33</v>
      </c>
      <c r="B514" s="1" t="s">
        <v>8</v>
      </c>
      <c r="C514">
        <v>28.5</v>
      </c>
      <c r="D514">
        <v>0</v>
      </c>
      <c r="E514" t="s">
        <v>10</v>
      </c>
      <c r="F514" t="s">
        <v>14</v>
      </c>
      <c r="G514" s="2">
        <v>7153.5538999999999</v>
      </c>
      <c r="H514" t="str" cm="1">
        <f t="array" ref="H514">_xlfn.IFS(A514&lt;=30, "Youth", A514&lt;=50, "Adult", A514&gt;50, "Older")</f>
        <v>Adult</v>
      </c>
      <c r="I514" t="str" cm="1">
        <f t="array" ref="I514">_xlfn.IFS(A514&lt;=25,"18-25",A514&lt;=35,"26-35",A514&lt;=45,"36-45",A514&lt;=60,"46-60",A514&gt;60,"60+")</f>
        <v>26-35</v>
      </c>
      <c r="J514" t="str" cm="1">
        <f t="array" ref="J514">_xlfn.IFS(C514&lt;18.5,"Underweight",C514&lt;25,"Normal",C514&lt;30,"Overweight",C514&gt;=30,"Obese")</f>
        <v>Overweight</v>
      </c>
      <c r="K514" t="str" cm="1">
        <f t="array" ref="K514">_xlfn.IFS(G514&lt;10000, "Low", G514&lt;=25000, "Medium", G514&gt;25000, "High")</f>
        <v>Low</v>
      </c>
    </row>
    <row r="515" spans="1:11" x14ac:dyDescent="0.3">
      <c r="A515">
        <v>33</v>
      </c>
      <c r="B515" s="1" t="s">
        <v>8</v>
      </c>
      <c r="C515">
        <v>28.594999999999999</v>
      </c>
      <c r="D515">
        <v>0</v>
      </c>
      <c r="E515" t="s">
        <v>10</v>
      </c>
      <c r="F515" t="s">
        <v>11</v>
      </c>
      <c r="G515" s="2">
        <v>7160.0940000000001</v>
      </c>
      <c r="H515" t="str" cm="1">
        <f t="array" ref="H515">_xlfn.IFS(A515&lt;=30, "Youth", A515&lt;=50, "Adult", A515&gt;50, "Older")</f>
        <v>Adult</v>
      </c>
      <c r="I515" t="str" cm="1">
        <f t="array" ref="I515">_xlfn.IFS(A515&lt;=25,"18-25",A515&lt;=35,"26-35",A515&lt;=45,"36-45",A515&lt;=60,"46-60",A515&gt;60,"60+")</f>
        <v>26-35</v>
      </c>
      <c r="J515" t="str" cm="1">
        <f t="array" ref="J515">_xlfn.IFS(C515&lt;18.5,"Underweight",C515&lt;25,"Normal",C515&lt;30,"Overweight",C515&gt;=30,"Obese")</f>
        <v>Overweight</v>
      </c>
      <c r="K515" t="str" cm="1">
        <f t="array" ref="K515">_xlfn.IFS(G515&lt;10000, "Low", G515&lt;=25000, "Medium", G515&gt;25000, "High")</f>
        <v>Low</v>
      </c>
    </row>
    <row r="516" spans="1:11" x14ac:dyDescent="0.3">
      <c r="A516">
        <v>33</v>
      </c>
      <c r="B516" s="1" t="s">
        <v>8</v>
      </c>
      <c r="C516">
        <v>28.594999999999999</v>
      </c>
      <c r="D516">
        <v>0</v>
      </c>
      <c r="E516" t="s">
        <v>9</v>
      </c>
      <c r="F516" t="s">
        <v>11</v>
      </c>
      <c r="G516" s="2">
        <v>7160.3302999999996</v>
      </c>
      <c r="H516" t="str" cm="1">
        <f t="array" ref="H516">_xlfn.IFS(A516&lt;=30, "Youth", A516&lt;=50, "Adult", A516&gt;50, "Older")</f>
        <v>Adult</v>
      </c>
      <c r="I516" t="str" cm="1">
        <f t="array" ref="I516">_xlfn.IFS(A516&lt;=25,"18-25",A516&lt;=35,"26-35",A516&lt;=45,"36-45",A516&lt;=60,"46-60",A516&gt;60,"60+")</f>
        <v>26-35</v>
      </c>
      <c r="J516" t="str" cm="1">
        <f t="array" ref="J516">_xlfn.IFS(C516&lt;18.5,"Underweight",C516&lt;25,"Normal",C516&lt;30,"Overweight",C516&gt;=30,"Obese")</f>
        <v>Overweight</v>
      </c>
      <c r="K516" t="str" cm="1">
        <f t="array" ref="K516">_xlfn.IFS(G516&lt;10000, "Low", G516&lt;=25000, "Medium", G516&gt;25000, "High")</f>
        <v>Low</v>
      </c>
    </row>
    <row r="517" spans="1:11" x14ac:dyDescent="0.3">
      <c r="A517">
        <v>33</v>
      </c>
      <c r="B517" s="1" t="s">
        <v>8</v>
      </c>
      <c r="C517">
        <v>28.594999999999999</v>
      </c>
      <c r="D517">
        <v>0</v>
      </c>
      <c r="E517" t="s">
        <v>10</v>
      </c>
      <c r="F517" t="s">
        <v>11</v>
      </c>
      <c r="G517" s="2">
        <v>7162.0122000000001</v>
      </c>
      <c r="H517" t="str" cm="1">
        <f t="array" ref="H517">_xlfn.IFS(A517&lt;=30, "Youth", A517&lt;=50, "Adult", A517&gt;50, "Older")</f>
        <v>Adult</v>
      </c>
      <c r="I517" t="str" cm="1">
        <f t="array" ref="I517">_xlfn.IFS(A517&lt;=25,"18-25",A517&lt;=35,"26-35",A517&lt;=45,"36-45",A517&lt;=60,"46-60",A517&gt;60,"60+")</f>
        <v>26-35</v>
      </c>
      <c r="J517" t="str" cm="1">
        <f t="array" ref="J517">_xlfn.IFS(C517&lt;18.5,"Underweight",C517&lt;25,"Normal",C517&lt;30,"Overweight",C517&gt;=30,"Obese")</f>
        <v>Overweight</v>
      </c>
      <c r="K517" t="str" cm="1">
        <f t="array" ref="K517">_xlfn.IFS(G517&lt;10000, "Low", G517&lt;=25000, "Medium", G517&gt;25000, "High")</f>
        <v>Low</v>
      </c>
    </row>
    <row r="518" spans="1:11" x14ac:dyDescent="0.3">
      <c r="A518">
        <v>33</v>
      </c>
      <c r="B518" s="1" t="s">
        <v>8</v>
      </c>
      <c r="C518">
        <v>28.594999999999999</v>
      </c>
      <c r="D518">
        <v>0</v>
      </c>
      <c r="E518" t="s">
        <v>10</v>
      </c>
      <c r="F518" t="s">
        <v>12</v>
      </c>
      <c r="G518" s="2">
        <v>7173.35995</v>
      </c>
      <c r="H518" t="str" cm="1">
        <f t="array" ref="H518">_xlfn.IFS(A518&lt;=30, "Youth", A518&lt;=50, "Adult", A518&gt;50, "Older")</f>
        <v>Adult</v>
      </c>
      <c r="I518" t="str" cm="1">
        <f t="array" ref="I518">_xlfn.IFS(A518&lt;=25,"18-25",A518&lt;=35,"26-35",A518&lt;=45,"36-45",A518&lt;=60,"46-60",A518&gt;60,"60+")</f>
        <v>26-35</v>
      </c>
      <c r="J518" t="str" cm="1">
        <f t="array" ref="J518">_xlfn.IFS(C518&lt;18.5,"Underweight",C518&lt;25,"Normal",C518&lt;30,"Overweight",C518&gt;=30,"Obese")</f>
        <v>Overweight</v>
      </c>
      <c r="K518" t="str" cm="1">
        <f t="array" ref="K518">_xlfn.IFS(G518&lt;10000, "Low", G518&lt;=25000, "Medium", G518&gt;25000, "High")</f>
        <v>Low</v>
      </c>
    </row>
    <row r="519" spans="1:11" x14ac:dyDescent="0.3">
      <c r="A519">
        <v>33</v>
      </c>
      <c r="B519" s="1" t="s">
        <v>8</v>
      </c>
      <c r="C519">
        <v>28.594999999999999</v>
      </c>
      <c r="D519">
        <v>0</v>
      </c>
      <c r="E519" t="s">
        <v>10</v>
      </c>
      <c r="F519" t="s">
        <v>13</v>
      </c>
      <c r="G519" s="2">
        <v>7196.8670000000002</v>
      </c>
      <c r="H519" t="str" cm="1">
        <f t="array" ref="H519">_xlfn.IFS(A519&lt;=30, "Youth", A519&lt;=50, "Adult", A519&gt;50, "Older")</f>
        <v>Adult</v>
      </c>
      <c r="I519" t="str" cm="1">
        <f t="array" ref="I519">_xlfn.IFS(A519&lt;=25,"18-25",A519&lt;=35,"26-35",A519&lt;=45,"36-45",A519&lt;=60,"46-60",A519&gt;60,"60+")</f>
        <v>26-35</v>
      </c>
      <c r="J519" t="str" cm="1">
        <f t="array" ref="J519">_xlfn.IFS(C519&lt;18.5,"Underweight",C519&lt;25,"Normal",C519&lt;30,"Overweight",C519&gt;=30,"Obese")</f>
        <v>Overweight</v>
      </c>
      <c r="K519" t="str" cm="1">
        <f t="array" ref="K519">_xlfn.IFS(G519&lt;10000, "Low", G519&lt;=25000, "Medium", G519&gt;25000, "High")</f>
        <v>Low</v>
      </c>
    </row>
    <row r="520" spans="1:11" x14ac:dyDescent="0.3">
      <c r="A520">
        <v>33</v>
      </c>
      <c r="B520" s="1" t="s">
        <v>7</v>
      </c>
      <c r="C520">
        <v>28.594999999999999</v>
      </c>
      <c r="D520">
        <v>0</v>
      </c>
      <c r="E520" t="s">
        <v>10</v>
      </c>
      <c r="F520" t="s">
        <v>11</v>
      </c>
      <c r="G520" s="2">
        <v>7201.7008500000002</v>
      </c>
      <c r="H520" t="str" cm="1">
        <f t="array" ref="H520">_xlfn.IFS(A520&lt;=30, "Youth", A520&lt;=50, "Adult", A520&gt;50, "Older")</f>
        <v>Adult</v>
      </c>
      <c r="I520" t="str" cm="1">
        <f t="array" ref="I520">_xlfn.IFS(A520&lt;=25,"18-25",A520&lt;=35,"26-35",A520&lt;=45,"36-45",A520&lt;=60,"46-60",A520&gt;60,"60+")</f>
        <v>26-35</v>
      </c>
      <c r="J520" t="str" cm="1">
        <f t="array" ref="J520">_xlfn.IFS(C520&lt;18.5,"Underweight",C520&lt;25,"Normal",C520&lt;30,"Overweight",C520&gt;=30,"Obese")</f>
        <v>Overweight</v>
      </c>
      <c r="K520" t="str" cm="1">
        <f t="array" ref="K520">_xlfn.IFS(G520&lt;10000, "Low", G520&lt;=25000, "Medium", G520&gt;25000, "High")</f>
        <v>Low</v>
      </c>
    </row>
    <row r="521" spans="1:11" x14ac:dyDescent="0.3">
      <c r="A521">
        <v>33</v>
      </c>
      <c r="B521" s="1" t="s">
        <v>8</v>
      </c>
      <c r="C521">
        <v>28.6</v>
      </c>
      <c r="D521">
        <v>0</v>
      </c>
      <c r="E521" t="s">
        <v>10</v>
      </c>
      <c r="F521" t="s">
        <v>14</v>
      </c>
      <c r="G521" s="2">
        <v>7209.4917999999998</v>
      </c>
      <c r="H521" t="str" cm="1">
        <f t="array" ref="H521">_xlfn.IFS(A521&lt;=30, "Youth", A521&lt;=50, "Adult", A521&gt;50, "Older")</f>
        <v>Adult</v>
      </c>
      <c r="I521" t="str" cm="1">
        <f t="array" ref="I521">_xlfn.IFS(A521&lt;=25,"18-25",A521&lt;=35,"26-35",A521&lt;=45,"36-45",A521&lt;=60,"46-60",A521&gt;60,"60+")</f>
        <v>26-35</v>
      </c>
      <c r="J521" t="str" cm="1">
        <f t="array" ref="J521">_xlfn.IFS(C521&lt;18.5,"Underweight",C521&lt;25,"Normal",C521&lt;30,"Overweight",C521&gt;=30,"Obese")</f>
        <v>Overweight</v>
      </c>
      <c r="K521" t="str" cm="1">
        <f t="array" ref="K521">_xlfn.IFS(G521&lt;10000, "Low", G521&lt;=25000, "Medium", G521&gt;25000, "High")</f>
        <v>Low</v>
      </c>
    </row>
    <row r="522" spans="1:11" x14ac:dyDescent="0.3">
      <c r="A522">
        <v>33</v>
      </c>
      <c r="B522" s="1" t="s">
        <v>7</v>
      </c>
      <c r="C522">
        <v>28.6</v>
      </c>
      <c r="D522">
        <v>0</v>
      </c>
      <c r="E522" t="s">
        <v>10</v>
      </c>
      <c r="F522" t="s">
        <v>14</v>
      </c>
      <c r="G522" s="2">
        <v>7222.7862500000001</v>
      </c>
      <c r="H522" t="str" cm="1">
        <f t="array" ref="H522">_xlfn.IFS(A522&lt;=30, "Youth", A522&lt;=50, "Adult", A522&gt;50, "Older")</f>
        <v>Adult</v>
      </c>
      <c r="I522" t="str" cm="1">
        <f t="array" ref="I522">_xlfn.IFS(A522&lt;=25,"18-25",A522&lt;=35,"26-35",A522&lt;=45,"36-45",A522&lt;=60,"46-60",A522&gt;60,"60+")</f>
        <v>26-35</v>
      </c>
      <c r="J522" t="str" cm="1">
        <f t="array" ref="J522">_xlfn.IFS(C522&lt;18.5,"Underweight",C522&lt;25,"Normal",C522&lt;30,"Overweight",C522&gt;=30,"Obese")</f>
        <v>Overweight</v>
      </c>
      <c r="K522" t="str" cm="1">
        <f t="array" ref="K522">_xlfn.IFS(G522&lt;10000, "Low", G522&lt;=25000, "Medium", G522&gt;25000, "High")</f>
        <v>Low</v>
      </c>
    </row>
    <row r="523" spans="1:11" x14ac:dyDescent="0.3">
      <c r="A523">
        <v>33</v>
      </c>
      <c r="B523" s="1" t="s">
        <v>7</v>
      </c>
      <c r="C523">
        <v>28.6</v>
      </c>
      <c r="D523">
        <v>0</v>
      </c>
      <c r="E523" t="s">
        <v>10</v>
      </c>
      <c r="F523" t="s">
        <v>12</v>
      </c>
      <c r="G523" s="2">
        <v>7228.2156500000001</v>
      </c>
      <c r="H523" t="str" cm="1">
        <f t="array" ref="H523">_xlfn.IFS(A523&lt;=30, "Youth", A523&lt;=50, "Adult", A523&gt;50, "Older")</f>
        <v>Adult</v>
      </c>
      <c r="I523" t="str" cm="1">
        <f t="array" ref="I523">_xlfn.IFS(A523&lt;=25,"18-25",A523&lt;=35,"26-35",A523&lt;=45,"36-45",A523&lt;=60,"46-60",A523&gt;60,"60+")</f>
        <v>26-35</v>
      </c>
      <c r="J523" t="str" cm="1">
        <f t="array" ref="J523">_xlfn.IFS(C523&lt;18.5,"Underweight",C523&lt;25,"Normal",C523&lt;30,"Overweight",C523&gt;=30,"Obese")</f>
        <v>Overweight</v>
      </c>
      <c r="K523" t="str" cm="1">
        <f t="array" ref="K523">_xlfn.IFS(G523&lt;10000, "Low", G523&lt;=25000, "Medium", G523&gt;25000, "High")</f>
        <v>Low</v>
      </c>
    </row>
    <row r="524" spans="1:11" x14ac:dyDescent="0.3">
      <c r="A524">
        <v>34</v>
      </c>
      <c r="B524" s="1" t="s">
        <v>7</v>
      </c>
      <c r="C524">
        <v>28.69</v>
      </c>
      <c r="D524">
        <v>0</v>
      </c>
      <c r="E524" t="s">
        <v>10</v>
      </c>
      <c r="F524" t="s">
        <v>14</v>
      </c>
      <c r="G524" s="2">
        <v>7243.8136000000004</v>
      </c>
      <c r="H524" t="str" cm="1">
        <f t="array" ref="H524">_xlfn.IFS(A524&lt;=30, "Youth", A524&lt;=50, "Adult", A524&gt;50, "Older")</f>
        <v>Adult</v>
      </c>
      <c r="I524" t="str" cm="1">
        <f t="array" ref="I524">_xlfn.IFS(A524&lt;=25,"18-25",A524&lt;=35,"26-35",A524&lt;=45,"36-45",A524&lt;=60,"46-60",A524&gt;60,"60+")</f>
        <v>26-35</v>
      </c>
      <c r="J524" t="str" cm="1">
        <f t="array" ref="J524">_xlfn.IFS(C524&lt;18.5,"Underweight",C524&lt;25,"Normal",C524&lt;30,"Overweight",C524&gt;=30,"Obese")</f>
        <v>Overweight</v>
      </c>
      <c r="K524" t="str" cm="1">
        <f t="array" ref="K524">_xlfn.IFS(G524&lt;10000, "Low", G524&lt;=25000, "Medium", G524&gt;25000, "High")</f>
        <v>Low</v>
      </c>
    </row>
    <row r="525" spans="1:11" x14ac:dyDescent="0.3">
      <c r="A525">
        <v>34</v>
      </c>
      <c r="B525" s="1" t="s">
        <v>7</v>
      </c>
      <c r="C525">
        <v>28.69</v>
      </c>
      <c r="D525">
        <v>0</v>
      </c>
      <c r="E525" t="s">
        <v>10</v>
      </c>
      <c r="F525" t="s">
        <v>12</v>
      </c>
      <c r="G525" s="2">
        <v>7256.7231000000002</v>
      </c>
      <c r="H525" t="str" cm="1">
        <f t="array" ref="H525">_xlfn.IFS(A525&lt;=30, "Youth", A525&lt;=50, "Adult", A525&gt;50, "Older")</f>
        <v>Adult</v>
      </c>
      <c r="I525" t="str" cm="1">
        <f t="array" ref="I525">_xlfn.IFS(A525&lt;=25,"18-25",A525&lt;=35,"26-35",A525&lt;=45,"36-45",A525&lt;=60,"46-60",A525&gt;60,"60+")</f>
        <v>26-35</v>
      </c>
      <c r="J525" t="str" cm="1">
        <f t="array" ref="J525">_xlfn.IFS(C525&lt;18.5,"Underweight",C525&lt;25,"Normal",C525&lt;30,"Overweight",C525&gt;=30,"Obese")</f>
        <v>Overweight</v>
      </c>
      <c r="K525" t="str" cm="1">
        <f t="array" ref="K525">_xlfn.IFS(G525&lt;10000, "Low", G525&lt;=25000, "Medium", G525&gt;25000, "High")</f>
        <v>Low</v>
      </c>
    </row>
    <row r="526" spans="1:11" x14ac:dyDescent="0.3">
      <c r="A526">
        <v>34</v>
      </c>
      <c r="B526" s="1" t="s">
        <v>8</v>
      </c>
      <c r="C526">
        <v>28.69</v>
      </c>
      <c r="D526">
        <v>0</v>
      </c>
      <c r="E526" t="s">
        <v>9</v>
      </c>
      <c r="F526" t="s">
        <v>12</v>
      </c>
      <c r="G526" s="2">
        <v>7261.741</v>
      </c>
      <c r="H526" t="str" cm="1">
        <f t="array" ref="H526">_xlfn.IFS(A526&lt;=30, "Youth", A526&lt;=50, "Adult", A526&gt;50, "Older")</f>
        <v>Adult</v>
      </c>
      <c r="I526" t="str" cm="1">
        <f t="array" ref="I526">_xlfn.IFS(A526&lt;=25,"18-25",A526&lt;=35,"26-35",A526&lt;=45,"36-45",A526&lt;=60,"46-60",A526&gt;60,"60+")</f>
        <v>26-35</v>
      </c>
      <c r="J526" t="str" cm="1">
        <f t="array" ref="J526">_xlfn.IFS(C526&lt;18.5,"Underweight",C526&lt;25,"Normal",C526&lt;30,"Overweight",C526&gt;=30,"Obese")</f>
        <v>Overweight</v>
      </c>
      <c r="K526" t="str" cm="1">
        <f t="array" ref="K526">_xlfn.IFS(G526&lt;10000, "Low", G526&lt;=25000, "Medium", G526&gt;25000, "High")</f>
        <v>Low</v>
      </c>
    </row>
    <row r="527" spans="1:11" x14ac:dyDescent="0.3">
      <c r="A527">
        <v>34</v>
      </c>
      <c r="B527" s="1" t="s">
        <v>7</v>
      </c>
      <c r="C527">
        <v>28.7</v>
      </c>
      <c r="D527">
        <v>0</v>
      </c>
      <c r="E527" t="s">
        <v>10</v>
      </c>
      <c r="F527" t="s">
        <v>12</v>
      </c>
      <c r="G527" s="2">
        <v>7265.7025000000003</v>
      </c>
      <c r="H527" t="str" cm="1">
        <f t="array" ref="H527">_xlfn.IFS(A527&lt;=30, "Youth", A527&lt;=50, "Adult", A527&gt;50, "Older")</f>
        <v>Adult</v>
      </c>
      <c r="I527" t="str" cm="1">
        <f t="array" ref="I527">_xlfn.IFS(A527&lt;=25,"18-25",A527&lt;=35,"26-35",A527&lt;=45,"36-45",A527&lt;=60,"46-60",A527&gt;60,"60+")</f>
        <v>26-35</v>
      </c>
      <c r="J527" t="str" cm="1">
        <f t="array" ref="J527">_xlfn.IFS(C527&lt;18.5,"Underweight",C527&lt;25,"Normal",C527&lt;30,"Overweight",C527&gt;=30,"Obese")</f>
        <v>Overweight</v>
      </c>
      <c r="K527" t="str" cm="1">
        <f t="array" ref="K527">_xlfn.IFS(G527&lt;10000, "Low", G527&lt;=25000, "Medium", G527&gt;25000, "High")</f>
        <v>Low</v>
      </c>
    </row>
    <row r="528" spans="1:11" x14ac:dyDescent="0.3">
      <c r="A528">
        <v>34</v>
      </c>
      <c r="B528" s="1" t="s">
        <v>7</v>
      </c>
      <c r="C528">
        <v>28.7</v>
      </c>
      <c r="D528">
        <v>0</v>
      </c>
      <c r="E528" t="s">
        <v>10</v>
      </c>
      <c r="F528" t="s">
        <v>13</v>
      </c>
      <c r="G528" s="2">
        <v>7281.5056000000004</v>
      </c>
      <c r="H528" t="str" cm="1">
        <f t="array" ref="H528">_xlfn.IFS(A528&lt;=30, "Youth", A528&lt;=50, "Adult", A528&gt;50, "Older")</f>
        <v>Adult</v>
      </c>
      <c r="I528" t="str" cm="1">
        <f t="array" ref="I528">_xlfn.IFS(A528&lt;=25,"18-25",A528&lt;=35,"26-35",A528&lt;=45,"36-45",A528&lt;=60,"46-60",A528&gt;60,"60+")</f>
        <v>26-35</v>
      </c>
      <c r="J528" t="str" cm="1">
        <f t="array" ref="J528">_xlfn.IFS(C528&lt;18.5,"Underweight",C528&lt;25,"Normal",C528&lt;30,"Overweight",C528&gt;=30,"Obese")</f>
        <v>Overweight</v>
      </c>
      <c r="K528" t="str" cm="1">
        <f t="array" ref="K528">_xlfn.IFS(G528&lt;10000, "Low", G528&lt;=25000, "Medium", G528&gt;25000, "High")</f>
        <v>Low</v>
      </c>
    </row>
    <row r="529" spans="1:11" x14ac:dyDescent="0.3">
      <c r="A529">
        <v>34</v>
      </c>
      <c r="B529" s="1" t="s">
        <v>7</v>
      </c>
      <c r="C529">
        <v>28.7</v>
      </c>
      <c r="D529">
        <v>0</v>
      </c>
      <c r="E529" t="s">
        <v>10</v>
      </c>
      <c r="F529" t="s">
        <v>11</v>
      </c>
      <c r="G529" s="2">
        <v>7323.7348190000002</v>
      </c>
      <c r="H529" t="str" cm="1">
        <f t="array" ref="H529">_xlfn.IFS(A529&lt;=30, "Youth", A529&lt;=50, "Adult", A529&gt;50, "Older")</f>
        <v>Adult</v>
      </c>
      <c r="I529" t="str" cm="1">
        <f t="array" ref="I529">_xlfn.IFS(A529&lt;=25,"18-25",A529&lt;=35,"26-35",A529&lt;=45,"36-45",A529&lt;=60,"46-60",A529&gt;60,"60+")</f>
        <v>26-35</v>
      </c>
      <c r="J529" t="str" cm="1">
        <f t="array" ref="J529">_xlfn.IFS(C529&lt;18.5,"Underweight",C529&lt;25,"Normal",C529&lt;30,"Overweight",C529&gt;=30,"Obese")</f>
        <v>Overweight</v>
      </c>
      <c r="K529" t="str" cm="1">
        <f t="array" ref="K529">_xlfn.IFS(G529&lt;10000, "Low", G529&lt;=25000, "Medium", G529&gt;25000, "High")</f>
        <v>Low</v>
      </c>
    </row>
    <row r="530" spans="1:11" x14ac:dyDescent="0.3">
      <c r="A530">
        <v>34</v>
      </c>
      <c r="B530" s="1" t="s">
        <v>8</v>
      </c>
      <c r="C530">
        <v>28.7</v>
      </c>
      <c r="D530">
        <v>0</v>
      </c>
      <c r="E530" t="s">
        <v>10</v>
      </c>
      <c r="F530" t="s">
        <v>14</v>
      </c>
      <c r="G530" s="2">
        <v>7325.0482000000002</v>
      </c>
      <c r="H530" t="str" cm="1">
        <f t="array" ref="H530">_xlfn.IFS(A530&lt;=30, "Youth", A530&lt;=50, "Adult", A530&gt;50, "Older")</f>
        <v>Adult</v>
      </c>
      <c r="I530" t="str" cm="1">
        <f t="array" ref="I530">_xlfn.IFS(A530&lt;=25,"18-25",A530&lt;=35,"26-35",A530&lt;=45,"36-45",A530&lt;=60,"46-60",A530&gt;60,"60+")</f>
        <v>26-35</v>
      </c>
      <c r="J530" t="str" cm="1">
        <f t="array" ref="J530">_xlfn.IFS(C530&lt;18.5,"Underweight",C530&lt;25,"Normal",C530&lt;30,"Overweight",C530&gt;=30,"Obese")</f>
        <v>Overweight</v>
      </c>
      <c r="K530" t="str" cm="1">
        <f t="array" ref="K530">_xlfn.IFS(G530&lt;10000, "Low", G530&lt;=25000, "Medium", G530&gt;25000, "High")</f>
        <v>Low</v>
      </c>
    </row>
    <row r="531" spans="1:11" x14ac:dyDescent="0.3">
      <c r="A531">
        <v>34</v>
      </c>
      <c r="B531" s="1" t="s">
        <v>8</v>
      </c>
      <c r="C531">
        <v>28.7</v>
      </c>
      <c r="D531">
        <v>0</v>
      </c>
      <c r="E531" t="s">
        <v>10</v>
      </c>
      <c r="F531" t="s">
        <v>14</v>
      </c>
      <c r="G531" s="2">
        <v>7337.7479999999996</v>
      </c>
      <c r="H531" t="str" cm="1">
        <f t="array" ref="H531">_xlfn.IFS(A531&lt;=30, "Youth", A531&lt;=50, "Adult", A531&gt;50, "Older")</f>
        <v>Adult</v>
      </c>
      <c r="I531" t="str" cm="1">
        <f t="array" ref="I531">_xlfn.IFS(A531&lt;=25,"18-25",A531&lt;=35,"26-35",A531&lt;=45,"36-45",A531&lt;=60,"46-60",A531&gt;60,"60+")</f>
        <v>26-35</v>
      </c>
      <c r="J531" t="str" cm="1">
        <f t="array" ref="J531">_xlfn.IFS(C531&lt;18.5,"Underweight",C531&lt;25,"Normal",C531&lt;30,"Overweight",C531&gt;=30,"Obese")</f>
        <v>Overweight</v>
      </c>
      <c r="K531" t="str" cm="1">
        <f t="array" ref="K531">_xlfn.IFS(G531&lt;10000, "Low", G531&lt;=25000, "Medium", G531&gt;25000, "High")</f>
        <v>Low</v>
      </c>
    </row>
    <row r="532" spans="1:11" x14ac:dyDescent="0.3">
      <c r="A532">
        <v>34</v>
      </c>
      <c r="B532" s="1" t="s">
        <v>8</v>
      </c>
      <c r="C532">
        <v>28.785</v>
      </c>
      <c r="D532">
        <v>0</v>
      </c>
      <c r="E532" t="s">
        <v>9</v>
      </c>
      <c r="F532" t="s">
        <v>12</v>
      </c>
      <c r="G532" s="2">
        <v>7345.0839999999998</v>
      </c>
      <c r="H532" t="str" cm="1">
        <f t="array" ref="H532">_xlfn.IFS(A532&lt;=30, "Youth", A532&lt;=50, "Adult", A532&gt;50, "Older")</f>
        <v>Adult</v>
      </c>
      <c r="I532" t="str" cm="1">
        <f t="array" ref="I532">_xlfn.IFS(A532&lt;=25,"18-25",A532&lt;=35,"26-35",A532&lt;=45,"36-45",A532&lt;=60,"46-60",A532&gt;60,"60+")</f>
        <v>26-35</v>
      </c>
      <c r="J532" t="str" cm="1">
        <f t="array" ref="J532">_xlfn.IFS(C532&lt;18.5,"Underweight",C532&lt;25,"Normal",C532&lt;30,"Overweight",C532&gt;=30,"Obese")</f>
        <v>Overweight</v>
      </c>
      <c r="K532" t="str" cm="1">
        <f t="array" ref="K532">_xlfn.IFS(G532&lt;10000, "Low", G532&lt;=25000, "Medium", G532&gt;25000, "High")</f>
        <v>Low</v>
      </c>
    </row>
    <row r="533" spans="1:11" x14ac:dyDescent="0.3">
      <c r="A533">
        <v>34</v>
      </c>
      <c r="B533" s="1" t="s">
        <v>7</v>
      </c>
      <c r="C533">
        <v>28.785</v>
      </c>
      <c r="D533">
        <v>0</v>
      </c>
      <c r="E533" t="s">
        <v>10</v>
      </c>
      <c r="F533" t="s">
        <v>14</v>
      </c>
      <c r="G533" s="2">
        <v>7345.7266</v>
      </c>
      <c r="H533" t="str" cm="1">
        <f t="array" ref="H533">_xlfn.IFS(A533&lt;=30, "Youth", A533&lt;=50, "Adult", A533&gt;50, "Older")</f>
        <v>Adult</v>
      </c>
      <c r="I533" t="str" cm="1">
        <f t="array" ref="I533">_xlfn.IFS(A533&lt;=25,"18-25",A533&lt;=35,"26-35",A533&lt;=45,"36-45",A533&lt;=60,"46-60",A533&gt;60,"60+")</f>
        <v>26-35</v>
      </c>
      <c r="J533" t="str" cm="1">
        <f t="array" ref="J533">_xlfn.IFS(C533&lt;18.5,"Underweight",C533&lt;25,"Normal",C533&lt;30,"Overweight",C533&gt;=30,"Obese")</f>
        <v>Overweight</v>
      </c>
      <c r="K533" t="str" cm="1">
        <f t="array" ref="K533">_xlfn.IFS(G533&lt;10000, "Low", G533&lt;=25000, "Medium", G533&gt;25000, "High")</f>
        <v>Low</v>
      </c>
    </row>
    <row r="534" spans="1:11" x14ac:dyDescent="0.3">
      <c r="A534">
        <v>34</v>
      </c>
      <c r="B534" s="1" t="s">
        <v>8</v>
      </c>
      <c r="C534">
        <v>28.785</v>
      </c>
      <c r="D534">
        <v>0</v>
      </c>
      <c r="E534" t="s">
        <v>10</v>
      </c>
      <c r="F534" t="s">
        <v>12</v>
      </c>
      <c r="G534" s="2">
        <v>7348.1419999999998</v>
      </c>
      <c r="H534" t="str" cm="1">
        <f t="array" ref="H534">_xlfn.IFS(A534&lt;=30, "Youth", A534&lt;=50, "Adult", A534&gt;50, "Older")</f>
        <v>Adult</v>
      </c>
      <c r="I534" t="str" cm="1">
        <f t="array" ref="I534">_xlfn.IFS(A534&lt;=25,"18-25",A534&lt;=35,"26-35",A534&lt;=45,"36-45",A534&lt;=60,"46-60",A534&gt;60,"60+")</f>
        <v>26-35</v>
      </c>
      <c r="J534" t="str" cm="1">
        <f t="array" ref="J534">_xlfn.IFS(C534&lt;18.5,"Underweight",C534&lt;25,"Normal",C534&lt;30,"Overweight",C534&gt;=30,"Obese")</f>
        <v>Overweight</v>
      </c>
      <c r="K534" t="str" cm="1">
        <f t="array" ref="K534">_xlfn.IFS(G534&lt;10000, "Low", G534&lt;=25000, "Medium", G534&gt;25000, "High")</f>
        <v>Low</v>
      </c>
    </row>
    <row r="535" spans="1:11" x14ac:dyDescent="0.3">
      <c r="A535">
        <v>34</v>
      </c>
      <c r="B535" s="1" t="s">
        <v>8</v>
      </c>
      <c r="C535">
        <v>28.785</v>
      </c>
      <c r="D535">
        <v>0</v>
      </c>
      <c r="E535" t="s">
        <v>10</v>
      </c>
      <c r="F535" t="s">
        <v>12</v>
      </c>
      <c r="G535" s="2">
        <v>7358.1756500000001</v>
      </c>
      <c r="H535" t="str" cm="1">
        <f t="array" ref="H535">_xlfn.IFS(A535&lt;=30, "Youth", A535&lt;=50, "Adult", A535&gt;50, "Older")</f>
        <v>Adult</v>
      </c>
      <c r="I535" t="str" cm="1">
        <f t="array" ref="I535">_xlfn.IFS(A535&lt;=25,"18-25",A535&lt;=35,"26-35",A535&lt;=45,"36-45",A535&lt;=60,"46-60",A535&gt;60,"60+")</f>
        <v>26-35</v>
      </c>
      <c r="J535" t="str" cm="1">
        <f t="array" ref="J535">_xlfn.IFS(C535&lt;18.5,"Underweight",C535&lt;25,"Normal",C535&lt;30,"Overweight",C535&gt;=30,"Obese")</f>
        <v>Overweight</v>
      </c>
      <c r="K535" t="str" cm="1">
        <f t="array" ref="K535">_xlfn.IFS(G535&lt;10000, "Low", G535&lt;=25000, "Medium", G535&gt;25000, "High")</f>
        <v>Low</v>
      </c>
    </row>
    <row r="536" spans="1:11" x14ac:dyDescent="0.3">
      <c r="A536">
        <v>34</v>
      </c>
      <c r="B536" s="1" t="s">
        <v>8</v>
      </c>
      <c r="C536">
        <v>28.785</v>
      </c>
      <c r="D536">
        <v>0</v>
      </c>
      <c r="E536" t="s">
        <v>10</v>
      </c>
      <c r="F536" t="s">
        <v>12</v>
      </c>
      <c r="G536" s="2">
        <v>7371.7719999999999</v>
      </c>
      <c r="H536" t="str" cm="1">
        <f t="array" ref="H536">_xlfn.IFS(A536&lt;=30, "Youth", A536&lt;=50, "Adult", A536&gt;50, "Older")</f>
        <v>Adult</v>
      </c>
      <c r="I536" t="str" cm="1">
        <f t="array" ref="I536">_xlfn.IFS(A536&lt;=25,"18-25",A536&lt;=35,"26-35",A536&lt;=45,"36-45",A536&lt;=60,"46-60",A536&gt;60,"60+")</f>
        <v>26-35</v>
      </c>
      <c r="J536" t="str" cm="1">
        <f t="array" ref="J536">_xlfn.IFS(C536&lt;18.5,"Underweight",C536&lt;25,"Normal",C536&lt;30,"Overweight",C536&gt;=30,"Obese")</f>
        <v>Overweight</v>
      </c>
      <c r="K536" t="str" cm="1">
        <f t="array" ref="K536">_xlfn.IFS(G536&lt;10000, "Low", G536&lt;=25000, "Medium", G536&gt;25000, "High")</f>
        <v>Low</v>
      </c>
    </row>
    <row r="537" spans="1:11" x14ac:dyDescent="0.3">
      <c r="A537">
        <v>34</v>
      </c>
      <c r="B537" s="1" t="s">
        <v>8</v>
      </c>
      <c r="C537">
        <v>28.8</v>
      </c>
      <c r="D537">
        <v>0</v>
      </c>
      <c r="E537" t="s">
        <v>10</v>
      </c>
      <c r="F537" t="s">
        <v>14</v>
      </c>
      <c r="G537" s="2">
        <v>7418.5219999999999</v>
      </c>
      <c r="H537" t="str" cm="1">
        <f t="array" ref="H537">_xlfn.IFS(A537&lt;=30, "Youth", A537&lt;=50, "Adult", A537&gt;50, "Older")</f>
        <v>Adult</v>
      </c>
      <c r="I537" t="str" cm="1">
        <f t="array" ref="I537">_xlfn.IFS(A537&lt;=25,"18-25",A537&lt;=35,"26-35",A537&lt;=45,"36-45",A537&lt;=60,"46-60",A537&gt;60,"60+")</f>
        <v>26-35</v>
      </c>
      <c r="J537" t="str" cm="1">
        <f t="array" ref="J537">_xlfn.IFS(C537&lt;18.5,"Underweight",C537&lt;25,"Normal",C537&lt;30,"Overweight",C537&gt;=30,"Obese")</f>
        <v>Overweight</v>
      </c>
      <c r="K537" t="str" cm="1">
        <f t="array" ref="K537">_xlfn.IFS(G537&lt;10000, "Low", G537&lt;=25000, "Medium", G537&gt;25000, "High")</f>
        <v>Low</v>
      </c>
    </row>
    <row r="538" spans="1:11" x14ac:dyDescent="0.3">
      <c r="A538">
        <v>34</v>
      </c>
      <c r="B538" s="1" t="s">
        <v>7</v>
      </c>
      <c r="C538">
        <v>28.82</v>
      </c>
      <c r="D538">
        <v>0</v>
      </c>
      <c r="E538" t="s">
        <v>10</v>
      </c>
      <c r="F538" t="s">
        <v>11</v>
      </c>
      <c r="G538" s="2">
        <v>7419.4778999999999</v>
      </c>
      <c r="H538" t="str" cm="1">
        <f t="array" ref="H538">_xlfn.IFS(A538&lt;=30, "Youth", A538&lt;=50, "Adult", A538&gt;50, "Older")</f>
        <v>Adult</v>
      </c>
      <c r="I538" t="str" cm="1">
        <f t="array" ref="I538">_xlfn.IFS(A538&lt;=25,"18-25",A538&lt;=35,"26-35",A538&lt;=45,"36-45",A538&lt;=60,"46-60",A538&gt;60,"60+")</f>
        <v>26-35</v>
      </c>
      <c r="J538" t="str" cm="1">
        <f t="array" ref="J538">_xlfn.IFS(C538&lt;18.5,"Underweight",C538&lt;25,"Normal",C538&lt;30,"Overweight",C538&gt;=30,"Obese")</f>
        <v>Overweight</v>
      </c>
      <c r="K538" t="str" cm="1">
        <f t="array" ref="K538">_xlfn.IFS(G538&lt;10000, "Low", G538&lt;=25000, "Medium", G538&gt;25000, "High")</f>
        <v>Low</v>
      </c>
    </row>
    <row r="539" spans="1:11" x14ac:dyDescent="0.3">
      <c r="A539">
        <v>34</v>
      </c>
      <c r="B539" s="1" t="s">
        <v>7</v>
      </c>
      <c r="C539">
        <v>28.88</v>
      </c>
      <c r="D539">
        <v>0</v>
      </c>
      <c r="E539" t="s">
        <v>10</v>
      </c>
      <c r="F539" t="s">
        <v>11</v>
      </c>
      <c r="G539" s="2">
        <v>7421.1945500000002</v>
      </c>
      <c r="H539" t="str" cm="1">
        <f t="array" ref="H539">_xlfn.IFS(A539&lt;=30, "Youth", A539&lt;=50, "Adult", A539&gt;50, "Older")</f>
        <v>Adult</v>
      </c>
      <c r="I539" t="str" cm="1">
        <f t="array" ref="I539">_xlfn.IFS(A539&lt;=25,"18-25",A539&lt;=35,"26-35",A539&lt;=45,"36-45",A539&lt;=60,"46-60",A539&gt;60,"60+")</f>
        <v>26-35</v>
      </c>
      <c r="J539" t="str" cm="1">
        <f t="array" ref="J539">_xlfn.IFS(C539&lt;18.5,"Underweight",C539&lt;25,"Normal",C539&lt;30,"Overweight",C539&gt;=30,"Obese")</f>
        <v>Overweight</v>
      </c>
      <c r="K539" t="str" cm="1">
        <f t="array" ref="K539">_xlfn.IFS(G539&lt;10000, "Low", G539&lt;=25000, "Medium", G539&gt;25000, "High")</f>
        <v>Low</v>
      </c>
    </row>
    <row r="540" spans="1:11" x14ac:dyDescent="0.3">
      <c r="A540">
        <v>34</v>
      </c>
      <c r="B540" s="1" t="s">
        <v>7</v>
      </c>
      <c r="C540">
        <v>28.88</v>
      </c>
      <c r="D540">
        <v>0</v>
      </c>
      <c r="E540" t="s">
        <v>10</v>
      </c>
      <c r="F540" t="s">
        <v>12</v>
      </c>
      <c r="G540" s="2">
        <v>7441.0529999999999</v>
      </c>
      <c r="H540" t="str" cm="1">
        <f t="array" ref="H540">_xlfn.IFS(A540&lt;=30, "Youth", A540&lt;=50, "Adult", A540&gt;50, "Older")</f>
        <v>Adult</v>
      </c>
      <c r="I540" t="str" cm="1">
        <f t="array" ref="I540">_xlfn.IFS(A540&lt;=25,"18-25",A540&lt;=35,"26-35",A540&lt;=45,"36-45",A540&lt;=60,"46-60",A540&gt;60,"60+")</f>
        <v>26-35</v>
      </c>
      <c r="J540" t="str" cm="1">
        <f t="array" ref="J540">_xlfn.IFS(C540&lt;18.5,"Underweight",C540&lt;25,"Normal",C540&lt;30,"Overweight",C540&gt;=30,"Obese")</f>
        <v>Overweight</v>
      </c>
      <c r="K540" t="str" cm="1">
        <f t="array" ref="K540">_xlfn.IFS(G540&lt;10000, "Low", G540&lt;=25000, "Medium", G540&gt;25000, "High")</f>
        <v>Low</v>
      </c>
    </row>
    <row r="541" spans="1:11" x14ac:dyDescent="0.3">
      <c r="A541">
        <v>34</v>
      </c>
      <c r="B541" s="1" t="s">
        <v>8</v>
      </c>
      <c r="C541">
        <v>28.88</v>
      </c>
      <c r="D541">
        <v>0</v>
      </c>
      <c r="E541" t="s">
        <v>10</v>
      </c>
      <c r="F541" t="s">
        <v>12</v>
      </c>
      <c r="G541" s="2">
        <v>7441.5010000000002</v>
      </c>
      <c r="H541" t="str" cm="1">
        <f t="array" ref="H541">_xlfn.IFS(A541&lt;=30, "Youth", A541&lt;=50, "Adult", A541&gt;50, "Older")</f>
        <v>Adult</v>
      </c>
      <c r="I541" t="str" cm="1">
        <f t="array" ref="I541">_xlfn.IFS(A541&lt;=25,"18-25",A541&lt;=35,"26-35",A541&lt;=45,"36-45",A541&lt;=60,"46-60",A541&gt;60,"60+")</f>
        <v>26-35</v>
      </c>
      <c r="J541" t="str" cm="1">
        <f t="array" ref="J541">_xlfn.IFS(C541&lt;18.5,"Underweight",C541&lt;25,"Normal",C541&lt;30,"Overweight",C541&gt;=30,"Obese")</f>
        <v>Overweight</v>
      </c>
      <c r="K541" t="str" cm="1">
        <f t="array" ref="K541">_xlfn.IFS(G541&lt;10000, "Low", G541&lt;=25000, "Medium", G541&gt;25000, "High")</f>
        <v>Low</v>
      </c>
    </row>
    <row r="542" spans="1:11" x14ac:dyDescent="0.3">
      <c r="A542">
        <v>34</v>
      </c>
      <c r="B542" s="1" t="s">
        <v>7</v>
      </c>
      <c r="C542">
        <v>28.88</v>
      </c>
      <c r="D542">
        <v>0</v>
      </c>
      <c r="E542" t="s">
        <v>10</v>
      </c>
      <c r="F542" t="s">
        <v>11</v>
      </c>
      <c r="G542" s="2">
        <v>7443.6430499999997</v>
      </c>
      <c r="H542" t="str" cm="1">
        <f t="array" ref="H542">_xlfn.IFS(A542&lt;=30, "Youth", A542&lt;=50, "Adult", A542&gt;50, "Older")</f>
        <v>Adult</v>
      </c>
      <c r="I542" t="str" cm="1">
        <f t="array" ref="I542">_xlfn.IFS(A542&lt;=25,"18-25",A542&lt;=35,"26-35",A542&lt;=45,"36-45",A542&lt;=60,"46-60",A542&gt;60,"60+")</f>
        <v>26-35</v>
      </c>
      <c r="J542" t="str" cm="1">
        <f t="array" ref="J542">_xlfn.IFS(C542&lt;18.5,"Underweight",C542&lt;25,"Normal",C542&lt;30,"Overweight",C542&gt;=30,"Obese")</f>
        <v>Overweight</v>
      </c>
      <c r="K542" t="str" cm="1">
        <f t="array" ref="K542">_xlfn.IFS(G542&lt;10000, "Low", G542&lt;=25000, "Medium", G542&gt;25000, "High")</f>
        <v>Low</v>
      </c>
    </row>
    <row r="543" spans="1:11" x14ac:dyDescent="0.3">
      <c r="A543">
        <v>34</v>
      </c>
      <c r="B543" s="1" t="s">
        <v>7</v>
      </c>
      <c r="C543">
        <v>28.88</v>
      </c>
      <c r="D543">
        <v>0</v>
      </c>
      <c r="E543" t="s">
        <v>10</v>
      </c>
      <c r="F543" t="s">
        <v>12</v>
      </c>
      <c r="G543" s="2">
        <v>7445.9179999999997</v>
      </c>
      <c r="H543" t="str" cm="1">
        <f t="array" ref="H543">_xlfn.IFS(A543&lt;=30, "Youth", A543&lt;=50, "Adult", A543&gt;50, "Older")</f>
        <v>Adult</v>
      </c>
      <c r="I543" t="str" cm="1">
        <f t="array" ref="I543">_xlfn.IFS(A543&lt;=25,"18-25",A543&lt;=35,"26-35",A543&lt;=45,"36-45",A543&lt;=60,"46-60",A543&gt;60,"60+")</f>
        <v>26-35</v>
      </c>
      <c r="J543" t="str" cm="1">
        <f t="array" ref="J543">_xlfn.IFS(C543&lt;18.5,"Underweight",C543&lt;25,"Normal",C543&lt;30,"Overweight",C543&gt;=30,"Obese")</f>
        <v>Overweight</v>
      </c>
      <c r="K543" t="str" cm="1">
        <f t="array" ref="K543">_xlfn.IFS(G543&lt;10000, "Low", G543&lt;=25000, "Medium", G543&gt;25000, "High")</f>
        <v>Low</v>
      </c>
    </row>
    <row r="544" spans="1:11" x14ac:dyDescent="0.3">
      <c r="A544">
        <v>34</v>
      </c>
      <c r="B544" s="1" t="s">
        <v>7</v>
      </c>
      <c r="C544">
        <v>28.88</v>
      </c>
      <c r="D544">
        <v>0</v>
      </c>
      <c r="E544" t="s">
        <v>10</v>
      </c>
      <c r="F544" t="s">
        <v>12</v>
      </c>
      <c r="G544" s="2">
        <v>7448.4039499999999</v>
      </c>
      <c r="H544" t="str" cm="1">
        <f t="array" ref="H544">_xlfn.IFS(A544&lt;=30, "Youth", A544&lt;=50, "Adult", A544&gt;50, "Older")</f>
        <v>Adult</v>
      </c>
      <c r="I544" t="str" cm="1">
        <f t="array" ref="I544">_xlfn.IFS(A544&lt;=25,"18-25",A544&lt;=35,"26-35",A544&lt;=45,"36-45",A544&lt;=60,"46-60",A544&gt;60,"60+")</f>
        <v>26-35</v>
      </c>
      <c r="J544" t="str" cm="1">
        <f t="array" ref="J544">_xlfn.IFS(C544&lt;18.5,"Underweight",C544&lt;25,"Normal",C544&lt;30,"Overweight",C544&gt;=30,"Obese")</f>
        <v>Overweight</v>
      </c>
      <c r="K544" t="str" cm="1">
        <f t="array" ref="K544">_xlfn.IFS(G544&lt;10000, "Low", G544&lt;=25000, "Medium", G544&gt;25000, "High")</f>
        <v>Low</v>
      </c>
    </row>
    <row r="545" spans="1:11" x14ac:dyDescent="0.3">
      <c r="A545">
        <v>34</v>
      </c>
      <c r="B545" s="1" t="s">
        <v>7</v>
      </c>
      <c r="C545">
        <v>28.88</v>
      </c>
      <c r="D545">
        <v>0</v>
      </c>
      <c r="E545" t="s">
        <v>9</v>
      </c>
      <c r="F545" t="s">
        <v>12</v>
      </c>
      <c r="G545" s="2">
        <v>7512.2669999999998</v>
      </c>
      <c r="H545" t="str" cm="1">
        <f t="array" ref="H545">_xlfn.IFS(A545&lt;=30, "Youth", A545&lt;=50, "Adult", A545&gt;50, "Older")</f>
        <v>Adult</v>
      </c>
      <c r="I545" t="str" cm="1">
        <f t="array" ref="I545">_xlfn.IFS(A545&lt;=25,"18-25",A545&lt;=35,"26-35",A545&lt;=45,"36-45",A545&lt;=60,"46-60",A545&gt;60,"60+")</f>
        <v>26-35</v>
      </c>
      <c r="J545" t="str" cm="1">
        <f t="array" ref="J545">_xlfn.IFS(C545&lt;18.5,"Underweight",C545&lt;25,"Normal",C545&lt;30,"Overweight",C545&gt;=30,"Obese")</f>
        <v>Overweight</v>
      </c>
      <c r="K545" t="str" cm="1">
        <f t="array" ref="K545">_xlfn.IFS(G545&lt;10000, "Low", G545&lt;=25000, "Medium", G545&gt;25000, "High")</f>
        <v>Low</v>
      </c>
    </row>
    <row r="546" spans="1:11" x14ac:dyDescent="0.3">
      <c r="A546">
        <v>34</v>
      </c>
      <c r="B546" s="1" t="s">
        <v>8</v>
      </c>
      <c r="C546">
        <v>28.88</v>
      </c>
      <c r="D546">
        <v>0</v>
      </c>
      <c r="E546" t="s">
        <v>10</v>
      </c>
      <c r="F546" t="s">
        <v>13</v>
      </c>
      <c r="G546" s="2">
        <v>7518.0253499999999</v>
      </c>
      <c r="H546" t="str" cm="1">
        <f t="array" ref="H546">_xlfn.IFS(A546&lt;=30, "Youth", A546&lt;=50, "Adult", A546&gt;50, "Older")</f>
        <v>Adult</v>
      </c>
      <c r="I546" t="str" cm="1">
        <f t="array" ref="I546">_xlfn.IFS(A546&lt;=25,"18-25",A546&lt;=35,"26-35",A546&lt;=45,"36-45",A546&lt;=60,"46-60",A546&gt;60,"60+")</f>
        <v>26-35</v>
      </c>
      <c r="J546" t="str" cm="1">
        <f t="array" ref="J546">_xlfn.IFS(C546&lt;18.5,"Underweight",C546&lt;25,"Normal",C546&lt;30,"Overweight",C546&gt;=30,"Obese")</f>
        <v>Overweight</v>
      </c>
      <c r="K546" t="str" cm="1">
        <f t="array" ref="K546">_xlfn.IFS(G546&lt;10000, "Low", G546&lt;=25000, "Medium", G546&gt;25000, "High")</f>
        <v>Low</v>
      </c>
    </row>
    <row r="547" spans="1:11" x14ac:dyDescent="0.3">
      <c r="A547">
        <v>34</v>
      </c>
      <c r="B547" s="1" t="s">
        <v>8</v>
      </c>
      <c r="C547">
        <v>28.9</v>
      </c>
      <c r="D547">
        <v>0</v>
      </c>
      <c r="E547" t="s">
        <v>9</v>
      </c>
      <c r="F547" t="s">
        <v>13</v>
      </c>
      <c r="G547" s="2">
        <v>7526.7064499999997</v>
      </c>
      <c r="H547" t="str" cm="1">
        <f t="array" ref="H547">_xlfn.IFS(A547&lt;=30, "Youth", A547&lt;=50, "Adult", A547&gt;50, "Older")</f>
        <v>Adult</v>
      </c>
      <c r="I547" t="str" cm="1">
        <f t="array" ref="I547">_xlfn.IFS(A547&lt;=25,"18-25",A547&lt;=35,"26-35",A547&lt;=45,"36-45",A547&lt;=60,"46-60",A547&gt;60,"60+")</f>
        <v>26-35</v>
      </c>
      <c r="J547" t="str" cm="1">
        <f t="array" ref="J547">_xlfn.IFS(C547&lt;18.5,"Underweight",C547&lt;25,"Normal",C547&lt;30,"Overweight",C547&gt;=30,"Obese")</f>
        <v>Overweight</v>
      </c>
      <c r="K547" t="str" cm="1">
        <f t="array" ref="K547">_xlfn.IFS(G547&lt;10000, "Low", G547&lt;=25000, "Medium", G547&gt;25000, "High")</f>
        <v>Low</v>
      </c>
    </row>
    <row r="548" spans="1:11" x14ac:dyDescent="0.3">
      <c r="A548">
        <v>34</v>
      </c>
      <c r="B548" s="1" t="s">
        <v>8</v>
      </c>
      <c r="C548">
        <v>28.9</v>
      </c>
      <c r="D548">
        <v>0</v>
      </c>
      <c r="E548" t="s">
        <v>10</v>
      </c>
      <c r="F548" t="s">
        <v>14</v>
      </c>
      <c r="G548" s="2">
        <v>7537.1638999999996</v>
      </c>
      <c r="H548" t="str" cm="1">
        <f t="array" ref="H548">_xlfn.IFS(A548&lt;=30, "Youth", A548&lt;=50, "Adult", A548&gt;50, "Older")</f>
        <v>Adult</v>
      </c>
      <c r="I548" t="str" cm="1">
        <f t="array" ref="I548">_xlfn.IFS(A548&lt;=25,"18-25",A548&lt;=35,"26-35",A548&lt;=45,"36-45",A548&lt;=60,"46-60",A548&gt;60,"60+")</f>
        <v>26-35</v>
      </c>
      <c r="J548" t="str" cm="1">
        <f t="array" ref="J548">_xlfn.IFS(C548&lt;18.5,"Underweight",C548&lt;25,"Normal",C548&lt;30,"Overweight",C548&gt;=30,"Obese")</f>
        <v>Overweight</v>
      </c>
      <c r="K548" t="str" cm="1">
        <f t="array" ref="K548">_xlfn.IFS(G548&lt;10000, "Low", G548&lt;=25000, "Medium", G548&gt;25000, "High")</f>
        <v>Low</v>
      </c>
    </row>
    <row r="549" spans="1:11" x14ac:dyDescent="0.3">
      <c r="A549">
        <v>34</v>
      </c>
      <c r="B549" s="1" t="s">
        <v>7</v>
      </c>
      <c r="C549">
        <v>28.9</v>
      </c>
      <c r="D549">
        <v>0</v>
      </c>
      <c r="E549" t="s">
        <v>10</v>
      </c>
      <c r="F549" t="s">
        <v>11</v>
      </c>
      <c r="G549" s="2">
        <v>7623.518</v>
      </c>
      <c r="H549" t="str" cm="1">
        <f t="array" ref="H549">_xlfn.IFS(A549&lt;=30, "Youth", A549&lt;=50, "Adult", A549&gt;50, "Older")</f>
        <v>Adult</v>
      </c>
      <c r="I549" t="str" cm="1">
        <f t="array" ref="I549">_xlfn.IFS(A549&lt;=25,"18-25",A549&lt;=35,"26-35",A549&lt;=45,"36-45",A549&lt;=60,"46-60",A549&gt;60,"60+")</f>
        <v>26-35</v>
      </c>
      <c r="J549" t="str" cm="1">
        <f t="array" ref="J549">_xlfn.IFS(C549&lt;18.5,"Underweight",C549&lt;25,"Normal",C549&lt;30,"Overweight",C549&gt;=30,"Obese")</f>
        <v>Overweight</v>
      </c>
      <c r="K549" t="str" cm="1">
        <f t="array" ref="K549">_xlfn.IFS(G549&lt;10000, "Low", G549&lt;=25000, "Medium", G549&gt;25000, "High")</f>
        <v>Low</v>
      </c>
    </row>
    <row r="550" spans="1:11" x14ac:dyDescent="0.3">
      <c r="A550">
        <v>35</v>
      </c>
      <c r="B550" s="1" t="s">
        <v>7</v>
      </c>
      <c r="C550">
        <v>28.9</v>
      </c>
      <c r="D550">
        <v>0</v>
      </c>
      <c r="E550" t="s">
        <v>10</v>
      </c>
      <c r="F550" t="s">
        <v>14</v>
      </c>
      <c r="G550" s="2">
        <v>7624.63</v>
      </c>
      <c r="H550" t="str" cm="1">
        <f t="array" ref="H550">_xlfn.IFS(A550&lt;=30, "Youth", A550&lt;=50, "Adult", A550&gt;50, "Older")</f>
        <v>Adult</v>
      </c>
      <c r="I550" t="str" cm="1">
        <f t="array" ref="I550">_xlfn.IFS(A550&lt;=25,"18-25",A550&lt;=35,"26-35",A550&lt;=45,"36-45",A550&lt;=60,"46-60",A550&gt;60,"60+")</f>
        <v>26-35</v>
      </c>
      <c r="J550" t="str" cm="1">
        <f t="array" ref="J550">_xlfn.IFS(C550&lt;18.5,"Underweight",C550&lt;25,"Normal",C550&lt;30,"Overweight",C550&gt;=30,"Obese")</f>
        <v>Overweight</v>
      </c>
      <c r="K550" t="str" cm="1">
        <f t="array" ref="K550">_xlfn.IFS(G550&lt;10000, "Low", G550&lt;=25000, "Medium", G550&gt;25000, "High")</f>
        <v>Low</v>
      </c>
    </row>
    <row r="551" spans="1:11" x14ac:dyDescent="0.3">
      <c r="A551">
        <v>35</v>
      </c>
      <c r="B551" s="1" t="s">
        <v>7</v>
      </c>
      <c r="C551">
        <v>28.9</v>
      </c>
      <c r="D551">
        <v>0</v>
      </c>
      <c r="E551" t="s">
        <v>9</v>
      </c>
      <c r="F551" t="s">
        <v>12</v>
      </c>
      <c r="G551" s="2">
        <v>7626.9930000000004</v>
      </c>
      <c r="H551" t="str" cm="1">
        <f t="array" ref="H551">_xlfn.IFS(A551&lt;=30, "Youth", A551&lt;=50, "Adult", A551&gt;50, "Older")</f>
        <v>Adult</v>
      </c>
      <c r="I551" t="str" cm="1">
        <f t="array" ref="I551">_xlfn.IFS(A551&lt;=25,"18-25",A551&lt;=35,"26-35",A551&lt;=45,"36-45",A551&lt;=60,"46-60",A551&gt;60,"60+")</f>
        <v>26-35</v>
      </c>
      <c r="J551" t="str" cm="1">
        <f t="array" ref="J551">_xlfn.IFS(C551&lt;18.5,"Underweight",C551&lt;25,"Normal",C551&lt;30,"Overweight",C551&gt;=30,"Obese")</f>
        <v>Overweight</v>
      </c>
      <c r="K551" t="str" cm="1">
        <f t="array" ref="K551">_xlfn.IFS(G551&lt;10000, "Low", G551&lt;=25000, "Medium", G551&gt;25000, "High")</f>
        <v>Low</v>
      </c>
    </row>
    <row r="552" spans="1:11" x14ac:dyDescent="0.3">
      <c r="A552">
        <v>35</v>
      </c>
      <c r="B552" s="1" t="s">
        <v>8</v>
      </c>
      <c r="C552">
        <v>28.93</v>
      </c>
      <c r="D552">
        <v>0</v>
      </c>
      <c r="E552" t="s">
        <v>10</v>
      </c>
      <c r="F552" t="s">
        <v>11</v>
      </c>
      <c r="G552" s="2">
        <v>7633.7205999999996</v>
      </c>
      <c r="H552" t="str" cm="1">
        <f t="array" ref="H552">_xlfn.IFS(A552&lt;=30, "Youth", A552&lt;=50, "Adult", A552&gt;50, "Older")</f>
        <v>Adult</v>
      </c>
      <c r="I552" t="str" cm="1">
        <f t="array" ref="I552">_xlfn.IFS(A552&lt;=25,"18-25",A552&lt;=35,"26-35",A552&lt;=45,"36-45",A552&lt;=60,"46-60",A552&gt;60,"60+")</f>
        <v>26-35</v>
      </c>
      <c r="J552" t="str" cm="1">
        <f t="array" ref="J552">_xlfn.IFS(C552&lt;18.5,"Underweight",C552&lt;25,"Normal",C552&lt;30,"Overweight",C552&gt;=30,"Obese")</f>
        <v>Overweight</v>
      </c>
      <c r="K552" t="str" cm="1">
        <f t="array" ref="K552">_xlfn.IFS(G552&lt;10000, "Low", G552&lt;=25000, "Medium", G552&gt;25000, "High")</f>
        <v>Low</v>
      </c>
    </row>
    <row r="553" spans="1:11" x14ac:dyDescent="0.3">
      <c r="A553">
        <v>35</v>
      </c>
      <c r="B553" s="1" t="s">
        <v>7</v>
      </c>
      <c r="C553">
        <v>28.93</v>
      </c>
      <c r="D553">
        <v>0</v>
      </c>
      <c r="E553" t="s">
        <v>10</v>
      </c>
      <c r="F553" t="s">
        <v>12</v>
      </c>
      <c r="G553" s="2">
        <v>7639.4174499999999</v>
      </c>
      <c r="H553" t="str" cm="1">
        <f t="array" ref="H553">_xlfn.IFS(A553&lt;=30, "Youth", A553&lt;=50, "Adult", A553&gt;50, "Older")</f>
        <v>Adult</v>
      </c>
      <c r="I553" t="str" cm="1">
        <f t="array" ref="I553">_xlfn.IFS(A553&lt;=25,"18-25",A553&lt;=35,"26-35",A553&lt;=45,"36-45",A553&lt;=60,"46-60",A553&gt;60,"60+")</f>
        <v>26-35</v>
      </c>
      <c r="J553" t="str" cm="1">
        <f t="array" ref="J553">_xlfn.IFS(C553&lt;18.5,"Underweight",C553&lt;25,"Normal",C553&lt;30,"Overweight",C553&gt;=30,"Obese")</f>
        <v>Overweight</v>
      </c>
      <c r="K553" t="str" cm="1">
        <f t="array" ref="K553">_xlfn.IFS(G553&lt;10000, "Low", G553&lt;=25000, "Medium", G553&gt;25000, "High")</f>
        <v>Low</v>
      </c>
    </row>
    <row r="554" spans="1:11" x14ac:dyDescent="0.3">
      <c r="A554">
        <v>35</v>
      </c>
      <c r="B554" s="1" t="s">
        <v>8</v>
      </c>
      <c r="C554">
        <v>28.93</v>
      </c>
      <c r="D554">
        <v>0</v>
      </c>
      <c r="E554" t="s">
        <v>10</v>
      </c>
      <c r="F554" t="s">
        <v>11</v>
      </c>
      <c r="G554" s="2">
        <v>7640.3091999999997</v>
      </c>
      <c r="H554" t="str" cm="1">
        <f t="array" ref="H554">_xlfn.IFS(A554&lt;=30, "Youth", A554&lt;=50, "Adult", A554&gt;50, "Older")</f>
        <v>Adult</v>
      </c>
      <c r="I554" t="str" cm="1">
        <f t="array" ref="I554">_xlfn.IFS(A554&lt;=25,"18-25",A554&lt;=35,"26-35",A554&lt;=45,"36-45",A554&lt;=60,"46-60",A554&gt;60,"60+")</f>
        <v>26-35</v>
      </c>
      <c r="J554" t="str" cm="1">
        <f t="array" ref="J554">_xlfn.IFS(C554&lt;18.5,"Underweight",C554&lt;25,"Normal",C554&lt;30,"Overweight",C554&gt;=30,"Obese")</f>
        <v>Overweight</v>
      </c>
      <c r="K554" t="str" cm="1">
        <f t="array" ref="K554">_xlfn.IFS(G554&lt;10000, "Low", G554&lt;=25000, "Medium", G554&gt;25000, "High")</f>
        <v>Low</v>
      </c>
    </row>
    <row r="555" spans="1:11" x14ac:dyDescent="0.3">
      <c r="A555">
        <v>35</v>
      </c>
      <c r="B555" s="1" t="s">
        <v>7</v>
      </c>
      <c r="C555">
        <v>28.975000000000001</v>
      </c>
      <c r="D555">
        <v>0</v>
      </c>
      <c r="E555" t="s">
        <v>10</v>
      </c>
      <c r="F555" t="s">
        <v>13</v>
      </c>
      <c r="G555" s="2">
        <v>7650.7737500000003</v>
      </c>
      <c r="H555" t="str" cm="1">
        <f t="array" ref="H555">_xlfn.IFS(A555&lt;=30, "Youth", A555&lt;=50, "Adult", A555&gt;50, "Older")</f>
        <v>Adult</v>
      </c>
      <c r="I555" t="str" cm="1">
        <f t="array" ref="I555">_xlfn.IFS(A555&lt;=25,"18-25",A555&lt;=35,"26-35",A555&lt;=45,"36-45",A555&lt;=60,"46-60",A555&gt;60,"60+")</f>
        <v>26-35</v>
      </c>
      <c r="J555" t="str" cm="1">
        <f t="array" ref="J555">_xlfn.IFS(C555&lt;18.5,"Underweight",C555&lt;25,"Normal",C555&lt;30,"Overweight",C555&gt;=30,"Obese")</f>
        <v>Overweight</v>
      </c>
      <c r="K555" t="str" cm="1">
        <f t="array" ref="K555">_xlfn.IFS(G555&lt;10000, "Low", G555&lt;=25000, "Medium", G555&gt;25000, "High")</f>
        <v>Low</v>
      </c>
    </row>
    <row r="556" spans="1:11" x14ac:dyDescent="0.3">
      <c r="A556">
        <v>35</v>
      </c>
      <c r="B556" s="1" t="s">
        <v>7</v>
      </c>
      <c r="C556">
        <v>28.975000000000001</v>
      </c>
      <c r="D556">
        <v>0</v>
      </c>
      <c r="E556" t="s">
        <v>10</v>
      </c>
      <c r="F556" t="s">
        <v>14</v>
      </c>
      <c r="G556" s="2">
        <v>7682.67</v>
      </c>
      <c r="H556" t="str" cm="1">
        <f t="array" ref="H556">_xlfn.IFS(A556&lt;=30, "Youth", A556&lt;=50, "Adult", A556&gt;50, "Older")</f>
        <v>Adult</v>
      </c>
      <c r="I556" t="str" cm="1">
        <f t="array" ref="I556">_xlfn.IFS(A556&lt;=25,"18-25",A556&lt;=35,"26-35",A556&lt;=45,"36-45",A556&lt;=60,"46-60",A556&gt;60,"60+")</f>
        <v>26-35</v>
      </c>
      <c r="J556" t="str" cm="1">
        <f t="array" ref="J556">_xlfn.IFS(C556&lt;18.5,"Underweight",C556&lt;25,"Normal",C556&lt;30,"Overweight",C556&gt;=30,"Obese")</f>
        <v>Overweight</v>
      </c>
      <c r="K556" t="str" cm="1">
        <f t="array" ref="K556">_xlfn.IFS(G556&lt;10000, "Low", G556&lt;=25000, "Medium", G556&gt;25000, "High")</f>
        <v>Low</v>
      </c>
    </row>
    <row r="557" spans="1:11" x14ac:dyDescent="0.3">
      <c r="A557">
        <v>35</v>
      </c>
      <c r="B557" s="1" t="s">
        <v>8</v>
      </c>
      <c r="C557">
        <v>28.975000000000001</v>
      </c>
      <c r="D557">
        <v>0</v>
      </c>
      <c r="E557" t="s">
        <v>10</v>
      </c>
      <c r="F557" t="s">
        <v>11</v>
      </c>
      <c r="G557" s="2">
        <v>7726.8540000000003</v>
      </c>
      <c r="H557" t="str" cm="1">
        <f t="array" ref="H557">_xlfn.IFS(A557&lt;=30, "Youth", A557&lt;=50, "Adult", A557&gt;50, "Older")</f>
        <v>Adult</v>
      </c>
      <c r="I557" t="str" cm="1">
        <f t="array" ref="I557">_xlfn.IFS(A557&lt;=25,"18-25",A557&lt;=35,"26-35",A557&lt;=45,"36-45",A557&lt;=60,"46-60",A557&gt;60,"60+")</f>
        <v>26-35</v>
      </c>
      <c r="J557" t="str" cm="1">
        <f t="array" ref="J557">_xlfn.IFS(C557&lt;18.5,"Underweight",C557&lt;25,"Normal",C557&lt;30,"Overweight",C557&gt;=30,"Obese")</f>
        <v>Overweight</v>
      </c>
      <c r="K557" t="str" cm="1">
        <f t="array" ref="K557">_xlfn.IFS(G557&lt;10000, "Low", G557&lt;=25000, "Medium", G557&gt;25000, "High")</f>
        <v>Low</v>
      </c>
    </row>
    <row r="558" spans="1:11" x14ac:dyDescent="0.3">
      <c r="A558">
        <v>35</v>
      </c>
      <c r="B558" s="1" t="s">
        <v>8</v>
      </c>
      <c r="C558">
        <v>28.975000000000001</v>
      </c>
      <c r="D558">
        <v>0</v>
      </c>
      <c r="E558" t="s">
        <v>10</v>
      </c>
      <c r="F558" t="s">
        <v>14</v>
      </c>
      <c r="G558" s="2">
        <v>7727.2532000000001</v>
      </c>
      <c r="H558" t="str" cm="1">
        <f t="array" ref="H558">_xlfn.IFS(A558&lt;=30, "Youth", A558&lt;=50, "Adult", A558&gt;50, "Older")</f>
        <v>Adult</v>
      </c>
      <c r="I558" t="str" cm="1">
        <f t="array" ref="I558">_xlfn.IFS(A558&lt;=25,"18-25",A558&lt;=35,"26-35",A558&lt;=45,"36-45",A558&lt;=60,"46-60",A558&gt;60,"60+")</f>
        <v>26-35</v>
      </c>
      <c r="J558" t="str" cm="1">
        <f t="array" ref="J558">_xlfn.IFS(C558&lt;18.5,"Underweight",C558&lt;25,"Normal",C558&lt;30,"Overweight",C558&gt;=30,"Obese")</f>
        <v>Overweight</v>
      </c>
      <c r="K558" t="str" cm="1">
        <f t="array" ref="K558">_xlfn.IFS(G558&lt;10000, "Low", G558&lt;=25000, "Medium", G558&gt;25000, "High")</f>
        <v>Low</v>
      </c>
    </row>
    <row r="559" spans="1:11" x14ac:dyDescent="0.3">
      <c r="A559">
        <v>35</v>
      </c>
      <c r="B559" s="1" t="s">
        <v>8</v>
      </c>
      <c r="C559">
        <v>28.975000000000001</v>
      </c>
      <c r="D559">
        <v>0</v>
      </c>
      <c r="E559" t="s">
        <v>10</v>
      </c>
      <c r="F559" t="s">
        <v>12</v>
      </c>
      <c r="G559" s="2">
        <v>7729.6457499999997</v>
      </c>
      <c r="H559" t="str" cm="1">
        <f t="array" ref="H559">_xlfn.IFS(A559&lt;=30, "Youth", A559&lt;=50, "Adult", A559&gt;50, "Older")</f>
        <v>Adult</v>
      </c>
      <c r="I559" t="str" cm="1">
        <f t="array" ref="I559">_xlfn.IFS(A559&lt;=25,"18-25",A559&lt;=35,"26-35",A559&lt;=45,"36-45",A559&lt;=60,"46-60",A559&gt;60,"60+")</f>
        <v>26-35</v>
      </c>
      <c r="J559" t="str" cm="1">
        <f t="array" ref="J559">_xlfn.IFS(C559&lt;18.5,"Underweight",C559&lt;25,"Normal",C559&lt;30,"Overweight",C559&gt;=30,"Obese")</f>
        <v>Overweight</v>
      </c>
      <c r="K559" t="str" cm="1">
        <f t="array" ref="K559">_xlfn.IFS(G559&lt;10000, "Low", G559&lt;=25000, "Medium", G559&gt;25000, "High")</f>
        <v>Low</v>
      </c>
    </row>
    <row r="560" spans="1:11" x14ac:dyDescent="0.3">
      <c r="A560">
        <v>35</v>
      </c>
      <c r="B560" s="1" t="s">
        <v>7</v>
      </c>
      <c r="C560">
        <v>29</v>
      </c>
      <c r="D560">
        <v>0</v>
      </c>
      <c r="E560" t="s">
        <v>9</v>
      </c>
      <c r="F560" t="s">
        <v>13</v>
      </c>
      <c r="G560" s="2">
        <v>7731.4270999999999</v>
      </c>
      <c r="H560" t="str" cm="1">
        <f t="array" ref="H560">_xlfn.IFS(A560&lt;=30, "Youth", A560&lt;=50, "Adult", A560&gt;50, "Older")</f>
        <v>Adult</v>
      </c>
      <c r="I560" t="str" cm="1">
        <f t="array" ref="I560">_xlfn.IFS(A560&lt;=25,"18-25",A560&lt;=35,"26-35",A560&lt;=45,"36-45",A560&lt;=60,"46-60",A560&gt;60,"60+")</f>
        <v>26-35</v>
      </c>
      <c r="J560" t="str" cm="1">
        <f t="array" ref="J560">_xlfn.IFS(C560&lt;18.5,"Underweight",C560&lt;25,"Normal",C560&lt;30,"Overweight",C560&gt;=30,"Obese")</f>
        <v>Overweight</v>
      </c>
      <c r="K560" t="str" cm="1">
        <f t="array" ref="K560">_xlfn.IFS(G560&lt;10000, "Low", G560&lt;=25000, "Medium", G560&gt;25000, "High")</f>
        <v>Low</v>
      </c>
    </row>
    <row r="561" spans="1:11" x14ac:dyDescent="0.3">
      <c r="A561">
        <v>35</v>
      </c>
      <c r="B561" s="1" t="s">
        <v>8</v>
      </c>
      <c r="C561">
        <v>29</v>
      </c>
      <c r="D561">
        <v>0</v>
      </c>
      <c r="E561" t="s">
        <v>10</v>
      </c>
      <c r="F561" t="s">
        <v>13</v>
      </c>
      <c r="G561" s="2">
        <v>7731.8578500000003</v>
      </c>
      <c r="H561" t="str" cm="1">
        <f t="array" ref="H561">_xlfn.IFS(A561&lt;=30, "Youth", A561&lt;=50, "Adult", A561&gt;50, "Older")</f>
        <v>Adult</v>
      </c>
      <c r="I561" t="str" cm="1">
        <f t="array" ref="I561">_xlfn.IFS(A561&lt;=25,"18-25",A561&lt;=35,"26-35",A561&lt;=45,"36-45",A561&lt;=60,"46-60",A561&gt;60,"60+")</f>
        <v>26-35</v>
      </c>
      <c r="J561" t="str" cm="1">
        <f t="array" ref="J561">_xlfn.IFS(C561&lt;18.5,"Underweight",C561&lt;25,"Normal",C561&lt;30,"Overweight",C561&gt;=30,"Obese")</f>
        <v>Overweight</v>
      </c>
      <c r="K561" t="str" cm="1">
        <f t="array" ref="K561">_xlfn.IFS(G561&lt;10000, "Low", G561&lt;=25000, "Medium", G561&gt;25000, "High")</f>
        <v>Low</v>
      </c>
    </row>
    <row r="562" spans="1:11" x14ac:dyDescent="0.3">
      <c r="A562">
        <v>35</v>
      </c>
      <c r="B562" s="1" t="s">
        <v>7</v>
      </c>
      <c r="C562">
        <v>29.04</v>
      </c>
      <c r="D562">
        <v>0</v>
      </c>
      <c r="E562" t="s">
        <v>10</v>
      </c>
      <c r="F562" t="s">
        <v>13</v>
      </c>
      <c r="G562" s="2">
        <v>7740.3370000000004</v>
      </c>
      <c r="H562" t="str" cm="1">
        <f t="array" ref="H562">_xlfn.IFS(A562&lt;=30, "Youth", A562&lt;=50, "Adult", A562&gt;50, "Older")</f>
        <v>Adult</v>
      </c>
      <c r="I562" t="str" cm="1">
        <f t="array" ref="I562">_xlfn.IFS(A562&lt;=25,"18-25",A562&lt;=35,"26-35",A562&lt;=45,"36-45",A562&lt;=60,"46-60",A562&gt;60,"60+")</f>
        <v>26-35</v>
      </c>
      <c r="J562" t="str" cm="1">
        <f t="array" ref="J562">_xlfn.IFS(C562&lt;18.5,"Underweight",C562&lt;25,"Normal",C562&lt;30,"Overweight",C562&gt;=30,"Obese")</f>
        <v>Overweight</v>
      </c>
      <c r="K562" t="str" cm="1">
        <f t="array" ref="K562">_xlfn.IFS(G562&lt;10000, "Low", G562&lt;=25000, "Medium", G562&gt;25000, "High")</f>
        <v>Low</v>
      </c>
    </row>
    <row r="563" spans="1:11" x14ac:dyDescent="0.3">
      <c r="A563">
        <v>35</v>
      </c>
      <c r="B563" s="1" t="s">
        <v>7</v>
      </c>
      <c r="C563">
        <v>29.07</v>
      </c>
      <c r="D563">
        <v>0</v>
      </c>
      <c r="E563" t="s">
        <v>10</v>
      </c>
      <c r="F563" t="s">
        <v>14</v>
      </c>
      <c r="G563" s="2">
        <v>7742.1098000000002</v>
      </c>
      <c r="H563" t="str" cm="1">
        <f t="array" ref="H563">_xlfn.IFS(A563&lt;=30, "Youth", A563&lt;=50, "Adult", A563&gt;50, "Older")</f>
        <v>Adult</v>
      </c>
      <c r="I563" t="str" cm="1">
        <f t="array" ref="I563">_xlfn.IFS(A563&lt;=25,"18-25",A563&lt;=35,"26-35",A563&lt;=45,"36-45",A563&lt;=60,"46-60",A563&gt;60,"60+")</f>
        <v>26-35</v>
      </c>
      <c r="J563" t="str" cm="1">
        <f t="array" ref="J563">_xlfn.IFS(C563&lt;18.5,"Underweight",C563&lt;25,"Normal",C563&lt;30,"Overweight",C563&gt;=30,"Obese")</f>
        <v>Overweight</v>
      </c>
      <c r="K563" t="str" cm="1">
        <f t="array" ref="K563">_xlfn.IFS(G563&lt;10000, "Low", G563&lt;=25000, "Medium", G563&gt;25000, "High")</f>
        <v>Low</v>
      </c>
    </row>
    <row r="564" spans="1:11" x14ac:dyDescent="0.3">
      <c r="A564">
        <v>35</v>
      </c>
      <c r="B564" s="1" t="s">
        <v>8</v>
      </c>
      <c r="C564">
        <v>29.07</v>
      </c>
      <c r="D564">
        <v>0</v>
      </c>
      <c r="E564" t="s">
        <v>10</v>
      </c>
      <c r="F564" t="s">
        <v>11</v>
      </c>
      <c r="G564" s="2">
        <v>7749.1563999999998</v>
      </c>
      <c r="H564" t="str" cm="1">
        <f t="array" ref="H564">_xlfn.IFS(A564&lt;=30, "Youth", A564&lt;=50, "Adult", A564&gt;50, "Older")</f>
        <v>Adult</v>
      </c>
      <c r="I564" t="str" cm="1">
        <f t="array" ref="I564">_xlfn.IFS(A564&lt;=25,"18-25",A564&lt;=35,"26-35",A564&lt;=45,"36-45",A564&lt;=60,"46-60",A564&gt;60,"60+")</f>
        <v>26-35</v>
      </c>
      <c r="J564" t="str" cm="1">
        <f t="array" ref="J564">_xlfn.IFS(C564&lt;18.5,"Underweight",C564&lt;25,"Normal",C564&lt;30,"Overweight",C564&gt;=30,"Obese")</f>
        <v>Overweight</v>
      </c>
      <c r="K564" t="str" cm="1">
        <f t="array" ref="K564">_xlfn.IFS(G564&lt;10000, "Low", G564&lt;=25000, "Medium", G564&gt;25000, "High")</f>
        <v>Low</v>
      </c>
    </row>
    <row r="565" spans="1:11" x14ac:dyDescent="0.3">
      <c r="A565">
        <v>35</v>
      </c>
      <c r="B565" s="1" t="s">
        <v>8</v>
      </c>
      <c r="C565">
        <v>29.1</v>
      </c>
      <c r="D565">
        <v>0</v>
      </c>
      <c r="E565" t="s">
        <v>10</v>
      </c>
      <c r="F565" t="s">
        <v>12</v>
      </c>
      <c r="G565" s="2">
        <v>7789.6350000000002</v>
      </c>
      <c r="H565" t="str" cm="1">
        <f t="array" ref="H565">_xlfn.IFS(A565&lt;=30, "Youth", A565&lt;=50, "Adult", A565&gt;50, "Older")</f>
        <v>Adult</v>
      </c>
      <c r="I565" t="str" cm="1">
        <f t="array" ref="I565">_xlfn.IFS(A565&lt;=25,"18-25",A565&lt;=35,"26-35",A565&lt;=45,"36-45",A565&lt;=60,"46-60",A565&gt;60,"60+")</f>
        <v>26-35</v>
      </c>
      <c r="J565" t="str" cm="1">
        <f t="array" ref="J565">_xlfn.IFS(C565&lt;18.5,"Underweight",C565&lt;25,"Normal",C565&lt;30,"Overweight",C565&gt;=30,"Obese")</f>
        <v>Overweight</v>
      </c>
      <c r="K565" t="str" cm="1">
        <f t="array" ref="K565">_xlfn.IFS(G565&lt;10000, "Low", G565&lt;=25000, "Medium", G565&gt;25000, "High")</f>
        <v>Low</v>
      </c>
    </row>
    <row r="566" spans="1:11" x14ac:dyDescent="0.3">
      <c r="A566">
        <v>35</v>
      </c>
      <c r="B566" s="1" t="s">
        <v>7</v>
      </c>
      <c r="C566">
        <v>29.15</v>
      </c>
      <c r="D566">
        <v>0</v>
      </c>
      <c r="E566" t="s">
        <v>10</v>
      </c>
      <c r="F566" t="s">
        <v>12</v>
      </c>
      <c r="G566" s="2">
        <v>7804.1605</v>
      </c>
      <c r="H566" t="str" cm="1">
        <f t="array" ref="H566">_xlfn.IFS(A566&lt;=30, "Youth", A566&lt;=50, "Adult", A566&gt;50, "Older")</f>
        <v>Adult</v>
      </c>
      <c r="I566" t="str" cm="1">
        <f t="array" ref="I566">_xlfn.IFS(A566&lt;=25,"18-25",A566&lt;=35,"26-35",A566&lt;=45,"36-45",A566&lt;=60,"46-60",A566&gt;60,"60+")</f>
        <v>26-35</v>
      </c>
      <c r="J566" t="str" cm="1">
        <f t="array" ref="J566">_xlfn.IFS(C566&lt;18.5,"Underweight",C566&lt;25,"Normal",C566&lt;30,"Overweight",C566&gt;=30,"Obese")</f>
        <v>Overweight</v>
      </c>
      <c r="K566" t="str" cm="1">
        <f t="array" ref="K566">_xlfn.IFS(G566&lt;10000, "Low", G566&lt;=25000, "Medium", G566&gt;25000, "High")</f>
        <v>Low</v>
      </c>
    </row>
    <row r="567" spans="1:11" x14ac:dyDescent="0.3">
      <c r="A567">
        <v>35</v>
      </c>
      <c r="B567" s="1" t="s">
        <v>7</v>
      </c>
      <c r="C567">
        <v>29.15</v>
      </c>
      <c r="D567">
        <v>0</v>
      </c>
      <c r="E567" t="s">
        <v>10</v>
      </c>
      <c r="F567" t="s">
        <v>13</v>
      </c>
      <c r="G567" s="2">
        <v>7935.29115</v>
      </c>
      <c r="H567" t="str" cm="1">
        <f t="array" ref="H567">_xlfn.IFS(A567&lt;=30, "Youth", A567&lt;=50, "Adult", A567&gt;50, "Older")</f>
        <v>Adult</v>
      </c>
      <c r="I567" t="str" cm="1">
        <f t="array" ref="I567">_xlfn.IFS(A567&lt;=25,"18-25",A567&lt;=35,"26-35",A567&lt;=45,"36-45",A567&lt;=60,"46-60",A567&gt;60,"60+")</f>
        <v>26-35</v>
      </c>
      <c r="J567" t="str" cm="1">
        <f t="array" ref="J567">_xlfn.IFS(C567&lt;18.5,"Underweight",C567&lt;25,"Normal",C567&lt;30,"Overweight",C567&gt;=30,"Obese")</f>
        <v>Overweight</v>
      </c>
      <c r="K567" t="str" cm="1">
        <f t="array" ref="K567">_xlfn.IFS(G567&lt;10000, "Low", G567&lt;=25000, "Medium", G567&gt;25000, "High")</f>
        <v>Low</v>
      </c>
    </row>
    <row r="568" spans="1:11" x14ac:dyDescent="0.3">
      <c r="A568">
        <v>35</v>
      </c>
      <c r="B568" s="1" t="s">
        <v>7</v>
      </c>
      <c r="C568">
        <v>29.164999999999999</v>
      </c>
      <c r="D568">
        <v>0</v>
      </c>
      <c r="E568" t="s">
        <v>10</v>
      </c>
      <c r="F568" t="s">
        <v>13</v>
      </c>
      <c r="G568" s="2">
        <v>7954.5169999999998</v>
      </c>
      <c r="H568" t="str" cm="1">
        <f t="array" ref="H568">_xlfn.IFS(A568&lt;=30, "Youth", A568&lt;=50, "Adult", A568&gt;50, "Older")</f>
        <v>Adult</v>
      </c>
      <c r="I568" t="str" cm="1">
        <f t="array" ref="I568">_xlfn.IFS(A568&lt;=25,"18-25",A568&lt;=35,"26-35",A568&lt;=45,"36-45",A568&lt;=60,"46-60",A568&gt;60,"60+")</f>
        <v>26-35</v>
      </c>
      <c r="J568" t="str" cm="1">
        <f t="array" ref="J568">_xlfn.IFS(C568&lt;18.5,"Underweight",C568&lt;25,"Normal",C568&lt;30,"Overweight",C568&gt;=30,"Obese")</f>
        <v>Overweight</v>
      </c>
      <c r="K568" t="str" cm="1">
        <f t="array" ref="K568">_xlfn.IFS(G568&lt;10000, "Low", G568&lt;=25000, "Medium", G568&gt;25000, "High")</f>
        <v>Low</v>
      </c>
    </row>
    <row r="569" spans="1:11" x14ac:dyDescent="0.3">
      <c r="A569">
        <v>35</v>
      </c>
      <c r="B569" s="1" t="s">
        <v>8</v>
      </c>
      <c r="C569">
        <v>29.2</v>
      </c>
      <c r="D569">
        <v>0</v>
      </c>
      <c r="E569" t="s">
        <v>10</v>
      </c>
      <c r="F569" t="s">
        <v>13</v>
      </c>
      <c r="G569" s="2">
        <v>7985.8149999999996</v>
      </c>
      <c r="H569" t="str" cm="1">
        <f t="array" ref="H569">_xlfn.IFS(A569&lt;=30, "Youth", A569&lt;=50, "Adult", A569&gt;50, "Older")</f>
        <v>Adult</v>
      </c>
      <c r="I569" t="str" cm="1">
        <f t="array" ref="I569">_xlfn.IFS(A569&lt;=25,"18-25",A569&lt;=35,"26-35",A569&lt;=45,"36-45",A569&lt;=60,"46-60",A569&gt;60,"60+")</f>
        <v>26-35</v>
      </c>
      <c r="J569" t="str" cm="1">
        <f t="array" ref="J569">_xlfn.IFS(C569&lt;18.5,"Underweight",C569&lt;25,"Normal",C569&lt;30,"Overweight",C569&gt;=30,"Obese")</f>
        <v>Overweight</v>
      </c>
      <c r="K569" t="str" cm="1">
        <f t="array" ref="K569">_xlfn.IFS(G569&lt;10000, "Low", G569&lt;=25000, "Medium", G569&gt;25000, "High")</f>
        <v>Low</v>
      </c>
    </row>
    <row r="570" spans="1:11" x14ac:dyDescent="0.3">
      <c r="A570">
        <v>35</v>
      </c>
      <c r="B570" s="1" t="s">
        <v>7</v>
      </c>
      <c r="C570">
        <v>29.26</v>
      </c>
      <c r="D570">
        <v>0</v>
      </c>
      <c r="E570" t="s">
        <v>10</v>
      </c>
      <c r="F570" t="s">
        <v>11</v>
      </c>
      <c r="G570" s="2">
        <v>7986.4752500000004</v>
      </c>
      <c r="H570" t="str" cm="1">
        <f t="array" ref="H570">_xlfn.IFS(A570&lt;=30, "Youth", A570&lt;=50, "Adult", A570&gt;50, "Older")</f>
        <v>Adult</v>
      </c>
      <c r="I570" t="str" cm="1">
        <f t="array" ref="I570">_xlfn.IFS(A570&lt;=25,"18-25",A570&lt;=35,"26-35",A570&lt;=45,"36-45",A570&lt;=60,"46-60",A570&gt;60,"60+")</f>
        <v>26-35</v>
      </c>
      <c r="J570" t="str" cm="1">
        <f t="array" ref="J570">_xlfn.IFS(C570&lt;18.5,"Underweight",C570&lt;25,"Normal",C570&lt;30,"Overweight",C570&gt;=30,"Obese")</f>
        <v>Overweight</v>
      </c>
      <c r="K570" t="str" cm="1">
        <f t="array" ref="K570">_xlfn.IFS(G570&lt;10000, "Low", G570&lt;=25000, "Medium", G570&gt;25000, "High")</f>
        <v>Low</v>
      </c>
    </row>
    <row r="571" spans="1:11" x14ac:dyDescent="0.3">
      <c r="A571">
        <v>35</v>
      </c>
      <c r="B571" s="1" t="s">
        <v>8</v>
      </c>
      <c r="C571">
        <v>29.26</v>
      </c>
      <c r="D571">
        <v>0</v>
      </c>
      <c r="E571" t="s">
        <v>9</v>
      </c>
      <c r="F571" t="s">
        <v>13</v>
      </c>
      <c r="G571" s="2">
        <v>8017.0611500000005</v>
      </c>
      <c r="H571" t="str" cm="1">
        <f t="array" ref="H571">_xlfn.IFS(A571&lt;=30, "Youth", A571&lt;=50, "Adult", A571&gt;50, "Older")</f>
        <v>Adult</v>
      </c>
      <c r="I571" t="str" cm="1">
        <f t="array" ref="I571">_xlfn.IFS(A571&lt;=25,"18-25",A571&lt;=35,"26-35",A571&lt;=45,"36-45",A571&lt;=60,"46-60",A571&gt;60,"60+")</f>
        <v>26-35</v>
      </c>
      <c r="J571" t="str" cm="1">
        <f t="array" ref="J571">_xlfn.IFS(C571&lt;18.5,"Underweight",C571&lt;25,"Normal",C571&lt;30,"Overweight",C571&gt;=30,"Obese")</f>
        <v>Overweight</v>
      </c>
      <c r="K571" t="str" cm="1">
        <f t="array" ref="K571">_xlfn.IFS(G571&lt;10000, "Low", G571&lt;=25000, "Medium", G571&gt;25000, "High")</f>
        <v>Low</v>
      </c>
    </row>
    <row r="572" spans="1:11" x14ac:dyDescent="0.3">
      <c r="A572">
        <v>35</v>
      </c>
      <c r="B572" s="1" t="s">
        <v>7</v>
      </c>
      <c r="C572">
        <v>29.26</v>
      </c>
      <c r="D572">
        <v>0</v>
      </c>
      <c r="E572" t="s">
        <v>10</v>
      </c>
      <c r="F572" t="s">
        <v>11</v>
      </c>
      <c r="G572" s="2">
        <v>8023.1354499999998</v>
      </c>
      <c r="H572" t="str" cm="1">
        <f t="array" ref="H572">_xlfn.IFS(A572&lt;=30, "Youth", A572&lt;=50, "Adult", A572&gt;50, "Older")</f>
        <v>Adult</v>
      </c>
      <c r="I572" t="str" cm="1">
        <f t="array" ref="I572">_xlfn.IFS(A572&lt;=25,"18-25",A572&lt;=35,"26-35",A572&lt;=45,"36-45",A572&lt;=60,"46-60",A572&gt;60,"60+")</f>
        <v>26-35</v>
      </c>
      <c r="J572" t="str" cm="1">
        <f t="array" ref="J572">_xlfn.IFS(C572&lt;18.5,"Underweight",C572&lt;25,"Normal",C572&lt;30,"Overweight",C572&gt;=30,"Obese")</f>
        <v>Overweight</v>
      </c>
      <c r="K572" t="str" cm="1">
        <f t="array" ref="K572">_xlfn.IFS(G572&lt;10000, "Low", G572&lt;=25000, "Medium", G572&gt;25000, "High")</f>
        <v>Low</v>
      </c>
    </row>
    <row r="573" spans="1:11" x14ac:dyDescent="0.3">
      <c r="A573">
        <v>35</v>
      </c>
      <c r="B573" s="1" t="s">
        <v>7</v>
      </c>
      <c r="C573">
        <v>29.26</v>
      </c>
      <c r="D573">
        <v>0</v>
      </c>
      <c r="E573" t="s">
        <v>10</v>
      </c>
      <c r="F573" t="s">
        <v>12</v>
      </c>
      <c r="G573" s="2">
        <v>8026.6665999999996</v>
      </c>
      <c r="H573" t="str" cm="1">
        <f t="array" ref="H573">_xlfn.IFS(A573&lt;=30, "Youth", A573&lt;=50, "Adult", A573&gt;50, "Older")</f>
        <v>Adult</v>
      </c>
      <c r="I573" t="str" cm="1">
        <f t="array" ref="I573">_xlfn.IFS(A573&lt;=25,"18-25",A573&lt;=35,"26-35",A573&lt;=45,"36-45",A573&lt;=60,"46-60",A573&gt;60,"60+")</f>
        <v>26-35</v>
      </c>
      <c r="J573" t="str" cm="1">
        <f t="array" ref="J573">_xlfn.IFS(C573&lt;18.5,"Underweight",C573&lt;25,"Normal",C573&lt;30,"Overweight",C573&gt;=30,"Obese")</f>
        <v>Overweight</v>
      </c>
      <c r="K573" t="str" cm="1">
        <f t="array" ref="K573">_xlfn.IFS(G573&lt;10000, "Low", G573&lt;=25000, "Medium", G573&gt;25000, "High")</f>
        <v>Low</v>
      </c>
    </row>
    <row r="574" spans="1:11" x14ac:dyDescent="0.3">
      <c r="A574">
        <v>35</v>
      </c>
      <c r="B574" s="1" t="s">
        <v>7</v>
      </c>
      <c r="C574">
        <v>29.3</v>
      </c>
      <c r="D574">
        <v>0</v>
      </c>
      <c r="E574" t="s">
        <v>10</v>
      </c>
      <c r="F574" t="s">
        <v>12</v>
      </c>
      <c r="G574" s="2">
        <v>8027.9679999999998</v>
      </c>
      <c r="H574" t="str" cm="1">
        <f t="array" ref="H574">_xlfn.IFS(A574&lt;=30, "Youth", A574&lt;=50, "Adult", A574&gt;50, "Older")</f>
        <v>Adult</v>
      </c>
      <c r="I574" t="str" cm="1">
        <f t="array" ref="I574">_xlfn.IFS(A574&lt;=25,"18-25",A574&lt;=35,"26-35",A574&lt;=45,"36-45",A574&lt;=60,"46-60",A574&gt;60,"60+")</f>
        <v>26-35</v>
      </c>
      <c r="J574" t="str" cm="1">
        <f t="array" ref="J574">_xlfn.IFS(C574&lt;18.5,"Underweight",C574&lt;25,"Normal",C574&lt;30,"Overweight",C574&gt;=30,"Obese")</f>
        <v>Overweight</v>
      </c>
      <c r="K574" t="str" cm="1">
        <f t="array" ref="K574">_xlfn.IFS(G574&lt;10000, "Low", G574&lt;=25000, "Medium", G574&gt;25000, "High")</f>
        <v>Low</v>
      </c>
    </row>
    <row r="575" spans="1:11" x14ac:dyDescent="0.3">
      <c r="A575">
        <v>36</v>
      </c>
      <c r="B575" s="1" t="s">
        <v>7</v>
      </c>
      <c r="C575">
        <v>29.3</v>
      </c>
      <c r="D575">
        <v>1</v>
      </c>
      <c r="E575" t="s">
        <v>10</v>
      </c>
      <c r="F575" t="s">
        <v>14</v>
      </c>
      <c r="G575" s="2">
        <v>8059.6791000000003</v>
      </c>
      <c r="H575" t="str" cm="1">
        <f t="array" ref="H575">_xlfn.IFS(A575&lt;=30, "Youth", A575&lt;=50, "Adult", A575&gt;50, "Older")</f>
        <v>Adult</v>
      </c>
      <c r="I575" t="str" cm="1">
        <f t="array" ref="I575">_xlfn.IFS(A575&lt;=25,"18-25",A575&lt;=35,"26-35",A575&lt;=45,"36-45",A575&lt;=60,"46-60",A575&gt;60,"60+")</f>
        <v>36-45</v>
      </c>
      <c r="J575" t="str" cm="1">
        <f t="array" ref="J575">_xlfn.IFS(C575&lt;18.5,"Underweight",C575&lt;25,"Normal",C575&lt;30,"Overweight",C575&gt;=30,"Obese")</f>
        <v>Overweight</v>
      </c>
      <c r="K575" t="str" cm="1">
        <f t="array" ref="K575">_xlfn.IFS(G575&lt;10000, "Low", G575&lt;=25000, "Medium", G575&gt;25000, "High")</f>
        <v>Low</v>
      </c>
    </row>
    <row r="576" spans="1:11" x14ac:dyDescent="0.3">
      <c r="A576">
        <v>36</v>
      </c>
      <c r="B576" s="1" t="s">
        <v>7</v>
      </c>
      <c r="C576">
        <v>29.355</v>
      </c>
      <c r="D576">
        <v>1</v>
      </c>
      <c r="E576" t="s">
        <v>10</v>
      </c>
      <c r="F576" t="s">
        <v>14</v>
      </c>
      <c r="G576" s="2">
        <v>8062.7640000000001</v>
      </c>
      <c r="H576" t="str" cm="1">
        <f t="array" ref="H576">_xlfn.IFS(A576&lt;=30, "Youth", A576&lt;=50, "Adult", A576&gt;50, "Older")</f>
        <v>Adult</v>
      </c>
      <c r="I576" t="str" cm="1">
        <f t="array" ref="I576">_xlfn.IFS(A576&lt;=25,"18-25",A576&lt;=35,"26-35",A576&lt;=45,"36-45",A576&lt;=60,"46-60",A576&gt;60,"60+")</f>
        <v>36-45</v>
      </c>
      <c r="J576" t="str" cm="1">
        <f t="array" ref="J576">_xlfn.IFS(C576&lt;18.5,"Underweight",C576&lt;25,"Normal",C576&lt;30,"Overweight",C576&gt;=30,"Obese")</f>
        <v>Overweight</v>
      </c>
      <c r="K576" t="str" cm="1">
        <f t="array" ref="K576">_xlfn.IFS(G576&lt;10000, "Low", G576&lt;=25000, "Medium", G576&gt;25000, "High")</f>
        <v>Low</v>
      </c>
    </row>
    <row r="577" spans="1:11" x14ac:dyDescent="0.3">
      <c r="A577">
        <v>36</v>
      </c>
      <c r="B577" s="1" t="s">
        <v>7</v>
      </c>
      <c r="C577">
        <v>29.355</v>
      </c>
      <c r="D577">
        <v>1</v>
      </c>
      <c r="E577" t="s">
        <v>10</v>
      </c>
      <c r="F577" t="s">
        <v>13</v>
      </c>
      <c r="G577" s="2">
        <v>8068.1850000000004</v>
      </c>
      <c r="H577" t="str" cm="1">
        <f t="array" ref="H577">_xlfn.IFS(A577&lt;=30, "Youth", A577&lt;=50, "Adult", A577&gt;50, "Older")</f>
        <v>Adult</v>
      </c>
      <c r="I577" t="str" cm="1">
        <f t="array" ref="I577">_xlfn.IFS(A577&lt;=25,"18-25",A577&lt;=35,"26-35",A577&lt;=45,"36-45",A577&lt;=60,"46-60",A577&gt;60,"60+")</f>
        <v>36-45</v>
      </c>
      <c r="J577" t="str" cm="1">
        <f t="array" ref="J577">_xlfn.IFS(C577&lt;18.5,"Underweight",C577&lt;25,"Normal",C577&lt;30,"Overweight",C577&gt;=30,"Obese")</f>
        <v>Overweight</v>
      </c>
      <c r="K577" t="str" cm="1">
        <f t="array" ref="K577">_xlfn.IFS(G577&lt;10000, "Low", G577&lt;=25000, "Medium", G577&gt;25000, "High")</f>
        <v>Low</v>
      </c>
    </row>
    <row r="578" spans="1:11" x14ac:dyDescent="0.3">
      <c r="A578">
        <v>36</v>
      </c>
      <c r="B578" s="1" t="s">
        <v>8</v>
      </c>
      <c r="C578">
        <v>29.37</v>
      </c>
      <c r="D578">
        <v>1</v>
      </c>
      <c r="E578" t="s">
        <v>10</v>
      </c>
      <c r="F578" t="s">
        <v>12</v>
      </c>
      <c r="G578" s="2">
        <v>8083.9197999999997</v>
      </c>
      <c r="H578" t="str" cm="1">
        <f t="array" ref="H578">_xlfn.IFS(A578&lt;=30, "Youth", A578&lt;=50, "Adult", A578&gt;50, "Older")</f>
        <v>Adult</v>
      </c>
      <c r="I578" t="str" cm="1">
        <f t="array" ref="I578">_xlfn.IFS(A578&lt;=25,"18-25",A578&lt;=35,"26-35",A578&lt;=45,"36-45",A578&lt;=60,"46-60",A578&gt;60,"60+")</f>
        <v>36-45</v>
      </c>
      <c r="J578" t="str" cm="1">
        <f t="array" ref="J578">_xlfn.IFS(C578&lt;18.5,"Underweight",C578&lt;25,"Normal",C578&lt;30,"Overweight",C578&gt;=30,"Obese")</f>
        <v>Overweight</v>
      </c>
      <c r="K578" t="str" cm="1">
        <f t="array" ref="K578">_xlfn.IFS(G578&lt;10000, "Low", G578&lt;=25000, "Medium", G578&gt;25000, "High")</f>
        <v>Low</v>
      </c>
    </row>
    <row r="579" spans="1:11" x14ac:dyDescent="0.3">
      <c r="A579">
        <v>36</v>
      </c>
      <c r="B579" s="1" t="s">
        <v>7</v>
      </c>
      <c r="C579">
        <v>29.37</v>
      </c>
      <c r="D579">
        <v>1</v>
      </c>
      <c r="E579" t="s">
        <v>9</v>
      </c>
      <c r="F579" t="s">
        <v>14</v>
      </c>
      <c r="G579" s="2">
        <v>8116.2688500000004</v>
      </c>
      <c r="H579" t="str" cm="1">
        <f t="array" ref="H579">_xlfn.IFS(A579&lt;=30, "Youth", A579&lt;=50, "Adult", A579&gt;50, "Older")</f>
        <v>Adult</v>
      </c>
      <c r="I579" t="str" cm="1">
        <f t="array" ref="I579">_xlfn.IFS(A579&lt;=25,"18-25",A579&lt;=35,"26-35",A579&lt;=45,"36-45",A579&lt;=60,"46-60",A579&gt;60,"60+")</f>
        <v>36-45</v>
      </c>
      <c r="J579" t="str" cm="1">
        <f t="array" ref="J579">_xlfn.IFS(C579&lt;18.5,"Underweight",C579&lt;25,"Normal",C579&lt;30,"Overweight",C579&gt;=30,"Obese")</f>
        <v>Overweight</v>
      </c>
      <c r="K579" t="str" cm="1">
        <f t="array" ref="K579">_xlfn.IFS(G579&lt;10000, "Low", G579&lt;=25000, "Medium", G579&gt;25000, "High")</f>
        <v>Low</v>
      </c>
    </row>
    <row r="580" spans="1:11" x14ac:dyDescent="0.3">
      <c r="A580">
        <v>36</v>
      </c>
      <c r="B580" s="1" t="s">
        <v>8</v>
      </c>
      <c r="C580">
        <v>29.4</v>
      </c>
      <c r="D580">
        <v>1</v>
      </c>
      <c r="E580" t="s">
        <v>10</v>
      </c>
      <c r="F580" t="s">
        <v>11</v>
      </c>
      <c r="G580" s="2">
        <v>8116.68</v>
      </c>
      <c r="H580" t="str" cm="1">
        <f t="array" ref="H580">_xlfn.IFS(A580&lt;=30, "Youth", A580&lt;=50, "Adult", A580&gt;50, "Older")</f>
        <v>Adult</v>
      </c>
      <c r="I580" t="str" cm="1">
        <f t="array" ref="I580">_xlfn.IFS(A580&lt;=25,"18-25",A580&lt;=35,"26-35",A580&lt;=45,"36-45",A580&lt;=60,"46-60",A580&gt;60,"60+")</f>
        <v>36-45</v>
      </c>
      <c r="J580" t="str" cm="1">
        <f t="array" ref="J580">_xlfn.IFS(C580&lt;18.5,"Underweight",C580&lt;25,"Normal",C580&lt;30,"Overweight",C580&gt;=30,"Obese")</f>
        <v>Overweight</v>
      </c>
      <c r="K580" t="str" cm="1">
        <f t="array" ref="K580">_xlfn.IFS(G580&lt;10000, "Low", G580&lt;=25000, "Medium", G580&gt;25000, "High")</f>
        <v>Low</v>
      </c>
    </row>
    <row r="581" spans="1:11" x14ac:dyDescent="0.3">
      <c r="A581">
        <v>36</v>
      </c>
      <c r="B581" s="1" t="s">
        <v>7</v>
      </c>
      <c r="C581">
        <v>29.45</v>
      </c>
      <c r="D581">
        <v>1</v>
      </c>
      <c r="E581" t="s">
        <v>10</v>
      </c>
      <c r="F581" t="s">
        <v>14</v>
      </c>
      <c r="G581" s="2">
        <v>8124.4084000000003</v>
      </c>
      <c r="H581" t="str" cm="1">
        <f t="array" ref="H581">_xlfn.IFS(A581&lt;=30, "Youth", A581&lt;=50, "Adult", A581&gt;50, "Older")</f>
        <v>Adult</v>
      </c>
      <c r="I581" t="str" cm="1">
        <f t="array" ref="I581">_xlfn.IFS(A581&lt;=25,"18-25",A581&lt;=35,"26-35",A581&lt;=45,"36-45",A581&lt;=60,"46-60",A581&gt;60,"60+")</f>
        <v>36-45</v>
      </c>
      <c r="J581" t="str" cm="1">
        <f t="array" ref="J581">_xlfn.IFS(C581&lt;18.5,"Underweight",C581&lt;25,"Normal",C581&lt;30,"Overweight",C581&gt;=30,"Obese")</f>
        <v>Overweight</v>
      </c>
      <c r="K581" t="str" cm="1">
        <f t="array" ref="K581">_xlfn.IFS(G581&lt;10000, "Low", G581&lt;=25000, "Medium", G581&gt;25000, "High")</f>
        <v>Low</v>
      </c>
    </row>
    <row r="582" spans="1:11" x14ac:dyDescent="0.3">
      <c r="A582">
        <v>36</v>
      </c>
      <c r="B582" s="1" t="s">
        <v>8</v>
      </c>
      <c r="C582">
        <v>29.48</v>
      </c>
      <c r="D582">
        <v>1</v>
      </c>
      <c r="E582" t="s">
        <v>10</v>
      </c>
      <c r="F582" t="s">
        <v>14</v>
      </c>
      <c r="G582" s="2">
        <v>8125.7844999999998</v>
      </c>
      <c r="H582" t="str" cm="1">
        <f t="array" ref="H582">_xlfn.IFS(A582&lt;=30, "Youth", A582&lt;=50, "Adult", A582&gt;50, "Older")</f>
        <v>Adult</v>
      </c>
      <c r="I582" t="str" cm="1">
        <f t="array" ref="I582">_xlfn.IFS(A582&lt;=25,"18-25",A582&lt;=35,"26-35",A582&lt;=45,"36-45",A582&lt;=60,"46-60",A582&gt;60,"60+")</f>
        <v>36-45</v>
      </c>
      <c r="J582" t="str" cm="1">
        <f t="array" ref="J582">_xlfn.IFS(C582&lt;18.5,"Underweight",C582&lt;25,"Normal",C582&lt;30,"Overweight",C582&gt;=30,"Obese")</f>
        <v>Overweight</v>
      </c>
      <c r="K582" t="str" cm="1">
        <f t="array" ref="K582">_xlfn.IFS(G582&lt;10000, "Low", G582&lt;=25000, "Medium", G582&gt;25000, "High")</f>
        <v>Low</v>
      </c>
    </row>
    <row r="583" spans="1:11" x14ac:dyDescent="0.3">
      <c r="A583">
        <v>36</v>
      </c>
      <c r="B583" s="1" t="s">
        <v>8</v>
      </c>
      <c r="C583">
        <v>29.48</v>
      </c>
      <c r="D583">
        <v>1</v>
      </c>
      <c r="E583" t="s">
        <v>10</v>
      </c>
      <c r="F583" t="s">
        <v>12</v>
      </c>
      <c r="G583" s="2">
        <v>8162.7162500000004</v>
      </c>
      <c r="H583" t="str" cm="1">
        <f t="array" ref="H583">_xlfn.IFS(A583&lt;=30, "Youth", A583&lt;=50, "Adult", A583&gt;50, "Older")</f>
        <v>Adult</v>
      </c>
      <c r="I583" t="str" cm="1">
        <f t="array" ref="I583">_xlfn.IFS(A583&lt;=25,"18-25",A583&lt;=35,"26-35",A583&lt;=45,"36-45",A583&lt;=60,"46-60",A583&gt;60,"60+")</f>
        <v>36-45</v>
      </c>
      <c r="J583" t="str" cm="1">
        <f t="array" ref="J583">_xlfn.IFS(C583&lt;18.5,"Underweight",C583&lt;25,"Normal",C583&lt;30,"Overweight",C583&gt;=30,"Obese")</f>
        <v>Overweight</v>
      </c>
      <c r="K583" t="str" cm="1">
        <f t="array" ref="K583">_xlfn.IFS(G583&lt;10000, "Low", G583&lt;=25000, "Medium", G583&gt;25000, "High")</f>
        <v>Low</v>
      </c>
    </row>
    <row r="584" spans="1:11" x14ac:dyDescent="0.3">
      <c r="A584">
        <v>36</v>
      </c>
      <c r="B584" s="1" t="s">
        <v>7</v>
      </c>
      <c r="C584">
        <v>29.48</v>
      </c>
      <c r="D584">
        <v>1</v>
      </c>
      <c r="E584" t="s">
        <v>10</v>
      </c>
      <c r="F584" t="s">
        <v>12</v>
      </c>
      <c r="G584" s="2">
        <v>8211.1002000000008</v>
      </c>
      <c r="H584" t="str" cm="1">
        <f t="array" ref="H584">_xlfn.IFS(A584&lt;=30, "Youth", A584&lt;=50, "Adult", A584&gt;50, "Older")</f>
        <v>Adult</v>
      </c>
      <c r="I584" t="str" cm="1">
        <f t="array" ref="I584">_xlfn.IFS(A584&lt;=25,"18-25",A584&lt;=35,"26-35",A584&lt;=45,"36-45",A584&lt;=60,"46-60",A584&gt;60,"60+")</f>
        <v>36-45</v>
      </c>
      <c r="J584" t="str" cm="1">
        <f t="array" ref="J584">_xlfn.IFS(C584&lt;18.5,"Underweight",C584&lt;25,"Normal",C584&lt;30,"Overweight",C584&gt;=30,"Obese")</f>
        <v>Overweight</v>
      </c>
      <c r="K584" t="str" cm="1">
        <f t="array" ref="K584">_xlfn.IFS(G584&lt;10000, "Low", G584&lt;=25000, "Medium", G584&gt;25000, "High")</f>
        <v>Low</v>
      </c>
    </row>
    <row r="585" spans="1:11" x14ac:dyDescent="0.3">
      <c r="A585">
        <v>36</v>
      </c>
      <c r="B585" s="1" t="s">
        <v>8</v>
      </c>
      <c r="C585">
        <v>29.5</v>
      </c>
      <c r="D585">
        <v>1</v>
      </c>
      <c r="E585" t="s">
        <v>10</v>
      </c>
      <c r="F585" t="s">
        <v>11</v>
      </c>
      <c r="G585" s="2">
        <v>8219.2039000000004</v>
      </c>
      <c r="H585" t="str" cm="1">
        <f t="array" ref="H585">_xlfn.IFS(A585&lt;=30, "Youth", A585&lt;=50, "Adult", A585&gt;50, "Older")</f>
        <v>Adult</v>
      </c>
      <c r="I585" t="str" cm="1">
        <f t="array" ref="I585">_xlfn.IFS(A585&lt;=25,"18-25",A585&lt;=35,"26-35",A585&lt;=45,"36-45",A585&lt;=60,"46-60",A585&gt;60,"60+")</f>
        <v>36-45</v>
      </c>
      <c r="J585" t="str" cm="1">
        <f t="array" ref="J585">_xlfn.IFS(C585&lt;18.5,"Underweight",C585&lt;25,"Normal",C585&lt;30,"Overweight",C585&gt;=30,"Obese")</f>
        <v>Overweight</v>
      </c>
      <c r="K585" t="str" cm="1">
        <f t="array" ref="K585">_xlfn.IFS(G585&lt;10000, "Low", G585&lt;=25000, "Medium", G585&gt;25000, "High")</f>
        <v>Low</v>
      </c>
    </row>
    <row r="586" spans="1:11" x14ac:dyDescent="0.3">
      <c r="A586">
        <v>36</v>
      </c>
      <c r="B586" s="1" t="s">
        <v>7</v>
      </c>
      <c r="C586">
        <v>29.545000000000002</v>
      </c>
      <c r="D586">
        <v>1</v>
      </c>
      <c r="E586" t="s">
        <v>10</v>
      </c>
      <c r="F586" t="s">
        <v>12</v>
      </c>
      <c r="G586" s="2">
        <v>8232.6388000000006</v>
      </c>
      <c r="H586" t="str" cm="1">
        <f t="array" ref="H586">_xlfn.IFS(A586&lt;=30, "Youth", A586&lt;=50, "Adult", A586&gt;50, "Older")</f>
        <v>Adult</v>
      </c>
      <c r="I586" t="str" cm="1">
        <f t="array" ref="I586">_xlfn.IFS(A586&lt;=25,"18-25",A586&lt;=35,"26-35",A586&lt;=45,"36-45",A586&lt;=60,"46-60",A586&gt;60,"60+")</f>
        <v>36-45</v>
      </c>
      <c r="J586" t="str" cm="1">
        <f t="array" ref="J586">_xlfn.IFS(C586&lt;18.5,"Underweight",C586&lt;25,"Normal",C586&lt;30,"Overweight",C586&gt;=30,"Obese")</f>
        <v>Overweight</v>
      </c>
      <c r="K586" t="str" cm="1">
        <f t="array" ref="K586">_xlfn.IFS(G586&lt;10000, "Low", G586&lt;=25000, "Medium", G586&gt;25000, "High")</f>
        <v>Low</v>
      </c>
    </row>
    <row r="587" spans="1:11" x14ac:dyDescent="0.3">
      <c r="A587">
        <v>36</v>
      </c>
      <c r="B587" s="1" t="s">
        <v>8</v>
      </c>
      <c r="C587">
        <v>29.59</v>
      </c>
      <c r="D587">
        <v>1</v>
      </c>
      <c r="E587" t="s">
        <v>10</v>
      </c>
      <c r="F587" t="s">
        <v>14</v>
      </c>
      <c r="G587" s="2">
        <v>8233.0974999999999</v>
      </c>
      <c r="H587" t="str" cm="1">
        <f t="array" ref="H587">_xlfn.IFS(A587&lt;=30, "Youth", A587&lt;=50, "Adult", A587&gt;50, "Older")</f>
        <v>Adult</v>
      </c>
      <c r="I587" t="str" cm="1">
        <f t="array" ref="I587">_xlfn.IFS(A587&lt;=25,"18-25",A587&lt;=35,"26-35",A587&lt;=45,"36-45",A587&lt;=60,"46-60",A587&gt;60,"60+")</f>
        <v>36-45</v>
      </c>
      <c r="J587" t="str" cm="1">
        <f t="array" ref="J587">_xlfn.IFS(C587&lt;18.5,"Underweight",C587&lt;25,"Normal",C587&lt;30,"Overweight",C587&gt;=30,"Obese")</f>
        <v>Overweight</v>
      </c>
      <c r="K587" t="str" cm="1">
        <f t="array" ref="K587">_xlfn.IFS(G587&lt;10000, "Low", G587&lt;=25000, "Medium", G587&gt;25000, "High")</f>
        <v>Low</v>
      </c>
    </row>
    <row r="588" spans="1:11" x14ac:dyDescent="0.3">
      <c r="A588">
        <v>36</v>
      </c>
      <c r="B588" s="1" t="s">
        <v>7</v>
      </c>
      <c r="C588">
        <v>29.59</v>
      </c>
      <c r="D588">
        <v>1</v>
      </c>
      <c r="E588" t="s">
        <v>9</v>
      </c>
      <c r="F588" t="s">
        <v>13</v>
      </c>
      <c r="G588" s="2">
        <v>8240.5895999999993</v>
      </c>
      <c r="H588" t="str" cm="1">
        <f t="array" ref="H588">_xlfn.IFS(A588&lt;=30, "Youth", A588&lt;=50, "Adult", A588&gt;50, "Older")</f>
        <v>Adult</v>
      </c>
      <c r="I588" t="str" cm="1">
        <f t="array" ref="I588">_xlfn.IFS(A588&lt;=25,"18-25",A588&lt;=35,"26-35",A588&lt;=45,"36-45",A588&lt;=60,"46-60",A588&gt;60,"60+")</f>
        <v>36-45</v>
      </c>
      <c r="J588" t="str" cm="1">
        <f t="array" ref="J588">_xlfn.IFS(C588&lt;18.5,"Underweight",C588&lt;25,"Normal",C588&lt;30,"Overweight",C588&gt;=30,"Obese")</f>
        <v>Overweight</v>
      </c>
      <c r="K588" t="str" cm="1">
        <f t="array" ref="K588">_xlfn.IFS(G588&lt;10000, "Low", G588&lt;=25000, "Medium", G588&gt;25000, "High")</f>
        <v>Low</v>
      </c>
    </row>
    <row r="589" spans="1:11" x14ac:dyDescent="0.3">
      <c r="A589">
        <v>36</v>
      </c>
      <c r="B589" s="1" t="s">
        <v>7</v>
      </c>
      <c r="C589">
        <v>29.6</v>
      </c>
      <c r="D589">
        <v>1</v>
      </c>
      <c r="E589" t="s">
        <v>10</v>
      </c>
      <c r="F589" t="s">
        <v>14</v>
      </c>
      <c r="G589" s="2">
        <v>8252.2842999999993</v>
      </c>
      <c r="H589" t="str" cm="1">
        <f t="array" ref="H589">_xlfn.IFS(A589&lt;=30, "Youth", A589&lt;=50, "Adult", A589&gt;50, "Older")</f>
        <v>Adult</v>
      </c>
      <c r="I589" t="str" cm="1">
        <f t="array" ref="I589">_xlfn.IFS(A589&lt;=25,"18-25",A589&lt;=35,"26-35",A589&lt;=45,"36-45",A589&lt;=60,"46-60",A589&gt;60,"60+")</f>
        <v>36-45</v>
      </c>
      <c r="J589" t="str" cm="1">
        <f t="array" ref="J589">_xlfn.IFS(C589&lt;18.5,"Underweight",C589&lt;25,"Normal",C589&lt;30,"Overweight",C589&gt;=30,"Obese")</f>
        <v>Overweight</v>
      </c>
      <c r="K589" t="str" cm="1">
        <f t="array" ref="K589">_xlfn.IFS(G589&lt;10000, "Low", G589&lt;=25000, "Medium", G589&gt;25000, "High")</f>
        <v>Low</v>
      </c>
    </row>
    <row r="590" spans="1:11" x14ac:dyDescent="0.3">
      <c r="A590">
        <v>36</v>
      </c>
      <c r="B590" s="1" t="s">
        <v>7</v>
      </c>
      <c r="C590">
        <v>29.6</v>
      </c>
      <c r="D590">
        <v>1</v>
      </c>
      <c r="E590" t="s">
        <v>10</v>
      </c>
      <c r="F590" t="s">
        <v>12</v>
      </c>
      <c r="G590" s="2">
        <v>8269.0439999999999</v>
      </c>
      <c r="H590" t="str" cm="1">
        <f t="array" ref="H590">_xlfn.IFS(A590&lt;=30, "Youth", A590&lt;=50, "Adult", A590&gt;50, "Older")</f>
        <v>Adult</v>
      </c>
      <c r="I590" t="str" cm="1">
        <f t="array" ref="I590">_xlfn.IFS(A590&lt;=25,"18-25",A590&lt;=35,"26-35",A590&lt;=45,"36-45",A590&lt;=60,"46-60",A590&gt;60,"60+")</f>
        <v>36-45</v>
      </c>
      <c r="J590" t="str" cm="1">
        <f t="array" ref="J590">_xlfn.IFS(C590&lt;18.5,"Underweight",C590&lt;25,"Normal",C590&lt;30,"Overweight",C590&gt;=30,"Obese")</f>
        <v>Overweight</v>
      </c>
      <c r="K590" t="str" cm="1">
        <f t="array" ref="K590">_xlfn.IFS(G590&lt;10000, "Low", G590&lt;=25000, "Medium", G590&gt;25000, "High")</f>
        <v>Low</v>
      </c>
    </row>
    <row r="591" spans="1:11" x14ac:dyDescent="0.3">
      <c r="A591">
        <v>36</v>
      </c>
      <c r="B591" s="1" t="s">
        <v>7</v>
      </c>
      <c r="C591">
        <v>29.6</v>
      </c>
      <c r="D591">
        <v>1</v>
      </c>
      <c r="E591" t="s">
        <v>10</v>
      </c>
      <c r="F591" t="s">
        <v>11</v>
      </c>
      <c r="G591" s="2">
        <v>8277.5229999999992</v>
      </c>
      <c r="H591" t="str" cm="1">
        <f t="array" ref="H591">_xlfn.IFS(A591&lt;=30, "Youth", A591&lt;=50, "Adult", A591&gt;50, "Older")</f>
        <v>Adult</v>
      </c>
      <c r="I591" t="str" cm="1">
        <f t="array" ref="I591">_xlfn.IFS(A591&lt;=25,"18-25",A591&lt;=35,"26-35",A591&lt;=45,"36-45",A591&lt;=60,"46-60",A591&gt;60,"60+")</f>
        <v>36-45</v>
      </c>
      <c r="J591" t="str" cm="1">
        <f t="array" ref="J591">_xlfn.IFS(C591&lt;18.5,"Underweight",C591&lt;25,"Normal",C591&lt;30,"Overweight",C591&gt;=30,"Obese")</f>
        <v>Overweight</v>
      </c>
      <c r="K591" t="str" cm="1">
        <f t="array" ref="K591">_xlfn.IFS(G591&lt;10000, "Low", G591&lt;=25000, "Medium", G591&gt;25000, "High")</f>
        <v>Low</v>
      </c>
    </row>
    <row r="592" spans="1:11" x14ac:dyDescent="0.3">
      <c r="A592">
        <v>36</v>
      </c>
      <c r="B592" s="1" t="s">
        <v>8</v>
      </c>
      <c r="C592">
        <v>29.6</v>
      </c>
      <c r="D592">
        <v>1</v>
      </c>
      <c r="E592" t="s">
        <v>10</v>
      </c>
      <c r="F592" t="s">
        <v>13</v>
      </c>
      <c r="G592" s="2">
        <v>8280.6226999999999</v>
      </c>
      <c r="H592" t="str" cm="1">
        <f t="array" ref="H592">_xlfn.IFS(A592&lt;=30, "Youth", A592&lt;=50, "Adult", A592&gt;50, "Older")</f>
        <v>Adult</v>
      </c>
      <c r="I592" t="str" cm="1">
        <f t="array" ref="I592">_xlfn.IFS(A592&lt;=25,"18-25",A592&lt;=35,"26-35",A592&lt;=45,"36-45",A592&lt;=60,"46-60",A592&gt;60,"60+")</f>
        <v>36-45</v>
      </c>
      <c r="J592" t="str" cm="1">
        <f t="array" ref="J592">_xlfn.IFS(C592&lt;18.5,"Underweight",C592&lt;25,"Normal",C592&lt;30,"Overweight",C592&gt;=30,"Obese")</f>
        <v>Overweight</v>
      </c>
      <c r="K592" t="str" cm="1">
        <f t="array" ref="K592">_xlfn.IFS(G592&lt;10000, "Low", G592&lt;=25000, "Medium", G592&gt;25000, "High")</f>
        <v>Low</v>
      </c>
    </row>
    <row r="593" spans="1:11" x14ac:dyDescent="0.3">
      <c r="A593">
        <v>36</v>
      </c>
      <c r="B593" s="1" t="s">
        <v>8</v>
      </c>
      <c r="C593">
        <v>29.64</v>
      </c>
      <c r="D593">
        <v>1</v>
      </c>
      <c r="E593" t="s">
        <v>10</v>
      </c>
      <c r="F593" t="s">
        <v>12</v>
      </c>
      <c r="G593" s="2">
        <v>8283.6807000000008</v>
      </c>
      <c r="H593" t="str" cm="1">
        <f t="array" ref="H593">_xlfn.IFS(A593&lt;=30, "Youth", A593&lt;=50, "Adult", A593&gt;50, "Older")</f>
        <v>Adult</v>
      </c>
      <c r="I593" t="str" cm="1">
        <f t="array" ref="I593">_xlfn.IFS(A593&lt;=25,"18-25",A593&lt;=35,"26-35",A593&lt;=45,"36-45",A593&lt;=60,"46-60",A593&gt;60,"60+")</f>
        <v>36-45</v>
      </c>
      <c r="J593" t="str" cm="1">
        <f t="array" ref="J593">_xlfn.IFS(C593&lt;18.5,"Underweight",C593&lt;25,"Normal",C593&lt;30,"Overweight",C593&gt;=30,"Obese")</f>
        <v>Overweight</v>
      </c>
      <c r="K593" t="str" cm="1">
        <f t="array" ref="K593">_xlfn.IFS(G593&lt;10000, "Low", G593&lt;=25000, "Medium", G593&gt;25000, "High")</f>
        <v>Low</v>
      </c>
    </row>
    <row r="594" spans="1:11" x14ac:dyDescent="0.3">
      <c r="A594">
        <v>36</v>
      </c>
      <c r="B594" s="1" t="s">
        <v>7</v>
      </c>
      <c r="C594">
        <v>29.64</v>
      </c>
      <c r="D594">
        <v>1</v>
      </c>
      <c r="E594" t="s">
        <v>9</v>
      </c>
      <c r="F594" t="s">
        <v>14</v>
      </c>
      <c r="G594" s="2">
        <v>8302.5356499999998</v>
      </c>
      <c r="H594" t="str" cm="1">
        <f t="array" ref="H594">_xlfn.IFS(A594&lt;=30, "Youth", A594&lt;=50, "Adult", A594&gt;50, "Older")</f>
        <v>Adult</v>
      </c>
      <c r="I594" t="str" cm="1">
        <f t="array" ref="I594">_xlfn.IFS(A594&lt;=25,"18-25",A594&lt;=35,"26-35",A594&lt;=45,"36-45",A594&lt;=60,"46-60",A594&gt;60,"60+")</f>
        <v>36-45</v>
      </c>
      <c r="J594" t="str" cm="1">
        <f t="array" ref="J594">_xlfn.IFS(C594&lt;18.5,"Underweight",C594&lt;25,"Normal",C594&lt;30,"Overweight",C594&gt;=30,"Obese")</f>
        <v>Overweight</v>
      </c>
      <c r="K594" t="str" cm="1">
        <f t="array" ref="K594">_xlfn.IFS(G594&lt;10000, "Low", G594&lt;=25000, "Medium", G594&gt;25000, "High")</f>
        <v>Low</v>
      </c>
    </row>
    <row r="595" spans="1:11" x14ac:dyDescent="0.3">
      <c r="A595">
        <v>36</v>
      </c>
      <c r="B595" s="1" t="s">
        <v>8</v>
      </c>
      <c r="C595">
        <v>29.64</v>
      </c>
      <c r="D595">
        <v>1</v>
      </c>
      <c r="E595" t="s">
        <v>10</v>
      </c>
      <c r="F595" t="s">
        <v>12</v>
      </c>
      <c r="G595" s="2">
        <v>8310.8391499999998</v>
      </c>
      <c r="H595" t="str" cm="1">
        <f t="array" ref="H595">_xlfn.IFS(A595&lt;=30, "Youth", A595&lt;=50, "Adult", A595&gt;50, "Older")</f>
        <v>Adult</v>
      </c>
      <c r="I595" t="str" cm="1">
        <f t="array" ref="I595">_xlfn.IFS(A595&lt;=25,"18-25",A595&lt;=35,"26-35",A595&lt;=45,"36-45",A595&lt;=60,"46-60",A595&gt;60,"60+")</f>
        <v>36-45</v>
      </c>
      <c r="J595" t="str" cm="1">
        <f t="array" ref="J595">_xlfn.IFS(C595&lt;18.5,"Underweight",C595&lt;25,"Normal",C595&lt;30,"Overweight",C595&gt;=30,"Obese")</f>
        <v>Overweight</v>
      </c>
      <c r="K595" t="str" cm="1">
        <f t="array" ref="K595">_xlfn.IFS(G595&lt;10000, "Low", G595&lt;=25000, "Medium", G595&gt;25000, "High")</f>
        <v>Low</v>
      </c>
    </row>
    <row r="596" spans="1:11" x14ac:dyDescent="0.3">
      <c r="A596">
        <v>36</v>
      </c>
      <c r="B596" s="1" t="s">
        <v>7</v>
      </c>
      <c r="C596">
        <v>29.64</v>
      </c>
      <c r="D596">
        <v>1</v>
      </c>
      <c r="E596" t="s">
        <v>10</v>
      </c>
      <c r="F596" t="s">
        <v>14</v>
      </c>
      <c r="G596" s="2">
        <v>8334.4575499999992</v>
      </c>
      <c r="H596" t="str" cm="1">
        <f t="array" ref="H596">_xlfn.IFS(A596&lt;=30, "Youth", A596&lt;=50, "Adult", A596&gt;50, "Older")</f>
        <v>Adult</v>
      </c>
      <c r="I596" t="str" cm="1">
        <f t="array" ref="I596">_xlfn.IFS(A596&lt;=25,"18-25",A596&lt;=35,"26-35",A596&lt;=45,"36-45",A596&lt;=60,"46-60",A596&gt;60,"60+")</f>
        <v>36-45</v>
      </c>
      <c r="J596" t="str" cm="1">
        <f t="array" ref="J596">_xlfn.IFS(C596&lt;18.5,"Underweight",C596&lt;25,"Normal",C596&lt;30,"Overweight",C596&gt;=30,"Obese")</f>
        <v>Overweight</v>
      </c>
      <c r="K596" t="str" cm="1">
        <f t="array" ref="K596">_xlfn.IFS(G596&lt;10000, "Low", G596&lt;=25000, "Medium", G596&gt;25000, "High")</f>
        <v>Low</v>
      </c>
    </row>
    <row r="597" spans="1:11" x14ac:dyDescent="0.3">
      <c r="A597">
        <v>36</v>
      </c>
      <c r="B597" s="1" t="s">
        <v>7</v>
      </c>
      <c r="C597">
        <v>29.64</v>
      </c>
      <c r="D597">
        <v>1</v>
      </c>
      <c r="E597" t="s">
        <v>10</v>
      </c>
      <c r="F597" t="s">
        <v>12</v>
      </c>
      <c r="G597" s="2">
        <v>8334.5895999999993</v>
      </c>
      <c r="H597" t="str" cm="1">
        <f t="array" ref="H597">_xlfn.IFS(A597&lt;=30, "Youth", A597&lt;=50, "Adult", A597&gt;50, "Older")</f>
        <v>Adult</v>
      </c>
      <c r="I597" t="str" cm="1">
        <f t="array" ref="I597">_xlfn.IFS(A597&lt;=25,"18-25",A597&lt;=35,"26-35",A597&lt;=45,"36-45",A597&lt;=60,"46-60",A597&gt;60,"60+")</f>
        <v>36-45</v>
      </c>
      <c r="J597" t="str" cm="1">
        <f t="array" ref="J597">_xlfn.IFS(C597&lt;18.5,"Underweight",C597&lt;25,"Normal",C597&lt;30,"Overweight",C597&gt;=30,"Obese")</f>
        <v>Overweight</v>
      </c>
      <c r="K597" t="str" cm="1">
        <f t="array" ref="K597">_xlfn.IFS(G597&lt;10000, "Low", G597&lt;=25000, "Medium", G597&gt;25000, "High")</f>
        <v>Low</v>
      </c>
    </row>
    <row r="598" spans="1:11" x14ac:dyDescent="0.3">
      <c r="A598">
        <v>36</v>
      </c>
      <c r="B598" s="1" t="s">
        <v>7</v>
      </c>
      <c r="C598">
        <v>29.7</v>
      </c>
      <c r="D598">
        <v>1</v>
      </c>
      <c r="E598" t="s">
        <v>10</v>
      </c>
      <c r="F598" t="s">
        <v>14</v>
      </c>
      <c r="G598" s="2">
        <v>8342.9087500000005</v>
      </c>
      <c r="H598" t="str" cm="1">
        <f t="array" ref="H598">_xlfn.IFS(A598&lt;=30, "Youth", A598&lt;=50, "Adult", A598&gt;50, "Older")</f>
        <v>Adult</v>
      </c>
      <c r="I598" t="str" cm="1">
        <f t="array" ref="I598">_xlfn.IFS(A598&lt;=25,"18-25",A598&lt;=35,"26-35",A598&lt;=45,"36-45",A598&lt;=60,"46-60",A598&gt;60,"60+")</f>
        <v>36-45</v>
      </c>
      <c r="J598" t="str" cm="1">
        <f t="array" ref="J598">_xlfn.IFS(C598&lt;18.5,"Underweight",C598&lt;25,"Normal",C598&lt;30,"Overweight",C598&gt;=30,"Obese")</f>
        <v>Overweight</v>
      </c>
      <c r="K598" t="str" cm="1">
        <f t="array" ref="K598">_xlfn.IFS(G598&lt;10000, "Low", G598&lt;=25000, "Medium", G598&gt;25000, "High")</f>
        <v>Low</v>
      </c>
    </row>
    <row r="599" spans="1:11" x14ac:dyDescent="0.3">
      <c r="A599">
        <v>36</v>
      </c>
      <c r="B599" s="1" t="s">
        <v>8</v>
      </c>
      <c r="C599">
        <v>29.7</v>
      </c>
      <c r="D599">
        <v>1</v>
      </c>
      <c r="E599" t="s">
        <v>10</v>
      </c>
      <c r="F599" t="s">
        <v>11</v>
      </c>
      <c r="G599" s="2">
        <v>8347.1643000000004</v>
      </c>
      <c r="H599" t="str" cm="1">
        <f t="array" ref="H599">_xlfn.IFS(A599&lt;=30, "Youth", A599&lt;=50, "Adult", A599&gt;50, "Older")</f>
        <v>Adult</v>
      </c>
      <c r="I599" t="str" cm="1">
        <f t="array" ref="I599">_xlfn.IFS(A599&lt;=25,"18-25",A599&lt;=35,"26-35",A599&lt;=45,"36-45",A599&lt;=60,"46-60",A599&gt;60,"60+")</f>
        <v>36-45</v>
      </c>
      <c r="J599" t="str" cm="1">
        <f t="array" ref="J599">_xlfn.IFS(C599&lt;18.5,"Underweight",C599&lt;25,"Normal",C599&lt;30,"Overweight",C599&gt;=30,"Obese")</f>
        <v>Overweight</v>
      </c>
      <c r="K599" t="str" cm="1">
        <f t="array" ref="K599">_xlfn.IFS(G599&lt;10000, "Low", G599&lt;=25000, "Medium", G599&gt;25000, "High")</f>
        <v>Low</v>
      </c>
    </row>
    <row r="600" spans="1:11" x14ac:dyDescent="0.3">
      <c r="A600">
        <v>37</v>
      </c>
      <c r="B600" s="1" t="s">
        <v>7</v>
      </c>
      <c r="C600">
        <v>29.7</v>
      </c>
      <c r="D600">
        <v>1</v>
      </c>
      <c r="E600" t="s">
        <v>10</v>
      </c>
      <c r="F600" t="s">
        <v>13</v>
      </c>
      <c r="G600" s="2">
        <v>8410.0468500000006</v>
      </c>
      <c r="H600" t="str" cm="1">
        <f t="array" ref="H600">_xlfn.IFS(A600&lt;=30, "Youth", A600&lt;=50, "Adult", A600&gt;50, "Older")</f>
        <v>Adult</v>
      </c>
      <c r="I600" t="str" cm="1">
        <f t="array" ref="I600">_xlfn.IFS(A600&lt;=25,"18-25",A600&lt;=35,"26-35",A600&lt;=45,"36-45",A600&lt;=60,"46-60",A600&gt;60,"60+")</f>
        <v>36-45</v>
      </c>
      <c r="J600" t="str" cm="1">
        <f t="array" ref="J600">_xlfn.IFS(C600&lt;18.5,"Underweight",C600&lt;25,"Normal",C600&lt;30,"Overweight",C600&gt;=30,"Obese")</f>
        <v>Overweight</v>
      </c>
      <c r="K600" t="str" cm="1">
        <f t="array" ref="K600">_xlfn.IFS(G600&lt;10000, "Low", G600&lt;=25000, "Medium", G600&gt;25000, "High")</f>
        <v>Low</v>
      </c>
    </row>
    <row r="601" spans="1:11" x14ac:dyDescent="0.3">
      <c r="A601">
        <v>37</v>
      </c>
      <c r="B601" s="1" t="s">
        <v>7</v>
      </c>
      <c r="C601">
        <v>29.7</v>
      </c>
      <c r="D601">
        <v>1</v>
      </c>
      <c r="E601" t="s">
        <v>10</v>
      </c>
      <c r="F601" t="s">
        <v>12</v>
      </c>
      <c r="G601" s="2">
        <v>8413.4630500000003</v>
      </c>
      <c r="H601" t="str" cm="1">
        <f t="array" ref="H601">_xlfn.IFS(A601&lt;=30, "Youth", A601&lt;=50, "Adult", A601&gt;50, "Older")</f>
        <v>Adult</v>
      </c>
      <c r="I601" t="str" cm="1">
        <f t="array" ref="I601">_xlfn.IFS(A601&lt;=25,"18-25",A601&lt;=35,"26-35",A601&lt;=45,"36-45",A601&lt;=60,"46-60",A601&gt;60,"60+")</f>
        <v>36-45</v>
      </c>
      <c r="J601" t="str" cm="1">
        <f t="array" ref="J601">_xlfn.IFS(C601&lt;18.5,"Underweight",C601&lt;25,"Normal",C601&lt;30,"Overweight",C601&gt;=30,"Obese")</f>
        <v>Overweight</v>
      </c>
      <c r="K601" t="str" cm="1">
        <f t="array" ref="K601">_xlfn.IFS(G601&lt;10000, "Low", G601&lt;=25000, "Medium", G601&gt;25000, "High")</f>
        <v>Low</v>
      </c>
    </row>
    <row r="602" spans="1:11" x14ac:dyDescent="0.3">
      <c r="A602">
        <v>37</v>
      </c>
      <c r="B602" s="1" t="s">
        <v>8</v>
      </c>
      <c r="C602">
        <v>29.7</v>
      </c>
      <c r="D602">
        <v>1</v>
      </c>
      <c r="E602" t="s">
        <v>10</v>
      </c>
      <c r="F602" t="s">
        <v>13</v>
      </c>
      <c r="G602" s="2">
        <v>8428.0692999999992</v>
      </c>
      <c r="H602" t="str" cm="1">
        <f t="array" ref="H602">_xlfn.IFS(A602&lt;=30, "Youth", A602&lt;=50, "Adult", A602&gt;50, "Older")</f>
        <v>Adult</v>
      </c>
      <c r="I602" t="str" cm="1">
        <f t="array" ref="I602">_xlfn.IFS(A602&lt;=25,"18-25",A602&lt;=35,"26-35",A602&lt;=45,"36-45",A602&lt;=60,"46-60",A602&gt;60,"60+")</f>
        <v>36-45</v>
      </c>
      <c r="J602" t="str" cm="1">
        <f t="array" ref="J602">_xlfn.IFS(C602&lt;18.5,"Underweight",C602&lt;25,"Normal",C602&lt;30,"Overweight",C602&gt;=30,"Obese")</f>
        <v>Overweight</v>
      </c>
      <c r="K602" t="str" cm="1">
        <f t="array" ref="K602">_xlfn.IFS(G602&lt;10000, "Low", G602&lt;=25000, "Medium", G602&gt;25000, "High")</f>
        <v>Low</v>
      </c>
    </row>
    <row r="603" spans="1:11" x14ac:dyDescent="0.3">
      <c r="A603">
        <v>37</v>
      </c>
      <c r="B603" s="1" t="s">
        <v>7</v>
      </c>
      <c r="C603">
        <v>29.734999999999999</v>
      </c>
      <c r="D603">
        <v>1</v>
      </c>
      <c r="E603" t="s">
        <v>10</v>
      </c>
      <c r="F603" t="s">
        <v>11</v>
      </c>
      <c r="G603" s="2">
        <v>8442.6669999999995</v>
      </c>
      <c r="H603" t="str" cm="1">
        <f t="array" ref="H603">_xlfn.IFS(A603&lt;=30, "Youth", A603&lt;=50, "Adult", A603&gt;50, "Older")</f>
        <v>Adult</v>
      </c>
      <c r="I603" t="str" cm="1">
        <f t="array" ref="I603">_xlfn.IFS(A603&lt;=25,"18-25",A603&lt;=35,"26-35",A603&lt;=45,"36-45",A603&lt;=60,"46-60",A603&gt;60,"60+")</f>
        <v>36-45</v>
      </c>
      <c r="J603" t="str" cm="1">
        <f t="array" ref="J603">_xlfn.IFS(C603&lt;18.5,"Underweight",C603&lt;25,"Normal",C603&lt;30,"Overweight",C603&gt;=30,"Obese")</f>
        <v>Overweight</v>
      </c>
      <c r="K603" t="str" cm="1">
        <f t="array" ref="K603">_xlfn.IFS(G603&lt;10000, "Low", G603&lt;=25000, "Medium", G603&gt;25000, "High")</f>
        <v>Low</v>
      </c>
    </row>
    <row r="604" spans="1:11" x14ac:dyDescent="0.3">
      <c r="A604">
        <v>37</v>
      </c>
      <c r="B604" s="1" t="s">
        <v>7</v>
      </c>
      <c r="C604">
        <v>29.734999999999999</v>
      </c>
      <c r="D604">
        <v>1</v>
      </c>
      <c r="E604" t="s">
        <v>10</v>
      </c>
      <c r="F604" t="s">
        <v>12</v>
      </c>
      <c r="G604" s="2">
        <v>8444.4740000000002</v>
      </c>
      <c r="H604" t="str" cm="1">
        <f t="array" ref="H604">_xlfn.IFS(A604&lt;=30, "Youth", A604&lt;=50, "Adult", A604&gt;50, "Older")</f>
        <v>Adult</v>
      </c>
      <c r="I604" t="str" cm="1">
        <f t="array" ref="I604">_xlfn.IFS(A604&lt;=25,"18-25",A604&lt;=35,"26-35",A604&lt;=45,"36-45",A604&lt;=60,"46-60",A604&gt;60,"60+")</f>
        <v>36-45</v>
      </c>
      <c r="J604" t="str" cm="1">
        <f t="array" ref="J604">_xlfn.IFS(C604&lt;18.5,"Underweight",C604&lt;25,"Normal",C604&lt;30,"Overweight",C604&gt;=30,"Obese")</f>
        <v>Overweight</v>
      </c>
      <c r="K604" t="str" cm="1">
        <f t="array" ref="K604">_xlfn.IFS(G604&lt;10000, "Low", G604&lt;=25000, "Medium", G604&gt;25000, "High")</f>
        <v>Low</v>
      </c>
    </row>
    <row r="605" spans="1:11" x14ac:dyDescent="0.3">
      <c r="A605">
        <v>37</v>
      </c>
      <c r="B605" s="1" t="s">
        <v>7</v>
      </c>
      <c r="C605">
        <v>29.734999999999999</v>
      </c>
      <c r="D605">
        <v>1</v>
      </c>
      <c r="E605" t="s">
        <v>9</v>
      </c>
      <c r="F605" t="s">
        <v>13</v>
      </c>
      <c r="G605" s="2">
        <v>8457.8179999999993</v>
      </c>
      <c r="H605" t="str" cm="1">
        <f t="array" ref="H605">_xlfn.IFS(A605&lt;=30, "Youth", A605&lt;=50, "Adult", A605&gt;50, "Older")</f>
        <v>Adult</v>
      </c>
      <c r="I605" t="str" cm="1">
        <f t="array" ref="I605">_xlfn.IFS(A605&lt;=25,"18-25",A605&lt;=35,"26-35",A605&lt;=45,"36-45",A605&lt;=60,"46-60",A605&gt;60,"60+")</f>
        <v>36-45</v>
      </c>
      <c r="J605" t="str" cm="1">
        <f t="array" ref="J605">_xlfn.IFS(C605&lt;18.5,"Underweight",C605&lt;25,"Normal",C605&lt;30,"Overweight",C605&gt;=30,"Obese")</f>
        <v>Overweight</v>
      </c>
      <c r="K605" t="str" cm="1">
        <f t="array" ref="K605">_xlfn.IFS(G605&lt;10000, "Low", G605&lt;=25000, "Medium", G605&gt;25000, "High")</f>
        <v>Low</v>
      </c>
    </row>
    <row r="606" spans="1:11" x14ac:dyDescent="0.3">
      <c r="A606">
        <v>37</v>
      </c>
      <c r="B606" s="1" t="s">
        <v>7</v>
      </c>
      <c r="C606">
        <v>29.734999999999999</v>
      </c>
      <c r="D606">
        <v>1</v>
      </c>
      <c r="E606" t="s">
        <v>10</v>
      </c>
      <c r="F606" t="s">
        <v>12</v>
      </c>
      <c r="G606" s="2">
        <v>8515.7587000000003</v>
      </c>
      <c r="H606" t="str" cm="1">
        <f t="array" ref="H606">_xlfn.IFS(A606&lt;=30, "Youth", A606&lt;=50, "Adult", A606&gt;50, "Older")</f>
        <v>Adult</v>
      </c>
      <c r="I606" t="str" cm="1">
        <f t="array" ref="I606">_xlfn.IFS(A606&lt;=25,"18-25",A606&lt;=35,"26-35",A606&lt;=45,"36-45",A606&lt;=60,"46-60",A606&gt;60,"60+")</f>
        <v>36-45</v>
      </c>
      <c r="J606" t="str" cm="1">
        <f t="array" ref="J606">_xlfn.IFS(C606&lt;18.5,"Underweight",C606&lt;25,"Normal",C606&lt;30,"Overweight",C606&gt;=30,"Obese")</f>
        <v>Overweight</v>
      </c>
      <c r="K606" t="str" cm="1">
        <f t="array" ref="K606">_xlfn.IFS(G606&lt;10000, "Low", G606&lt;=25000, "Medium", G606&gt;25000, "High")</f>
        <v>Low</v>
      </c>
    </row>
    <row r="607" spans="1:11" x14ac:dyDescent="0.3">
      <c r="A607">
        <v>37</v>
      </c>
      <c r="B607" s="1" t="s">
        <v>7</v>
      </c>
      <c r="C607">
        <v>29.8</v>
      </c>
      <c r="D607">
        <v>1</v>
      </c>
      <c r="E607" t="s">
        <v>10</v>
      </c>
      <c r="F607" t="s">
        <v>14</v>
      </c>
      <c r="G607" s="2">
        <v>8516.8289999999997</v>
      </c>
      <c r="H607" t="str" cm="1">
        <f t="array" ref="H607">_xlfn.IFS(A607&lt;=30, "Youth", A607&lt;=50, "Adult", A607&gt;50, "Older")</f>
        <v>Adult</v>
      </c>
      <c r="I607" t="str" cm="1">
        <f t="array" ref="I607">_xlfn.IFS(A607&lt;=25,"18-25",A607&lt;=35,"26-35",A607&lt;=45,"36-45",A607&lt;=60,"46-60",A607&gt;60,"60+")</f>
        <v>36-45</v>
      </c>
      <c r="J607" t="str" cm="1">
        <f t="array" ref="J607">_xlfn.IFS(C607&lt;18.5,"Underweight",C607&lt;25,"Normal",C607&lt;30,"Overweight",C607&gt;=30,"Obese")</f>
        <v>Overweight</v>
      </c>
      <c r="K607" t="str" cm="1">
        <f t="array" ref="K607">_xlfn.IFS(G607&lt;10000, "Low", G607&lt;=25000, "Medium", G607&gt;25000, "High")</f>
        <v>Low</v>
      </c>
    </row>
    <row r="608" spans="1:11" x14ac:dyDescent="0.3">
      <c r="A608">
        <v>37</v>
      </c>
      <c r="B608" s="1" t="s">
        <v>7</v>
      </c>
      <c r="C608">
        <v>29.8</v>
      </c>
      <c r="D608">
        <v>1</v>
      </c>
      <c r="E608" t="s">
        <v>9</v>
      </c>
      <c r="F608" t="s">
        <v>13</v>
      </c>
      <c r="G608" s="2">
        <v>8520.0259999999998</v>
      </c>
      <c r="H608" t="str" cm="1">
        <f t="array" ref="H608">_xlfn.IFS(A608&lt;=30, "Youth", A608&lt;=50, "Adult", A608&gt;50, "Older")</f>
        <v>Adult</v>
      </c>
      <c r="I608" t="str" cm="1">
        <f t="array" ref="I608">_xlfn.IFS(A608&lt;=25,"18-25",A608&lt;=35,"26-35",A608&lt;=45,"36-45",A608&lt;=60,"46-60",A608&gt;60,"60+")</f>
        <v>36-45</v>
      </c>
      <c r="J608" t="str" cm="1">
        <f t="array" ref="J608">_xlfn.IFS(C608&lt;18.5,"Underweight",C608&lt;25,"Normal",C608&lt;30,"Overweight",C608&gt;=30,"Obese")</f>
        <v>Overweight</v>
      </c>
      <c r="K608" t="str" cm="1">
        <f t="array" ref="K608">_xlfn.IFS(G608&lt;10000, "Low", G608&lt;=25000, "Medium", G608&gt;25000, "High")</f>
        <v>Low</v>
      </c>
    </row>
    <row r="609" spans="1:11" x14ac:dyDescent="0.3">
      <c r="A609">
        <v>37</v>
      </c>
      <c r="B609" s="1" t="s">
        <v>8</v>
      </c>
      <c r="C609">
        <v>29.8</v>
      </c>
      <c r="D609">
        <v>1</v>
      </c>
      <c r="E609" t="s">
        <v>10</v>
      </c>
      <c r="F609" t="s">
        <v>14</v>
      </c>
      <c r="G609" s="2">
        <v>8522.0030000000006</v>
      </c>
      <c r="H609" t="str" cm="1">
        <f t="array" ref="H609">_xlfn.IFS(A609&lt;=30, "Youth", A609&lt;=50, "Adult", A609&gt;50, "Older")</f>
        <v>Adult</v>
      </c>
      <c r="I609" t="str" cm="1">
        <f t="array" ref="I609">_xlfn.IFS(A609&lt;=25,"18-25",A609&lt;=35,"26-35",A609&lt;=45,"36-45",A609&lt;=60,"46-60",A609&gt;60,"60+")</f>
        <v>36-45</v>
      </c>
      <c r="J609" t="str" cm="1">
        <f t="array" ref="J609">_xlfn.IFS(C609&lt;18.5,"Underweight",C609&lt;25,"Normal",C609&lt;30,"Overweight",C609&gt;=30,"Obese")</f>
        <v>Overweight</v>
      </c>
      <c r="K609" t="str" cm="1">
        <f t="array" ref="K609">_xlfn.IFS(G609&lt;10000, "Low", G609&lt;=25000, "Medium", G609&gt;25000, "High")</f>
        <v>Low</v>
      </c>
    </row>
    <row r="610" spans="1:11" x14ac:dyDescent="0.3">
      <c r="A610">
        <v>37</v>
      </c>
      <c r="B610" s="1" t="s">
        <v>8</v>
      </c>
      <c r="C610">
        <v>29.8</v>
      </c>
      <c r="D610">
        <v>1</v>
      </c>
      <c r="E610" t="s">
        <v>9</v>
      </c>
      <c r="F610" t="s">
        <v>11</v>
      </c>
      <c r="G610" s="2">
        <v>8527.5319999999992</v>
      </c>
      <c r="H610" t="str" cm="1">
        <f t="array" ref="H610">_xlfn.IFS(A610&lt;=30, "Youth", A610&lt;=50, "Adult", A610&gt;50, "Older")</f>
        <v>Adult</v>
      </c>
      <c r="I610" t="str" cm="1">
        <f t="array" ref="I610">_xlfn.IFS(A610&lt;=25,"18-25",A610&lt;=35,"26-35",A610&lt;=45,"36-45",A610&lt;=60,"46-60",A610&gt;60,"60+")</f>
        <v>36-45</v>
      </c>
      <c r="J610" t="str" cm="1">
        <f t="array" ref="J610">_xlfn.IFS(C610&lt;18.5,"Underweight",C610&lt;25,"Normal",C610&lt;30,"Overweight",C610&gt;=30,"Obese")</f>
        <v>Overweight</v>
      </c>
      <c r="K610" t="str" cm="1">
        <f t="array" ref="K610">_xlfn.IFS(G610&lt;10000, "Low", G610&lt;=25000, "Medium", G610&gt;25000, "High")</f>
        <v>Low</v>
      </c>
    </row>
    <row r="611" spans="1:11" x14ac:dyDescent="0.3">
      <c r="A611">
        <v>37</v>
      </c>
      <c r="B611" s="1" t="s">
        <v>7</v>
      </c>
      <c r="C611">
        <v>29.81</v>
      </c>
      <c r="D611">
        <v>1</v>
      </c>
      <c r="E611" t="s">
        <v>10</v>
      </c>
      <c r="F611" t="s">
        <v>12</v>
      </c>
      <c r="G611" s="2">
        <v>8534.6718000000001</v>
      </c>
      <c r="H611" t="str" cm="1">
        <f t="array" ref="H611">_xlfn.IFS(A611&lt;=30, "Youth", A611&lt;=50, "Adult", A611&gt;50, "Older")</f>
        <v>Adult</v>
      </c>
      <c r="I611" t="str" cm="1">
        <f t="array" ref="I611">_xlfn.IFS(A611&lt;=25,"18-25",A611&lt;=35,"26-35",A611&lt;=45,"36-45",A611&lt;=60,"46-60",A611&gt;60,"60+")</f>
        <v>36-45</v>
      </c>
      <c r="J611" t="str" cm="1">
        <f t="array" ref="J611">_xlfn.IFS(C611&lt;18.5,"Underweight",C611&lt;25,"Normal",C611&lt;30,"Overweight",C611&gt;=30,"Obese")</f>
        <v>Overweight</v>
      </c>
      <c r="K611" t="str" cm="1">
        <f t="array" ref="K611">_xlfn.IFS(G611&lt;10000, "Low", G611&lt;=25000, "Medium", G611&gt;25000, "High")</f>
        <v>Low</v>
      </c>
    </row>
    <row r="612" spans="1:11" x14ac:dyDescent="0.3">
      <c r="A612">
        <v>37</v>
      </c>
      <c r="B612" s="1" t="s">
        <v>7</v>
      </c>
      <c r="C612">
        <v>29.81</v>
      </c>
      <c r="D612">
        <v>1</v>
      </c>
      <c r="E612" t="s">
        <v>10</v>
      </c>
      <c r="F612" t="s">
        <v>11</v>
      </c>
      <c r="G612" s="2">
        <v>8538.28845</v>
      </c>
      <c r="H612" t="str" cm="1">
        <f t="array" ref="H612">_xlfn.IFS(A612&lt;=30, "Youth", A612&lt;=50, "Adult", A612&gt;50, "Older")</f>
        <v>Adult</v>
      </c>
      <c r="I612" t="str" cm="1">
        <f t="array" ref="I612">_xlfn.IFS(A612&lt;=25,"18-25",A612&lt;=35,"26-35",A612&lt;=45,"36-45",A612&lt;=60,"46-60",A612&gt;60,"60+")</f>
        <v>36-45</v>
      </c>
      <c r="J612" t="str" cm="1">
        <f t="array" ref="J612">_xlfn.IFS(C612&lt;18.5,"Underweight",C612&lt;25,"Normal",C612&lt;30,"Overweight",C612&gt;=30,"Obese")</f>
        <v>Overweight</v>
      </c>
      <c r="K612" t="str" cm="1">
        <f t="array" ref="K612">_xlfn.IFS(G612&lt;10000, "Low", G612&lt;=25000, "Medium", G612&gt;25000, "High")</f>
        <v>Low</v>
      </c>
    </row>
    <row r="613" spans="1:11" x14ac:dyDescent="0.3">
      <c r="A613">
        <v>37</v>
      </c>
      <c r="B613" s="1" t="s">
        <v>7</v>
      </c>
      <c r="C613">
        <v>29.81</v>
      </c>
      <c r="D613">
        <v>1</v>
      </c>
      <c r="E613" t="s">
        <v>10</v>
      </c>
      <c r="F613" t="s">
        <v>14</v>
      </c>
      <c r="G613" s="2">
        <v>8539.6710000000003</v>
      </c>
      <c r="H613" t="str" cm="1">
        <f t="array" ref="H613">_xlfn.IFS(A613&lt;=30, "Youth", A613&lt;=50, "Adult", A613&gt;50, "Older")</f>
        <v>Adult</v>
      </c>
      <c r="I613" t="str" cm="1">
        <f t="array" ref="I613">_xlfn.IFS(A613&lt;=25,"18-25",A613&lt;=35,"26-35",A613&lt;=45,"36-45",A613&lt;=60,"46-60",A613&gt;60,"60+")</f>
        <v>36-45</v>
      </c>
      <c r="J613" t="str" cm="1">
        <f t="array" ref="J613">_xlfn.IFS(C613&lt;18.5,"Underweight",C613&lt;25,"Normal",C613&lt;30,"Overweight",C613&gt;=30,"Obese")</f>
        <v>Overweight</v>
      </c>
      <c r="K613" t="str" cm="1">
        <f t="array" ref="K613">_xlfn.IFS(G613&lt;10000, "Low", G613&lt;=25000, "Medium", G613&gt;25000, "High")</f>
        <v>Low</v>
      </c>
    </row>
    <row r="614" spans="1:11" x14ac:dyDescent="0.3">
      <c r="A614">
        <v>37</v>
      </c>
      <c r="B614" s="1" t="s">
        <v>7</v>
      </c>
      <c r="C614">
        <v>29.81</v>
      </c>
      <c r="D614">
        <v>1</v>
      </c>
      <c r="E614" t="s">
        <v>10</v>
      </c>
      <c r="F614" t="s">
        <v>14</v>
      </c>
      <c r="G614" s="2">
        <v>8547.6913000000004</v>
      </c>
      <c r="H614" t="str" cm="1">
        <f t="array" ref="H614">_xlfn.IFS(A614&lt;=30, "Youth", A614&lt;=50, "Adult", A614&gt;50, "Older")</f>
        <v>Adult</v>
      </c>
      <c r="I614" t="str" cm="1">
        <f t="array" ref="I614">_xlfn.IFS(A614&lt;=25,"18-25",A614&lt;=35,"26-35",A614&lt;=45,"36-45",A614&lt;=60,"46-60",A614&gt;60,"60+")</f>
        <v>36-45</v>
      </c>
      <c r="J614" t="str" cm="1">
        <f t="array" ref="J614">_xlfn.IFS(C614&lt;18.5,"Underweight",C614&lt;25,"Normal",C614&lt;30,"Overweight",C614&gt;=30,"Obese")</f>
        <v>Overweight</v>
      </c>
      <c r="K614" t="str" cm="1">
        <f t="array" ref="K614">_xlfn.IFS(G614&lt;10000, "Low", G614&lt;=25000, "Medium", G614&gt;25000, "High")</f>
        <v>Low</v>
      </c>
    </row>
    <row r="615" spans="1:11" x14ac:dyDescent="0.3">
      <c r="A615">
        <v>37</v>
      </c>
      <c r="B615" s="1" t="s">
        <v>7</v>
      </c>
      <c r="C615">
        <v>29.83</v>
      </c>
      <c r="D615">
        <v>1</v>
      </c>
      <c r="E615" t="s">
        <v>10</v>
      </c>
      <c r="F615" t="s">
        <v>12</v>
      </c>
      <c r="G615" s="2">
        <v>8551.3469999999998</v>
      </c>
      <c r="H615" t="str" cm="1">
        <f t="array" ref="H615">_xlfn.IFS(A615&lt;=30, "Youth", A615&lt;=50, "Adult", A615&gt;50, "Older")</f>
        <v>Adult</v>
      </c>
      <c r="I615" t="str" cm="1">
        <f t="array" ref="I615">_xlfn.IFS(A615&lt;=25,"18-25",A615&lt;=35,"26-35",A615&lt;=45,"36-45",A615&lt;=60,"46-60",A615&gt;60,"60+")</f>
        <v>36-45</v>
      </c>
      <c r="J615" t="str" cm="1">
        <f t="array" ref="J615">_xlfn.IFS(C615&lt;18.5,"Underweight",C615&lt;25,"Normal",C615&lt;30,"Overweight",C615&gt;=30,"Obese")</f>
        <v>Overweight</v>
      </c>
      <c r="K615" t="str" cm="1">
        <f t="array" ref="K615">_xlfn.IFS(G615&lt;10000, "Low", G615&lt;=25000, "Medium", G615&gt;25000, "High")</f>
        <v>Low</v>
      </c>
    </row>
    <row r="616" spans="1:11" x14ac:dyDescent="0.3">
      <c r="A616">
        <v>37</v>
      </c>
      <c r="B616" s="1" t="s">
        <v>7</v>
      </c>
      <c r="C616">
        <v>29.83</v>
      </c>
      <c r="D616">
        <v>1</v>
      </c>
      <c r="E616" t="s">
        <v>9</v>
      </c>
      <c r="F616" t="s">
        <v>12</v>
      </c>
      <c r="G616" s="2">
        <v>8556.9069999999992</v>
      </c>
      <c r="H616" t="str" cm="1">
        <f t="array" ref="H616">_xlfn.IFS(A616&lt;=30, "Youth", A616&lt;=50, "Adult", A616&gt;50, "Older")</f>
        <v>Adult</v>
      </c>
      <c r="I616" t="str" cm="1">
        <f t="array" ref="I616">_xlfn.IFS(A616&lt;=25,"18-25",A616&lt;=35,"26-35",A616&lt;=45,"36-45",A616&lt;=60,"46-60",A616&gt;60,"60+")</f>
        <v>36-45</v>
      </c>
      <c r="J616" t="str" cm="1">
        <f t="array" ref="J616">_xlfn.IFS(C616&lt;18.5,"Underweight",C616&lt;25,"Normal",C616&lt;30,"Overweight",C616&gt;=30,"Obese")</f>
        <v>Overweight</v>
      </c>
      <c r="K616" t="str" cm="1">
        <f t="array" ref="K616">_xlfn.IFS(G616&lt;10000, "Low", G616&lt;=25000, "Medium", G616&gt;25000, "High")</f>
        <v>Low</v>
      </c>
    </row>
    <row r="617" spans="1:11" x14ac:dyDescent="0.3">
      <c r="A617">
        <v>37</v>
      </c>
      <c r="B617" s="1" t="s">
        <v>7</v>
      </c>
      <c r="C617">
        <v>29.83</v>
      </c>
      <c r="D617">
        <v>1</v>
      </c>
      <c r="E617" t="s">
        <v>10</v>
      </c>
      <c r="F617" t="s">
        <v>14</v>
      </c>
      <c r="G617" s="2">
        <v>8569.8618000000006</v>
      </c>
      <c r="H617" t="str" cm="1">
        <f t="array" ref="H617">_xlfn.IFS(A617&lt;=30, "Youth", A617&lt;=50, "Adult", A617&gt;50, "Older")</f>
        <v>Adult</v>
      </c>
      <c r="I617" t="str" cm="1">
        <f t="array" ref="I617">_xlfn.IFS(A617&lt;=25,"18-25",A617&lt;=35,"26-35",A617&lt;=45,"36-45",A617&lt;=60,"46-60",A617&gt;60,"60+")</f>
        <v>36-45</v>
      </c>
      <c r="J617" t="str" cm="1">
        <f t="array" ref="J617">_xlfn.IFS(C617&lt;18.5,"Underweight",C617&lt;25,"Normal",C617&lt;30,"Overweight",C617&gt;=30,"Obese")</f>
        <v>Overweight</v>
      </c>
      <c r="K617" t="str" cm="1">
        <f t="array" ref="K617">_xlfn.IFS(G617&lt;10000, "Low", G617&lt;=25000, "Medium", G617&gt;25000, "High")</f>
        <v>Low</v>
      </c>
    </row>
    <row r="618" spans="1:11" x14ac:dyDescent="0.3">
      <c r="A618">
        <v>37</v>
      </c>
      <c r="B618" s="1" t="s">
        <v>8</v>
      </c>
      <c r="C618">
        <v>29.83</v>
      </c>
      <c r="D618">
        <v>1</v>
      </c>
      <c r="E618" t="s">
        <v>9</v>
      </c>
      <c r="F618" t="s">
        <v>11</v>
      </c>
      <c r="G618" s="2">
        <v>8582.3022999999994</v>
      </c>
      <c r="H618" t="str" cm="1">
        <f t="array" ref="H618">_xlfn.IFS(A618&lt;=30, "Youth", A618&lt;=50, "Adult", A618&gt;50, "Older")</f>
        <v>Adult</v>
      </c>
      <c r="I618" t="str" cm="1">
        <f t="array" ref="I618">_xlfn.IFS(A618&lt;=25,"18-25",A618&lt;=35,"26-35",A618&lt;=45,"36-45",A618&lt;=60,"46-60",A618&gt;60,"60+")</f>
        <v>36-45</v>
      </c>
      <c r="J618" t="str" cm="1">
        <f t="array" ref="J618">_xlfn.IFS(C618&lt;18.5,"Underweight",C618&lt;25,"Normal",C618&lt;30,"Overweight",C618&gt;=30,"Obese")</f>
        <v>Overweight</v>
      </c>
      <c r="K618" t="str" cm="1">
        <f t="array" ref="K618">_xlfn.IFS(G618&lt;10000, "Low", G618&lt;=25000, "Medium", G618&gt;25000, "High")</f>
        <v>Low</v>
      </c>
    </row>
    <row r="619" spans="1:11" x14ac:dyDescent="0.3">
      <c r="A619">
        <v>37</v>
      </c>
      <c r="B619" s="1" t="s">
        <v>7</v>
      </c>
      <c r="C619">
        <v>29.83</v>
      </c>
      <c r="D619">
        <v>1</v>
      </c>
      <c r="E619" t="s">
        <v>9</v>
      </c>
      <c r="F619" t="s">
        <v>12</v>
      </c>
      <c r="G619" s="2">
        <v>8596.8277999999991</v>
      </c>
      <c r="H619" t="str" cm="1">
        <f t="array" ref="H619">_xlfn.IFS(A619&lt;=30, "Youth", A619&lt;=50, "Adult", A619&gt;50, "Older")</f>
        <v>Adult</v>
      </c>
      <c r="I619" t="str" cm="1">
        <f t="array" ref="I619">_xlfn.IFS(A619&lt;=25,"18-25",A619&lt;=35,"26-35",A619&lt;=45,"36-45",A619&lt;=60,"46-60",A619&gt;60,"60+")</f>
        <v>36-45</v>
      </c>
      <c r="J619" t="str" cm="1">
        <f t="array" ref="J619">_xlfn.IFS(C619&lt;18.5,"Underweight",C619&lt;25,"Normal",C619&lt;30,"Overweight",C619&gt;=30,"Obese")</f>
        <v>Overweight</v>
      </c>
      <c r="K619" t="str" cm="1">
        <f t="array" ref="K619">_xlfn.IFS(G619&lt;10000, "Low", G619&lt;=25000, "Medium", G619&gt;25000, "High")</f>
        <v>Low</v>
      </c>
    </row>
    <row r="620" spans="1:11" x14ac:dyDescent="0.3">
      <c r="A620">
        <v>37</v>
      </c>
      <c r="B620" s="1" t="s">
        <v>7</v>
      </c>
      <c r="C620">
        <v>29.83</v>
      </c>
      <c r="D620">
        <v>1</v>
      </c>
      <c r="E620" t="s">
        <v>10</v>
      </c>
      <c r="F620" t="s">
        <v>11</v>
      </c>
      <c r="G620" s="2">
        <v>8601.3292999999994</v>
      </c>
      <c r="H620" t="str" cm="1">
        <f t="array" ref="H620">_xlfn.IFS(A620&lt;=30, "Youth", A620&lt;=50, "Adult", A620&gt;50, "Older")</f>
        <v>Adult</v>
      </c>
      <c r="I620" t="str" cm="1">
        <f t="array" ref="I620">_xlfn.IFS(A620&lt;=25,"18-25",A620&lt;=35,"26-35",A620&lt;=45,"36-45",A620&lt;=60,"46-60",A620&gt;60,"60+")</f>
        <v>36-45</v>
      </c>
      <c r="J620" t="str" cm="1">
        <f t="array" ref="J620">_xlfn.IFS(C620&lt;18.5,"Underweight",C620&lt;25,"Normal",C620&lt;30,"Overweight",C620&gt;=30,"Obese")</f>
        <v>Overweight</v>
      </c>
      <c r="K620" t="str" cm="1">
        <f t="array" ref="K620">_xlfn.IFS(G620&lt;10000, "Low", G620&lt;=25000, "Medium", G620&gt;25000, "High")</f>
        <v>Low</v>
      </c>
    </row>
    <row r="621" spans="1:11" x14ac:dyDescent="0.3">
      <c r="A621">
        <v>37</v>
      </c>
      <c r="B621" s="1" t="s">
        <v>8</v>
      </c>
      <c r="C621">
        <v>29.9</v>
      </c>
      <c r="D621">
        <v>1</v>
      </c>
      <c r="E621" t="s">
        <v>10</v>
      </c>
      <c r="F621" t="s">
        <v>11</v>
      </c>
      <c r="G621" s="2">
        <v>8603.8233999999993</v>
      </c>
      <c r="H621" t="str" cm="1">
        <f t="array" ref="H621">_xlfn.IFS(A621&lt;=30, "Youth", A621&lt;=50, "Adult", A621&gt;50, "Older")</f>
        <v>Adult</v>
      </c>
      <c r="I621" t="str" cm="1">
        <f t="array" ref="I621">_xlfn.IFS(A621&lt;=25,"18-25",A621&lt;=35,"26-35",A621&lt;=45,"36-45",A621&lt;=60,"46-60",A621&gt;60,"60+")</f>
        <v>36-45</v>
      </c>
      <c r="J621" t="str" cm="1">
        <f t="array" ref="J621">_xlfn.IFS(C621&lt;18.5,"Underweight",C621&lt;25,"Normal",C621&lt;30,"Overweight",C621&gt;=30,"Obese")</f>
        <v>Overweight</v>
      </c>
      <c r="K621" t="str" cm="1">
        <f t="array" ref="K621">_xlfn.IFS(G621&lt;10000, "Low", G621&lt;=25000, "Medium", G621&gt;25000, "High")</f>
        <v>Low</v>
      </c>
    </row>
    <row r="622" spans="1:11" x14ac:dyDescent="0.3">
      <c r="A622">
        <v>37</v>
      </c>
      <c r="B622" s="1" t="s">
        <v>8</v>
      </c>
      <c r="C622">
        <v>29.9</v>
      </c>
      <c r="D622">
        <v>1</v>
      </c>
      <c r="E622" t="s">
        <v>9</v>
      </c>
      <c r="F622" t="s">
        <v>11</v>
      </c>
      <c r="G622" s="2">
        <v>8604.4836500000001</v>
      </c>
      <c r="H622" t="str" cm="1">
        <f t="array" ref="H622">_xlfn.IFS(A622&lt;=30, "Youth", A622&lt;=50, "Adult", A622&gt;50, "Older")</f>
        <v>Adult</v>
      </c>
      <c r="I622" t="str" cm="1">
        <f t="array" ref="I622">_xlfn.IFS(A622&lt;=25,"18-25",A622&lt;=35,"26-35",A622&lt;=45,"36-45",A622&lt;=60,"46-60",A622&gt;60,"60+")</f>
        <v>36-45</v>
      </c>
      <c r="J622" t="str" cm="1">
        <f t="array" ref="J622">_xlfn.IFS(C622&lt;18.5,"Underweight",C622&lt;25,"Normal",C622&lt;30,"Overweight",C622&gt;=30,"Obese")</f>
        <v>Overweight</v>
      </c>
      <c r="K622" t="str" cm="1">
        <f t="array" ref="K622">_xlfn.IFS(G622&lt;10000, "Low", G622&lt;=25000, "Medium", G622&gt;25000, "High")</f>
        <v>Low</v>
      </c>
    </row>
    <row r="623" spans="1:11" x14ac:dyDescent="0.3">
      <c r="A623">
        <v>37</v>
      </c>
      <c r="B623" s="1" t="s">
        <v>7</v>
      </c>
      <c r="C623">
        <v>29.9</v>
      </c>
      <c r="D623">
        <v>1</v>
      </c>
      <c r="E623" t="s">
        <v>10</v>
      </c>
      <c r="F623" t="s">
        <v>11</v>
      </c>
      <c r="G623" s="2">
        <v>8605.3615000000009</v>
      </c>
      <c r="H623" t="str" cm="1">
        <f t="array" ref="H623">_xlfn.IFS(A623&lt;=30, "Youth", A623&lt;=50, "Adult", A623&gt;50, "Older")</f>
        <v>Adult</v>
      </c>
      <c r="I623" t="str" cm="1">
        <f t="array" ref="I623">_xlfn.IFS(A623&lt;=25,"18-25",A623&lt;=35,"26-35",A623&lt;=45,"36-45",A623&lt;=60,"46-60",A623&gt;60,"60+")</f>
        <v>36-45</v>
      </c>
      <c r="J623" t="str" cm="1">
        <f t="array" ref="J623">_xlfn.IFS(C623&lt;18.5,"Underweight",C623&lt;25,"Normal",C623&lt;30,"Overweight",C623&gt;=30,"Obese")</f>
        <v>Overweight</v>
      </c>
      <c r="K623" t="str" cm="1">
        <f t="array" ref="K623">_xlfn.IFS(G623&lt;10000, "Low", G623&lt;=25000, "Medium", G623&gt;25000, "High")</f>
        <v>Low</v>
      </c>
    </row>
    <row r="624" spans="1:11" x14ac:dyDescent="0.3">
      <c r="A624">
        <v>37</v>
      </c>
      <c r="B624" s="1" t="s">
        <v>8</v>
      </c>
      <c r="C624">
        <v>29.92</v>
      </c>
      <c r="D624">
        <v>1</v>
      </c>
      <c r="E624" t="s">
        <v>9</v>
      </c>
      <c r="F624" t="s">
        <v>14</v>
      </c>
      <c r="G624" s="2">
        <v>8606.2173999999995</v>
      </c>
      <c r="H624" t="str" cm="1">
        <f t="array" ref="H624">_xlfn.IFS(A624&lt;=30, "Youth", A624&lt;=50, "Adult", A624&gt;50, "Older")</f>
        <v>Adult</v>
      </c>
      <c r="I624" t="str" cm="1">
        <f t="array" ref="I624">_xlfn.IFS(A624&lt;=25,"18-25",A624&lt;=35,"26-35",A624&lt;=45,"36-45",A624&lt;=60,"46-60",A624&gt;60,"60+")</f>
        <v>36-45</v>
      </c>
      <c r="J624" t="str" cm="1">
        <f t="array" ref="J624">_xlfn.IFS(C624&lt;18.5,"Underweight",C624&lt;25,"Normal",C624&lt;30,"Overweight",C624&gt;=30,"Obese")</f>
        <v>Overweight</v>
      </c>
      <c r="K624" t="str" cm="1">
        <f t="array" ref="K624">_xlfn.IFS(G624&lt;10000, "Low", G624&lt;=25000, "Medium", G624&gt;25000, "High")</f>
        <v>Low</v>
      </c>
    </row>
    <row r="625" spans="1:11" x14ac:dyDescent="0.3">
      <c r="A625">
        <v>38</v>
      </c>
      <c r="B625" s="1" t="s">
        <v>8</v>
      </c>
      <c r="C625">
        <v>29.92</v>
      </c>
      <c r="D625">
        <v>1</v>
      </c>
      <c r="E625" t="s">
        <v>10</v>
      </c>
      <c r="F625" t="s">
        <v>13</v>
      </c>
      <c r="G625" s="2">
        <v>8615.2999999999993</v>
      </c>
      <c r="H625" t="str" cm="1">
        <f t="array" ref="H625">_xlfn.IFS(A625&lt;=30, "Youth", A625&lt;=50, "Adult", A625&gt;50, "Older")</f>
        <v>Adult</v>
      </c>
      <c r="I625" t="str" cm="1">
        <f t="array" ref="I625">_xlfn.IFS(A625&lt;=25,"18-25",A625&lt;=35,"26-35",A625&lt;=45,"36-45",A625&lt;=60,"46-60",A625&gt;60,"60+")</f>
        <v>36-45</v>
      </c>
      <c r="J625" t="str" cm="1">
        <f t="array" ref="J625">_xlfn.IFS(C625&lt;18.5,"Underweight",C625&lt;25,"Normal",C625&lt;30,"Overweight",C625&gt;=30,"Obese")</f>
        <v>Overweight</v>
      </c>
      <c r="K625" t="str" cm="1">
        <f t="array" ref="K625">_xlfn.IFS(G625&lt;10000, "Low", G625&lt;=25000, "Medium", G625&gt;25000, "High")</f>
        <v>Low</v>
      </c>
    </row>
    <row r="626" spans="1:11" x14ac:dyDescent="0.3">
      <c r="A626">
        <v>38</v>
      </c>
      <c r="B626" s="1" t="s">
        <v>7</v>
      </c>
      <c r="C626">
        <v>29.92</v>
      </c>
      <c r="D626">
        <v>1</v>
      </c>
      <c r="E626" t="s">
        <v>10</v>
      </c>
      <c r="F626" t="s">
        <v>13</v>
      </c>
      <c r="G626" s="2">
        <v>8627.5411000000004</v>
      </c>
      <c r="H626" t="str" cm="1">
        <f t="array" ref="H626">_xlfn.IFS(A626&lt;=30, "Youth", A626&lt;=50, "Adult", A626&gt;50, "Older")</f>
        <v>Adult</v>
      </c>
      <c r="I626" t="str" cm="1">
        <f t="array" ref="I626">_xlfn.IFS(A626&lt;=25,"18-25",A626&lt;=35,"26-35",A626&lt;=45,"36-45",A626&lt;=60,"46-60",A626&gt;60,"60+")</f>
        <v>36-45</v>
      </c>
      <c r="J626" t="str" cm="1">
        <f t="array" ref="J626">_xlfn.IFS(C626&lt;18.5,"Underweight",C626&lt;25,"Normal",C626&lt;30,"Overweight",C626&gt;=30,"Obese")</f>
        <v>Overweight</v>
      </c>
      <c r="K626" t="str" cm="1">
        <f t="array" ref="K626">_xlfn.IFS(G626&lt;10000, "Low", G626&lt;=25000, "Medium", G626&gt;25000, "High")</f>
        <v>Low</v>
      </c>
    </row>
    <row r="627" spans="1:11" x14ac:dyDescent="0.3">
      <c r="A627">
        <v>38</v>
      </c>
      <c r="B627" s="1" t="s">
        <v>8</v>
      </c>
      <c r="C627">
        <v>29.92</v>
      </c>
      <c r="D627">
        <v>1</v>
      </c>
      <c r="E627" t="s">
        <v>10</v>
      </c>
      <c r="F627" t="s">
        <v>14</v>
      </c>
      <c r="G627" s="2">
        <v>8671.1912499999999</v>
      </c>
      <c r="H627" t="str" cm="1">
        <f t="array" ref="H627">_xlfn.IFS(A627&lt;=30, "Youth", A627&lt;=50, "Adult", A627&gt;50, "Older")</f>
        <v>Adult</v>
      </c>
      <c r="I627" t="str" cm="1">
        <f t="array" ref="I627">_xlfn.IFS(A627&lt;=25,"18-25",A627&lt;=35,"26-35",A627&lt;=45,"36-45",A627&lt;=60,"46-60",A627&gt;60,"60+")</f>
        <v>36-45</v>
      </c>
      <c r="J627" t="str" cm="1">
        <f t="array" ref="J627">_xlfn.IFS(C627&lt;18.5,"Underweight",C627&lt;25,"Normal",C627&lt;30,"Overweight",C627&gt;=30,"Obese")</f>
        <v>Overweight</v>
      </c>
      <c r="K627" t="str" cm="1">
        <f t="array" ref="K627">_xlfn.IFS(G627&lt;10000, "Low", G627&lt;=25000, "Medium", G627&gt;25000, "High")</f>
        <v>Low</v>
      </c>
    </row>
    <row r="628" spans="1:11" x14ac:dyDescent="0.3">
      <c r="A628">
        <v>38</v>
      </c>
      <c r="B628" s="1" t="s">
        <v>8</v>
      </c>
      <c r="C628">
        <v>29.92</v>
      </c>
      <c r="D628">
        <v>1</v>
      </c>
      <c r="E628" t="s">
        <v>10</v>
      </c>
      <c r="F628" t="s">
        <v>12</v>
      </c>
      <c r="G628" s="2">
        <v>8688.8588500000005</v>
      </c>
      <c r="H628" t="str" cm="1">
        <f t="array" ref="H628">_xlfn.IFS(A628&lt;=30, "Youth", A628&lt;=50, "Adult", A628&gt;50, "Older")</f>
        <v>Adult</v>
      </c>
      <c r="I628" t="str" cm="1">
        <f t="array" ref="I628">_xlfn.IFS(A628&lt;=25,"18-25",A628&lt;=35,"26-35",A628&lt;=45,"36-45",A628&lt;=60,"46-60",A628&gt;60,"60+")</f>
        <v>36-45</v>
      </c>
      <c r="J628" t="str" cm="1">
        <f t="array" ref="J628">_xlfn.IFS(C628&lt;18.5,"Underweight",C628&lt;25,"Normal",C628&lt;30,"Overweight",C628&gt;=30,"Obese")</f>
        <v>Overweight</v>
      </c>
      <c r="K628" t="str" cm="1">
        <f t="array" ref="K628">_xlfn.IFS(G628&lt;10000, "Low", G628&lt;=25000, "Medium", G628&gt;25000, "High")</f>
        <v>Low</v>
      </c>
    </row>
    <row r="629" spans="1:11" x14ac:dyDescent="0.3">
      <c r="A629">
        <v>38</v>
      </c>
      <c r="B629" s="1" t="s">
        <v>8</v>
      </c>
      <c r="C629">
        <v>29.92</v>
      </c>
      <c r="D629">
        <v>1</v>
      </c>
      <c r="E629" t="s">
        <v>10</v>
      </c>
      <c r="F629" t="s">
        <v>11</v>
      </c>
      <c r="G629" s="2">
        <v>8703.4560000000001</v>
      </c>
      <c r="H629" t="str" cm="1">
        <f t="array" ref="H629">_xlfn.IFS(A629&lt;=30, "Youth", A629&lt;=50, "Adult", A629&gt;50, "Older")</f>
        <v>Adult</v>
      </c>
      <c r="I629" t="str" cm="1">
        <f t="array" ref="I629">_xlfn.IFS(A629&lt;=25,"18-25",A629&lt;=35,"26-35",A629&lt;=45,"36-45",A629&lt;=60,"46-60",A629&gt;60,"60+")</f>
        <v>36-45</v>
      </c>
      <c r="J629" t="str" cm="1">
        <f t="array" ref="J629">_xlfn.IFS(C629&lt;18.5,"Underweight",C629&lt;25,"Normal",C629&lt;30,"Overweight",C629&gt;=30,"Obese")</f>
        <v>Overweight</v>
      </c>
      <c r="K629" t="str" cm="1">
        <f t="array" ref="K629">_xlfn.IFS(G629&lt;10000, "Low", G629&lt;=25000, "Medium", G629&gt;25000, "High")</f>
        <v>Low</v>
      </c>
    </row>
    <row r="630" spans="1:11" x14ac:dyDescent="0.3">
      <c r="A630">
        <v>38</v>
      </c>
      <c r="B630" s="1" t="s">
        <v>7</v>
      </c>
      <c r="C630">
        <v>29.925000000000001</v>
      </c>
      <c r="D630">
        <v>1</v>
      </c>
      <c r="E630" t="s">
        <v>9</v>
      </c>
      <c r="F630" t="s">
        <v>13</v>
      </c>
      <c r="G630" s="2">
        <v>8733.2292500000003</v>
      </c>
      <c r="H630" t="str" cm="1">
        <f t="array" ref="H630">_xlfn.IFS(A630&lt;=30, "Youth", A630&lt;=50, "Adult", A630&gt;50, "Older")</f>
        <v>Adult</v>
      </c>
      <c r="I630" t="str" cm="1">
        <f t="array" ref="I630">_xlfn.IFS(A630&lt;=25,"18-25",A630&lt;=35,"26-35",A630&lt;=45,"36-45",A630&lt;=60,"46-60",A630&gt;60,"60+")</f>
        <v>36-45</v>
      </c>
      <c r="J630" t="str" cm="1">
        <f t="array" ref="J630">_xlfn.IFS(C630&lt;18.5,"Underweight",C630&lt;25,"Normal",C630&lt;30,"Overweight",C630&gt;=30,"Obese")</f>
        <v>Overweight</v>
      </c>
      <c r="K630" t="str" cm="1">
        <f t="array" ref="K630">_xlfn.IFS(G630&lt;10000, "Low", G630&lt;=25000, "Medium", G630&gt;25000, "High")</f>
        <v>Low</v>
      </c>
    </row>
    <row r="631" spans="1:11" x14ac:dyDescent="0.3">
      <c r="A631">
        <v>38</v>
      </c>
      <c r="B631" s="1" t="s">
        <v>8</v>
      </c>
      <c r="C631">
        <v>29.925000000000001</v>
      </c>
      <c r="D631">
        <v>1</v>
      </c>
      <c r="E631" t="s">
        <v>10</v>
      </c>
      <c r="F631" t="s">
        <v>11</v>
      </c>
      <c r="G631" s="2">
        <v>8765.2489999999998</v>
      </c>
      <c r="H631" t="str" cm="1">
        <f t="array" ref="H631">_xlfn.IFS(A631&lt;=30, "Youth", A631&lt;=50, "Adult", A631&gt;50, "Older")</f>
        <v>Adult</v>
      </c>
      <c r="I631" t="str" cm="1">
        <f t="array" ref="I631">_xlfn.IFS(A631&lt;=25,"18-25",A631&lt;=35,"26-35",A631&lt;=45,"36-45",A631&lt;=60,"46-60",A631&gt;60,"60+")</f>
        <v>36-45</v>
      </c>
      <c r="J631" t="str" cm="1">
        <f t="array" ref="J631">_xlfn.IFS(C631&lt;18.5,"Underweight",C631&lt;25,"Normal",C631&lt;30,"Overweight",C631&gt;=30,"Obese")</f>
        <v>Overweight</v>
      </c>
      <c r="K631" t="str" cm="1">
        <f t="array" ref="K631">_xlfn.IFS(G631&lt;10000, "Low", G631&lt;=25000, "Medium", G631&gt;25000, "High")</f>
        <v>Low</v>
      </c>
    </row>
    <row r="632" spans="1:11" x14ac:dyDescent="0.3">
      <c r="A632">
        <v>38</v>
      </c>
      <c r="B632" s="1" t="s">
        <v>8</v>
      </c>
      <c r="C632">
        <v>29.925000000000001</v>
      </c>
      <c r="D632">
        <v>1</v>
      </c>
      <c r="E632" t="s">
        <v>10</v>
      </c>
      <c r="F632" t="s">
        <v>11</v>
      </c>
      <c r="G632" s="2">
        <v>8782.4689999999991</v>
      </c>
      <c r="H632" t="str" cm="1">
        <f t="array" ref="H632">_xlfn.IFS(A632&lt;=30, "Youth", A632&lt;=50, "Adult", A632&gt;50, "Older")</f>
        <v>Adult</v>
      </c>
      <c r="I632" t="str" cm="1">
        <f t="array" ref="I632">_xlfn.IFS(A632&lt;=25,"18-25",A632&lt;=35,"26-35",A632&lt;=45,"36-45",A632&lt;=60,"46-60",A632&gt;60,"60+")</f>
        <v>36-45</v>
      </c>
      <c r="J632" t="str" cm="1">
        <f t="array" ref="J632">_xlfn.IFS(C632&lt;18.5,"Underweight",C632&lt;25,"Normal",C632&lt;30,"Overweight",C632&gt;=30,"Obese")</f>
        <v>Overweight</v>
      </c>
      <c r="K632" t="str" cm="1">
        <f t="array" ref="K632">_xlfn.IFS(G632&lt;10000, "Low", G632&lt;=25000, "Medium", G632&gt;25000, "High")</f>
        <v>Low</v>
      </c>
    </row>
    <row r="633" spans="1:11" x14ac:dyDescent="0.3">
      <c r="A633">
        <v>38</v>
      </c>
      <c r="B633" s="1" t="s">
        <v>7</v>
      </c>
      <c r="C633">
        <v>30</v>
      </c>
      <c r="D633">
        <v>1</v>
      </c>
      <c r="E633" t="s">
        <v>10</v>
      </c>
      <c r="F633" t="s">
        <v>12</v>
      </c>
      <c r="G633" s="2">
        <v>8798.5930000000008</v>
      </c>
      <c r="H633" t="str" cm="1">
        <f t="array" ref="H633">_xlfn.IFS(A633&lt;=30, "Youth", A633&lt;=50, "Adult", A633&gt;50, "Older")</f>
        <v>Adult</v>
      </c>
      <c r="I633" t="str" cm="1">
        <f t="array" ref="I633">_xlfn.IFS(A633&lt;=25,"18-25",A633&lt;=35,"26-35",A633&lt;=45,"36-45",A633&lt;=60,"46-60",A633&gt;60,"60+")</f>
        <v>36-45</v>
      </c>
      <c r="J633" t="str" cm="1">
        <f t="array" ref="J633">_xlfn.IFS(C633&lt;18.5,"Underweight",C633&lt;25,"Normal",C633&lt;30,"Overweight",C633&gt;=30,"Obese")</f>
        <v>Obese</v>
      </c>
      <c r="K633" t="str" cm="1">
        <f t="array" ref="K633">_xlfn.IFS(G633&lt;10000, "Low", G633&lt;=25000, "Medium", G633&gt;25000, "High")</f>
        <v>Low</v>
      </c>
    </row>
    <row r="634" spans="1:11" x14ac:dyDescent="0.3">
      <c r="A634">
        <v>38</v>
      </c>
      <c r="B634" s="1" t="s">
        <v>8</v>
      </c>
      <c r="C634">
        <v>30</v>
      </c>
      <c r="D634">
        <v>1</v>
      </c>
      <c r="E634" t="s">
        <v>10</v>
      </c>
      <c r="F634" t="s">
        <v>14</v>
      </c>
      <c r="G634" s="2">
        <v>8823.2790000000005</v>
      </c>
      <c r="H634" t="str" cm="1">
        <f t="array" ref="H634">_xlfn.IFS(A634&lt;=30, "Youth", A634&lt;=50, "Adult", A634&gt;50, "Older")</f>
        <v>Adult</v>
      </c>
      <c r="I634" t="str" cm="1">
        <f t="array" ref="I634">_xlfn.IFS(A634&lt;=25,"18-25",A634&lt;=35,"26-35",A634&lt;=45,"36-45",A634&lt;=60,"46-60",A634&gt;60,"60+")</f>
        <v>36-45</v>
      </c>
      <c r="J634" t="str" cm="1">
        <f t="array" ref="J634">_xlfn.IFS(C634&lt;18.5,"Underweight",C634&lt;25,"Normal",C634&lt;30,"Overweight",C634&gt;=30,"Obese")</f>
        <v>Obese</v>
      </c>
      <c r="K634" t="str" cm="1">
        <f t="array" ref="K634">_xlfn.IFS(G634&lt;10000, "Low", G634&lt;=25000, "Medium", G634&gt;25000, "High")</f>
        <v>Low</v>
      </c>
    </row>
    <row r="635" spans="1:11" x14ac:dyDescent="0.3">
      <c r="A635">
        <v>38</v>
      </c>
      <c r="B635" s="1" t="s">
        <v>8</v>
      </c>
      <c r="C635">
        <v>30.02</v>
      </c>
      <c r="D635">
        <v>1</v>
      </c>
      <c r="E635" t="s">
        <v>10</v>
      </c>
      <c r="F635" t="s">
        <v>11</v>
      </c>
      <c r="G635" s="2">
        <v>8823.9857499999998</v>
      </c>
      <c r="H635" t="str" cm="1">
        <f t="array" ref="H635">_xlfn.IFS(A635&lt;=30, "Youth", A635&lt;=50, "Adult", A635&gt;50, "Older")</f>
        <v>Adult</v>
      </c>
      <c r="I635" t="str" cm="1">
        <f t="array" ref="I635">_xlfn.IFS(A635&lt;=25,"18-25",A635&lt;=35,"26-35",A635&lt;=45,"36-45",A635&lt;=60,"46-60",A635&gt;60,"60+")</f>
        <v>36-45</v>
      </c>
      <c r="J635" t="str" cm="1">
        <f t="array" ref="J635">_xlfn.IFS(C635&lt;18.5,"Underweight",C635&lt;25,"Normal",C635&lt;30,"Overweight",C635&gt;=30,"Obese")</f>
        <v>Obese</v>
      </c>
      <c r="K635" t="str" cm="1">
        <f t="array" ref="K635">_xlfn.IFS(G635&lt;10000, "Low", G635&lt;=25000, "Medium", G635&gt;25000, "High")</f>
        <v>Low</v>
      </c>
    </row>
    <row r="636" spans="1:11" x14ac:dyDescent="0.3">
      <c r="A636">
        <v>38</v>
      </c>
      <c r="B636" s="1" t="s">
        <v>8</v>
      </c>
      <c r="C636">
        <v>30.02</v>
      </c>
      <c r="D636">
        <v>1</v>
      </c>
      <c r="E636" t="s">
        <v>10</v>
      </c>
      <c r="F636" t="s">
        <v>14</v>
      </c>
      <c r="G636" s="2">
        <v>8825.0859999999993</v>
      </c>
      <c r="H636" t="str" cm="1">
        <f t="array" ref="H636">_xlfn.IFS(A636&lt;=30, "Youth", A636&lt;=50, "Adult", A636&gt;50, "Older")</f>
        <v>Adult</v>
      </c>
      <c r="I636" t="str" cm="1">
        <f t="array" ref="I636">_xlfn.IFS(A636&lt;=25,"18-25",A636&lt;=35,"26-35",A636&lt;=45,"36-45",A636&lt;=60,"46-60",A636&gt;60,"60+")</f>
        <v>36-45</v>
      </c>
      <c r="J636" t="str" cm="1">
        <f t="array" ref="J636">_xlfn.IFS(C636&lt;18.5,"Underweight",C636&lt;25,"Normal",C636&lt;30,"Overweight",C636&gt;=30,"Obese")</f>
        <v>Obese</v>
      </c>
      <c r="K636" t="str" cm="1">
        <f t="array" ref="K636">_xlfn.IFS(G636&lt;10000, "Low", G636&lt;=25000, "Medium", G636&gt;25000, "High")</f>
        <v>Low</v>
      </c>
    </row>
    <row r="637" spans="1:11" x14ac:dyDescent="0.3">
      <c r="A637">
        <v>38</v>
      </c>
      <c r="B637" s="1" t="s">
        <v>7</v>
      </c>
      <c r="C637">
        <v>30.02</v>
      </c>
      <c r="D637">
        <v>1</v>
      </c>
      <c r="E637" t="s">
        <v>10</v>
      </c>
      <c r="F637" t="s">
        <v>13</v>
      </c>
      <c r="G637" s="2">
        <v>8827.2098999999998</v>
      </c>
      <c r="H637" t="str" cm="1">
        <f t="array" ref="H637">_xlfn.IFS(A637&lt;=30, "Youth", A637&lt;=50, "Adult", A637&gt;50, "Older")</f>
        <v>Adult</v>
      </c>
      <c r="I637" t="str" cm="1">
        <f t="array" ref="I637">_xlfn.IFS(A637&lt;=25,"18-25",A637&lt;=35,"26-35",A637&lt;=45,"36-45",A637&lt;=60,"46-60",A637&gt;60,"60+")</f>
        <v>36-45</v>
      </c>
      <c r="J637" t="str" cm="1">
        <f t="array" ref="J637">_xlfn.IFS(C637&lt;18.5,"Underweight",C637&lt;25,"Normal",C637&lt;30,"Overweight",C637&gt;=30,"Obese")</f>
        <v>Obese</v>
      </c>
      <c r="K637" t="str" cm="1">
        <f t="array" ref="K637">_xlfn.IFS(G637&lt;10000, "Low", G637&lt;=25000, "Medium", G637&gt;25000, "High")</f>
        <v>Low</v>
      </c>
    </row>
    <row r="638" spans="1:11" x14ac:dyDescent="0.3">
      <c r="A638">
        <v>38</v>
      </c>
      <c r="B638" s="1" t="s">
        <v>7</v>
      </c>
      <c r="C638">
        <v>30.02</v>
      </c>
      <c r="D638">
        <v>1</v>
      </c>
      <c r="E638" t="s">
        <v>10</v>
      </c>
      <c r="F638" t="s">
        <v>14</v>
      </c>
      <c r="G638" s="2">
        <v>8835.2649500000007</v>
      </c>
      <c r="H638" t="str" cm="1">
        <f t="array" ref="H638">_xlfn.IFS(A638&lt;=30, "Youth", A638&lt;=50, "Adult", A638&gt;50, "Older")</f>
        <v>Adult</v>
      </c>
      <c r="I638" t="str" cm="1">
        <f t="array" ref="I638">_xlfn.IFS(A638&lt;=25,"18-25",A638&lt;=35,"26-35",A638&lt;=45,"36-45",A638&lt;=60,"46-60",A638&gt;60,"60+")</f>
        <v>36-45</v>
      </c>
      <c r="J638" t="str" cm="1">
        <f t="array" ref="J638">_xlfn.IFS(C638&lt;18.5,"Underweight",C638&lt;25,"Normal",C638&lt;30,"Overweight",C638&gt;=30,"Obese")</f>
        <v>Obese</v>
      </c>
      <c r="K638" t="str" cm="1">
        <f t="array" ref="K638">_xlfn.IFS(G638&lt;10000, "Low", G638&lt;=25000, "Medium", G638&gt;25000, "High")</f>
        <v>Low</v>
      </c>
    </row>
    <row r="639" spans="1:11" x14ac:dyDescent="0.3">
      <c r="A639">
        <v>38</v>
      </c>
      <c r="B639" s="1" t="s">
        <v>8</v>
      </c>
      <c r="C639">
        <v>30.03</v>
      </c>
      <c r="D639">
        <v>1</v>
      </c>
      <c r="E639" t="s">
        <v>9</v>
      </c>
      <c r="F639" t="s">
        <v>14</v>
      </c>
      <c r="G639" s="2">
        <v>8871.1517000000003</v>
      </c>
      <c r="H639" t="str" cm="1">
        <f t="array" ref="H639">_xlfn.IFS(A639&lt;=30, "Youth", A639&lt;=50, "Adult", A639&gt;50, "Older")</f>
        <v>Adult</v>
      </c>
      <c r="I639" t="str" cm="1">
        <f t="array" ref="I639">_xlfn.IFS(A639&lt;=25,"18-25",A639&lt;=35,"26-35",A639&lt;=45,"36-45",A639&lt;=60,"46-60",A639&gt;60,"60+")</f>
        <v>36-45</v>
      </c>
      <c r="J639" t="str" cm="1">
        <f t="array" ref="J639">_xlfn.IFS(C639&lt;18.5,"Underweight",C639&lt;25,"Normal",C639&lt;30,"Overweight",C639&gt;=30,"Obese")</f>
        <v>Obese</v>
      </c>
      <c r="K639" t="str" cm="1">
        <f t="array" ref="K639">_xlfn.IFS(G639&lt;10000, "Low", G639&lt;=25000, "Medium", G639&gt;25000, "High")</f>
        <v>Low</v>
      </c>
    </row>
    <row r="640" spans="1:11" x14ac:dyDescent="0.3">
      <c r="A640">
        <v>38</v>
      </c>
      <c r="B640" s="1" t="s">
        <v>8</v>
      </c>
      <c r="C640">
        <v>30.03</v>
      </c>
      <c r="D640">
        <v>1</v>
      </c>
      <c r="E640" t="s">
        <v>10</v>
      </c>
      <c r="F640" t="s">
        <v>12</v>
      </c>
      <c r="G640" s="2">
        <v>8891.1394999999993</v>
      </c>
      <c r="H640" t="str" cm="1">
        <f t="array" ref="H640">_xlfn.IFS(A640&lt;=30, "Youth", A640&lt;=50, "Adult", A640&gt;50, "Older")</f>
        <v>Adult</v>
      </c>
      <c r="I640" t="str" cm="1">
        <f t="array" ref="I640">_xlfn.IFS(A640&lt;=25,"18-25",A640&lt;=35,"26-35",A640&lt;=45,"36-45",A640&lt;=60,"46-60",A640&gt;60,"60+")</f>
        <v>36-45</v>
      </c>
      <c r="J640" t="str" cm="1">
        <f t="array" ref="J640">_xlfn.IFS(C640&lt;18.5,"Underweight",C640&lt;25,"Normal",C640&lt;30,"Overweight",C640&gt;=30,"Obese")</f>
        <v>Obese</v>
      </c>
      <c r="K640" t="str" cm="1">
        <f t="array" ref="K640">_xlfn.IFS(G640&lt;10000, "Low", G640&lt;=25000, "Medium", G640&gt;25000, "High")</f>
        <v>Low</v>
      </c>
    </row>
    <row r="641" spans="1:11" x14ac:dyDescent="0.3">
      <c r="A641">
        <v>38</v>
      </c>
      <c r="B641" s="1" t="s">
        <v>8</v>
      </c>
      <c r="C641">
        <v>30.03</v>
      </c>
      <c r="D641">
        <v>1</v>
      </c>
      <c r="E641" t="s">
        <v>10</v>
      </c>
      <c r="F641" t="s">
        <v>11</v>
      </c>
      <c r="G641" s="2">
        <v>8930.9345499999999</v>
      </c>
      <c r="H641" t="str" cm="1">
        <f t="array" ref="H641">_xlfn.IFS(A641&lt;=30, "Youth", A641&lt;=50, "Adult", A641&gt;50, "Older")</f>
        <v>Adult</v>
      </c>
      <c r="I641" t="str" cm="1">
        <f t="array" ref="I641">_xlfn.IFS(A641&lt;=25,"18-25",A641&lt;=35,"26-35",A641&lt;=45,"36-45",A641&lt;=60,"46-60",A641&gt;60,"60+")</f>
        <v>36-45</v>
      </c>
      <c r="J641" t="str" cm="1">
        <f t="array" ref="J641">_xlfn.IFS(C641&lt;18.5,"Underweight",C641&lt;25,"Normal",C641&lt;30,"Overweight",C641&gt;=30,"Obese")</f>
        <v>Obese</v>
      </c>
      <c r="K641" t="str" cm="1">
        <f t="array" ref="K641">_xlfn.IFS(G641&lt;10000, "Low", G641&lt;=25000, "Medium", G641&gt;25000, "High")</f>
        <v>Low</v>
      </c>
    </row>
    <row r="642" spans="1:11" x14ac:dyDescent="0.3">
      <c r="A642">
        <v>38</v>
      </c>
      <c r="B642" s="1" t="s">
        <v>8</v>
      </c>
      <c r="C642">
        <v>30.1</v>
      </c>
      <c r="D642">
        <v>1</v>
      </c>
      <c r="E642" t="s">
        <v>9</v>
      </c>
      <c r="F642" t="s">
        <v>13</v>
      </c>
      <c r="G642" s="2">
        <v>8932.0840000000007</v>
      </c>
      <c r="H642" t="str" cm="1">
        <f t="array" ref="H642">_xlfn.IFS(A642&lt;=30, "Youth", A642&lt;=50, "Adult", A642&gt;50, "Older")</f>
        <v>Adult</v>
      </c>
      <c r="I642" t="str" cm="1">
        <f t="array" ref="I642">_xlfn.IFS(A642&lt;=25,"18-25",A642&lt;=35,"26-35",A642&lt;=45,"36-45",A642&lt;=60,"46-60",A642&gt;60,"60+")</f>
        <v>36-45</v>
      </c>
      <c r="J642" t="str" cm="1">
        <f t="array" ref="J642">_xlfn.IFS(C642&lt;18.5,"Underweight",C642&lt;25,"Normal",C642&lt;30,"Overweight",C642&gt;=30,"Obese")</f>
        <v>Obese</v>
      </c>
      <c r="K642" t="str" cm="1">
        <f t="array" ref="K642">_xlfn.IFS(G642&lt;10000, "Low", G642&lt;=25000, "Medium", G642&gt;25000, "High")</f>
        <v>Low</v>
      </c>
    </row>
    <row r="643" spans="1:11" x14ac:dyDescent="0.3">
      <c r="A643">
        <v>38</v>
      </c>
      <c r="B643" s="1" t="s">
        <v>8</v>
      </c>
      <c r="C643">
        <v>30.1</v>
      </c>
      <c r="D643">
        <v>1</v>
      </c>
      <c r="E643" t="s">
        <v>10</v>
      </c>
      <c r="F643" t="s">
        <v>14</v>
      </c>
      <c r="G643" s="2">
        <v>8944.1151000000009</v>
      </c>
      <c r="H643" t="str" cm="1">
        <f t="array" ref="H643">_xlfn.IFS(A643&lt;=30, "Youth", A643&lt;=50, "Adult", A643&gt;50, "Older")</f>
        <v>Adult</v>
      </c>
      <c r="I643" t="str" cm="1">
        <f t="array" ref="I643">_xlfn.IFS(A643&lt;=25,"18-25",A643&lt;=35,"26-35",A643&lt;=45,"36-45",A643&lt;=60,"46-60",A643&gt;60,"60+")</f>
        <v>36-45</v>
      </c>
      <c r="J643" t="str" cm="1">
        <f t="array" ref="J643">_xlfn.IFS(C643&lt;18.5,"Underweight",C643&lt;25,"Normal",C643&lt;30,"Overweight",C643&gt;=30,"Obese")</f>
        <v>Obese</v>
      </c>
      <c r="K643" t="str" cm="1">
        <f t="array" ref="K643">_xlfn.IFS(G643&lt;10000, "Low", G643&lt;=25000, "Medium", G643&gt;25000, "High")</f>
        <v>Low</v>
      </c>
    </row>
    <row r="644" spans="1:11" x14ac:dyDescent="0.3">
      <c r="A644">
        <v>38</v>
      </c>
      <c r="B644" s="1" t="s">
        <v>7</v>
      </c>
      <c r="C644">
        <v>30.114999999999998</v>
      </c>
      <c r="D644">
        <v>1</v>
      </c>
      <c r="E644" t="s">
        <v>10</v>
      </c>
      <c r="F644" t="s">
        <v>13</v>
      </c>
      <c r="G644" s="2">
        <v>8964.0605500000001</v>
      </c>
      <c r="H644" t="str" cm="1">
        <f t="array" ref="H644">_xlfn.IFS(A644&lt;=30, "Youth", A644&lt;=50, "Adult", A644&gt;50, "Older")</f>
        <v>Adult</v>
      </c>
      <c r="I644" t="str" cm="1">
        <f t="array" ref="I644">_xlfn.IFS(A644&lt;=25,"18-25",A644&lt;=35,"26-35",A644&lt;=45,"36-45",A644&lt;=60,"46-60",A644&gt;60,"60+")</f>
        <v>36-45</v>
      </c>
      <c r="J644" t="str" cm="1">
        <f t="array" ref="J644">_xlfn.IFS(C644&lt;18.5,"Underweight",C644&lt;25,"Normal",C644&lt;30,"Overweight",C644&gt;=30,"Obese")</f>
        <v>Obese</v>
      </c>
      <c r="K644" t="str" cm="1">
        <f t="array" ref="K644">_xlfn.IFS(G644&lt;10000, "Low", G644&lt;=25000, "Medium", G644&gt;25000, "High")</f>
        <v>Low</v>
      </c>
    </row>
    <row r="645" spans="1:11" x14ac:dyDescent="0.3">
      <c r="A645">
        <v>38</v>
      </c>
      <c r="B645" s="1" t="s">
        <v>8</v>
      </c>
      <c r="C645">
        <v>30.114999999999998</v>
      </c>
      <c r="D645">
        <v>1</v>
      </c>
      <c r="E645" t="s">
        <v>10</v>
      </c>
      <c r="F645" t="s">
        <v>12</v>
      </c>
      <c r="G645" s="2">
        <v>8965.7957499999993</v>
      </c>
      <c r="H645" t="str" cm="1">
        <f t="array" ref="H645">_xlfn.IFS(A645&lt;=30, "Youth", A645&lt;=50, "Adult", A645&gt;50, "Older")</f>
        <v>Adult</v>
      </c>
      <c r="I645" t="str" cm="1">
        <f t="array" ref="I645">_xlfn.IFS(A645&lt;=25,"18-25",A645&lt;=35,"26-35",A645&lt;=45,"36-45",A645&lt;=60,"46-60",A645&gt;60,"60+")</f>
        <v>36-45</v>
      </c>
      <c r="J645" t="str" cm="1">
        <f t="array" ref="J645">_xlfn.IFS(C645&lt;18.5,"Underweight",C645&lt;25,"Normal",C645&lt;30,"Overweight",C645&gt;=30,"Obese")</f>
        <v>Obese</v>
      </c>
      <c r="K645" t="str" cm="1">
        <f t="array" ref="K645">_xlfn.IFS(G645&lt;10000, "Low", G645&lt;=25000, "Medium", G645&gt;25000, "High")</f>
        <v>Low</v>
      </c>
    </row>
    <row r="646" spans="1:11" x14ac:dyDescent="0.3">
      <c r="A646">
        <v>38</v>
      </c>
      <c r="B646" s="1" t="s">
        <v>8</v>
      </c>
      <c r="C646">
        <v>30.114999999999998</v>
      </c>
      <c r="D646">
        <v>1</v>
      </c>
      <c r="E646" t="s">
        <v>10</v>
      </c>
      <c r="F646" t="s">
        <v>14</v>
      </c>
      <c r="G646" s="2">
        <v>8968.33</v>
      </c>
      <c r="H646" t="str" cm="1">
        <f t="array" ref="H646">_xlfn.IFS(A646&lt;=30, "Youth", A646&lt;=50, "Adult", A646&gt;50, "Older")</f>
        <v>Adult</v>
      </c>
      <c r="I646" t="str" cm="1">
        <f t="array" ref="I646">_xlfn.IFS(A646&lt;=25,"18-25",A646&lt;=35,"26-35",A646&lt;=45,"36-45",A646&lt;=60,"46-60",A646&gt;60,"60+")</f>
        <v>36-45</v>
      </c>
      <c r="J646" t="str" cm="1">
        <f t="array" ref="J646">_xlfn.IFS(C646&lt;18.5,"Underweight",C646&lt;25,"Normal",C646&lt;30,"Overweight",C646&gt;=30,"Obese")</f>
        <v>Obese</v>
      </c>
      <c r="K646" t="str" cm="1">
        <f t="array" ref="K646">_xlfn.IFS(G646&lt;10000, "Low", G646&lt;=25000, "Medium", G646&gt;25000, "High")</f>
        <v>Low</v>
      </c>
    </row>
    <row r="647" spans="1:11" x14ac:dyDescent="0.3">
      <c r="A647">
        <v>38</v>
      </c>
      <c r="B647" s="1" t="s">
        <v>8</v>
      </c>
      <c r="C647">
        <v>30.114999999999998</v>
      </c>
      <c r="D647">
        <v>1</v>
      </c>
      <c r="E647" t="s">
        <v>10</v>
      </c>
      <c r="F647" t="s">
        <v>13</v>
      </c>
      <c r="G647" s="2">
        <v>8978.1851000000006</v>
      </c>
      <c r="H647" t="str" cm="1">
        <f t="array" ref="H647">_xlfn.IFS(A647&lt;=30, "Youth", A647&lt;=50, "Adult", A647&gt;50, "Older")</f>
        <v>Adult</v>
      </c>
      <c r="I647" t="str" cm="1">
        <f t="array" ref="I647">_xlfn.IFS(A647&lt;=25,"18-25",A647&lt;=35,"26-35",A647&lt;=45,"36-45",A647&lt;=60,"46-60",A647&gt;60,"60+")</f>
        <v>36-45</v>
      </c>
      <c r="J647" t="str" cm="1">
        <f t="array" ref="J647">_xlfn.IFS(C647&lt;18.5,"Underweight",C647&lt;25,"Normal",C647&lt;30,"Overweight",C647&gt;=30,"Obese")</f>
        <v>Obese</v>
      </c>
      <c r="K647" t="str" cm="1">
        <f t="array" ref="K647">_xlfn.IFS(G647&lt;10000, "Low", G647&lt;=25000, "Medium", G647&gt;25000, "High")</f>
        <v>Low</v>
      </c>
    </row>
    <row r="648" spans="1:11" x14ac:dyDescent="0.3">
      <c r="A648">
        <v>38</v>
      </c>
      <c r="B648" s="1" t="s">
        <v>7</v>
      </c>
      <c r="C648">
        <v>30.114999999999998</v>
      </c>
      <c r="D648">
        <v>1</v>
      </c>
      <c r="E648" t="s">
        <v>10</v>
      </c>
      <c r="F648" t="s">
        <v>14</v>
      </c>
      <c r="G648" s="2">
        <v>8988.1587500000005</v>
      </c>
      <c r="H648" t="str" cm="1">
        <f t="array" ref="H648">_xlfn.IFS(A648&lt;=30, "Youth", A648&lt;=50, "Adult", A648&gt;50, "Older")</f>
        <v>Adult</v>
      </c>
      <c r="I648" t="str" cm="1">
        <f t="array" ref="I648">_xlfn.IFS(A648&lt;=25,"18-25",A648&lt;=35,"26-35",A648&lt;=45,"36-45",A648&lt;=60,"46-60",A648&gt;60,"60+")</f>
        <v>36-45</v>
      </c>
      <c r="J648" t="str" cm="1">
        <f t="array" ref="J648">_xlfn.IFS(C648&lt;18.5,"Underweight",C648&lt;25,"Normal",C648&lt;30,"Overweight",C648&gt;=30,"Obese")</f>
        <v>Obese</v>
      </c>
      <c r="K648" t="str" cm="1">
        <f t="array" ref="K648">_xlfn.IFS(G648&lt;10000, "Low", G648&lt;=25000, "Medium", G648&gt;25000, "High")</f>
        <v>Low</v>
      </c>
    </row>
    <row r="649" spans="1:11" x14ac:dyDescent="0.3">
      <c r="A649">
        <v>38</v>
      </c>
      <c r="B649" s="1" t="s">
        <v>8</v>
      </c>
      <c r="C649">
        <v>30.114999999999998</v>
      </c>
      <c r="D649">
        <v>1</v>
      </c>
      <c r="E649" t="s">
        <v>10</v>
      </c>
      <c r="F649" t="s">
        <v>14</v>
      </c>
      <c r="G649" s="2">
        <v>9048.0272999999997</v>
      </c>
      <c r="H649" t="str" cm="1">
        <f t="array" ref="H649">_xlfn.IFS(A649&lt;=30, "Youth", A649&lt;=50, "Adult", A649&gt;50, "Older")</f>
        <v>Adult</v>
      </c>
      <c r="I649" t="str" cm="1">
        <f t="array" ref="I649">_xlfn.IFS(A649&lt;=25,"18-25",A649&lt;=35,"26-35",A649&lt;=45,"36-45",A649&lt;=60,"46-60",A649&gt;60,"60+")</f>
        <v>36-45</v>
      </c>
      <c r="J649" t="str" cm="1">
        <f t="array" ref="J649">_xlfn.IFS(C649&lt;18.5,"Underweight",C649&lt;25,"Normal",C649&lt;30,"Overweight",C649&gt;=30,"Obese")</f>
        <v>Obese</v>
      </c>
      <c r="K649" t="str" cm="1">
        <f t="array" ref="K649">_xlfn.IFS(G649&lt;10000, "Low", G649&lt;=25000, "Medium", G649&gt;25000, "High")</f>
        <v>Low</v>
      </c>
    </row>
    <row r="650" spans="1:11" x14ac:dyDescent="0.3">
      <c r="A650">
        <v>39</v>
      </c>
      <c r="B650" s="1" t="s">
        <v>7</v>
      </c>
      <c r="C650">
        <v>30.14</v>
      </c>
      <c r="D650">
        <v>1</v>
      </c>
      <c r="E650" t="s">
        <v>10</v>
      </c>
      <c r="F650" t="s">
        <v>14</v>
      </c>
      <c r="G650" s="2">
        <v>9058.7302999999993</v>
      </c>
      <c r="H650" t="str" cm="1">
        <f t="array" ref="H650">_xlfn.IFS(A650&lt;=30, "Youth", A650&lt;=50, "Adult", A650&gt;50, "Older")</f>
        <v>Adult</v>
      </c>
      <c r="I650" t="str" cm="1">
        <f t="array" ref="I650">_xlfn.IFS(A650&lt;=25,"18-25",A650&lt;=35,"26-35",A650&lt;=45,"36-45",A650&lt;=60,"46-60",A650&gt;60,"60+")</f>
        <v>36-45</v>
      </c>
      <c r="J650" t="str" cm="1">
        <f t="array" ref="J650">_xlfn.IFS(C650&lt;18.5,"Underweight",C650&lt;25,"Normal",C650&lt;30,"Overweight",C650&gt;=30,"Obese")</f>
        <v>Obese</v>
      </c>
      <c r="K650" t="str" cm="1">
        <f t="array" ref="K650">_xlfn.IFS(G650&lt;10000, "Low", G650&lt;=25000, "Medium", G650&gt;25000, "High")</f>
        <v>Low</v>
      </c>
    </row>
    <row r="651" spans="1:11" x14ac:dyDescent="0.3">
      <c r="A651">
        <v>39</v>
      </c>
      <c r="B651" s="1" t="s">
        <v>7</v>
      </c>
      <c r="C651">
        <v>30.14</v>
      </c>
      <c r="D651">
        <v>1</v>
      </c>
      <c r="E651" t="s">
        <v>10</v>
      </c>
      <c r="F651" t="s">
        <v>12</v>
      </c>
      <c r="G651" s="2">
        <v>9095.0682500000003</v>
      </c>
      <c r="H651" t="str" cm="1">
        <f t="array" ref="H651">_xlfn.IFS(A651&lt;=30, "Youth", A651&lt;=50, "Adult", A651&gt;50, "Older")</f>
        <v>Adult</v>
      </c>
      <c r="I651" t="str" cm="1">
        <f t="array" ref="I651">_xlfn.IFS(A651&lt;=25,"18-25",A651&lt;=35,"26-35",A651&lt;=45,"36-45",A651&lt;=60,"46-60",A651&gt;60,"60+")</f>
        <v>36-45</v>
      </c>
      <c r="J651" t="str" cm="1">
        <f t="array" ref="J651">_xlfn.IFS(C651&lt;18.5,"Underweight",C651&lt;25,"Normal",C651&lt;30,"Overweight",C651&gt;=30,"Obese")</f>
        <v>Obese</v>
      </c>
      <c r="K651" t="str" cm="1">
        <f t="array" ref="K651">_xlfn.IFS(G651&lt;10000, "Low", G651&lt;=25000, "Medium", G651&gt;25000, "High")</f>
        <v>Low</v>
      </c>
    </row>
    <row r="652" spans="1:11" x14ac:dyDescent="0.3">
      <c r="A652">
        <v>39</v>
      </c>
      <c r="B652" s="1" t="s">
        <v>7</v>
      </c>
      <c r="C652">
        <v>30.2</v>
      </c>
      <c r="D652">
        <v>1</v>
      </c>
      <c r="E652" t="s">
        <v>10</v>
      </c>
      <c r="F652" t="s">
        <v>12</v>
      </c>
      <c r="G652" s="2">
        <v>9101.7980000000007</v>
      </c>
      <c r="H652" t="str" cm="1">
        <f t="array" ref="H652">_xlfn.IFS(A652&lt;=30, "Youth", A652&lt;=50, "Adult", A652&gt;50, "Older")</f>
        <v>Adult</v>
      </c>
      <c r="I652" t="str" cm="1">
        <f t="array" ref="I652">_xlfn.IFS(A652&lt;=25,"18-25",A652&lt;=35,"26-35",A652&lt;=45,"36-45",A652&lt;=60,"46-60",A652&gt;60,"60+")</f>
        <v>36-45</v>
      </c>
      <c r="J652" t="str" cm="1">
        <f t="array" ref="J652">_xlfn.IFS(C652&lt;18.5,"Underweight",C652&lt;25,"Normal",C652&lt;30,"Overweight",C652&gt;=30,"Obese")</f>
        <v>Obese</v>
      </c>
      <c r="K652" t="str" cm="1">
        <f t="array" ref="K652">_xlfn.IFS(G652&lt;10000, "Low", G652&lt;=25000, "Medium", G652&gt;25000, "High")</f>
        <v>Low</v>
      </c>
    </row>
    <row r="653" spans="1:11" x14ac:dyDescent="0.3">
      <c r="A653">
        <v>39</v>
      </c>
      <c r="B653" s="1" t="s">
        <v>7</v>
      </c>
      <c r="C653">
        <v>30.2</v>
      </c>
      <c r="D653">
        <v>1</v>
      </c>
      <c r="E653" t="s">
        <v>10</v>
      </c>
      <c r="F653" t="s">
        <v>12</v>
      </c>
      <c r="G653" s="2">
        <v>9140.9509999999991</v>
      </c>
      <c r="H653" t="str" cm="1">
        <f t="array" ref="H653">_xlfn.IFS(A653&lt;=30, "Youth", A653&lt;=50, "Adult", A653&gt;50, "Older")</f>
        <v>Adult</v>
      </c>
      <c r="I653" t="str" cm="1">
        <f t="array" ref="I653">_xlfn.IFS(A653&lt;=25,"18-25",A653&lt;=35,"26-35",A653&lt;=45,"36-45",A653&lt;=60,"46-60",A653&gt;60,"60+")</f>
        <v>36-45</v>
      </c>
      <c r="J653" t="str" cm="1">
        <f t="array" ref="J653">_xlfn.IFS(C653&lt;18.5,"Underweight",C653&lt;25,"Normal",C653&lt;30,"Overweight",C653&gt;=30,"Obese")</f>
        <v>Obese</v>
      </c>
      <c r="K653" t="str" cm="1">
        <f t="array" ref="K653">_xlfn.IFS(G653&lt;10000, "Low", G653&lt;=25000, "Medium", G653&gt;25000, "High")</f>
        <v>Low</v>
      </c>
    </row>
    <row r="654" spans="1:11" x14ac:dyDescent="0.3">
      <c r="A654">
        <v>39</v>
      </c>
      <c r="B654" s="1" t="s">
        <v>7</v>
      </c>
      <c r="C654">
        <v>30.2</v>
      </c>
      <c r="D654">
        <v>1</v>
      </c>
      <c r="E654" t="s">
        <v>10</v>
      </c>
      <c r="F654" t="s">
        <v>12</v>
      </c>
      <c r="G654" s="2">
        <v>9144.5650000000005</v>
      </c>
      <c r="H654" t="str" cm="1">
        <f t="array" ref="H654">_xlfn.IFS(A654&lt;=30, "Youth", A654&lt;=50, "Adult", A654&gt;50, "Older")</f>
        <v>Adult</v>
      </c>
      <c r="I654" t="str" cm="1">
        <f t="array" ref="I654">_xlfn.IFS(A654&lt;=25,"18-25",A654&lt;=35,"26-35",A654&lt;=45,"36-45",A654&lt;=60,"46-60",A654&gt;60,"60+")</f>
        <v>36-45</v>
      </c>
      <c r="J654" t="str" cm="1">
        <f t="array" ref="J654">_xlfn.IFS(C654&lt;18.5,"Underweight",C654&lt;25,"Normal",C654&lt;30,"Overweight",C654&gt;=30,"Obese")</f>
        <v>Obese</v>
      </c>
      <c r="K654" t="str" cm="1">
        <f t="array" ref="K654">_xlfn.IFS(G654&lt;10000, "Low", G654&lt;=25000, "Medium", G654&gt;25000, "High")</f>
        <v>Low</v>
      </c>
    </row>
    <row r="655" spans="1:11" x14ac:dyDescent="0.3">
      <c r="A655">
        <v>39</v>
      </c>
      <c r="B655" s="1" t="s">
        <v>7</v>
      </c>
      <c r="C655">
        <v>30.2</v>
      </c>
      <c r="D655">
        <v>1</v>
      </c>
      <c r="E655" t="s">
        <v>10</v>
      </c>
      <c r="F655" t="s">
        <v>12</v>
      </c>
      <c r="G655" s="2">
        <v>9174.1356500000002</v>
      </c>
      <c r="H655" t="str" cm="1">
        <f t="array" ref="H655">_xlfn.IFS(A655&lt;=30, "Youth", A655&lt;=50, "Adult", A655&gt;50, "Older")</f>
        <v>Adult</v>
      </c>
      <c r="I655" t="str" cm="1">
        <f t="array" ref="I655">_xlfn.IFS(A655&lt;=25,"18-25",A655&lt;=35,"26-35",A655&lt;=45,"36-45",A655&lt;=60,"46-60",A655&gt;60,"60+")</f>
        <v>36-45</v>
      </c>
      <c r="J655" t="str" cm="1">
        <f t="array" ref="J655">_xlfn.IFS(C655&lt;18.5,"Underweight",C655&lt;25,"Normal",C655&lt;30,"Overweight",C655&gt;=30,"Obese")</f>
        <v>Obese</v>
      </c>
      <c r="K655" t="str" cm="1">
        <f t="array" ref="K655">_xlfn.IFS(G655&lt;10000, "Low", G655&lt;=25000, "Medium", G655&gt;25000, "High")</f>
        <v>Low</v>
      </c>
    </row>
    <row r="656" spans="1:11" x14ac:dyDescent="0.3">
      <c r="A656">
        <v>39</v>
      </c>
      <c r="B656" s="1" t="s">
        <v>7</v>
      </c>
      <c r="C656">
        <v>30.2</v>
      </c>
      <c r="D656">
        <v>1</v>
      </c>
      <c r="E656" t="s">
        <v>9</v>
      </c>
      <c r="F656" t="s">
        <v>12</v>
      </c>
      <c r="G656" s="2">
        <v>9182.17</v>
      </c>
      <c r="H656" t="str" cm="1">
        <f t="array" ref="H656">_xlfn.IFS(A656&lt;=30, "Youth", A656&lt;=50, "Adult", A656&gt;50, "Older")</f>
        <v>Adult</v>
      </c>
      <c r="I656" t="str" cm="1">
        <f t="array" ref="I656">_xlfn.IFS(A656&lt;=25,"18-25",A656&lt;=35,"26-35",A656&lt;=45,"36-45",A656&lt;=60,"46-60",A656&gt;60,"60+")</f>
        <v>36-45</v>
      </c>
      <c r="J656" t="str" cm="1">
        <f t="array" ref="J656">_xlfn.IFS(C656&lt;18.5,"Underweight",C656&lt;25,"Normal",C656&lt;30,"Overweight",C656&gt;=30,"Obese")</f>
        <v>Obese</v>
      </c>
      <c r="K656" t="str" cm="1">
        <f t="array" ref="K656">_xlfn.IFS(G656&lt;10000, "Low", G656&lt;=25000, "Medium", G656&gt;25000, "High")</f>
        <v>Low</v>
      </c>
    </row>
    <row r="657" spans="1:11" x14ac:dyDescent="0.3">
      <c r="A657">
        <v>39</v>
      </c>
      <c r="B657" s="1" t="s">
        <v>7</v>
      </c>
      <c r="C657">
        <v>30.2</v>
      </c>
      <c r="D657">
        <v>1</v>
      </c>
      <c r="E657" t="s">
        <v>10</v>
      </c>
      <c r="F657" t="s">
        <v>11</v>
      </c>
      <c r="G657" s="2">
        <v>9193.8384999999998</v>
      </c>
      <c r="H657" t="str" cm="1">
        <f t="array" ref="H657">_xlfn.IFS(A657&lt;=30, "Youth", A657&lt;=50, "Adult", A657&gt;50, "Older")</f>
        <v>Adult</v>
      </c>
      <c r="I657" t="str" cm="1">
        <f t="array" ref="I657">_xlfn.IFS(A657&lt;=25,"18-25",A657&lt;=35,"26-35",A657&lt;=45,"36-45",A657&lt;=60,"46-60",A657&gt;60,"60+")</f>
        <v>36-45</v>
      </c>
      <c r="J657" t="str" cm="1">
        <f t="array" ref="J657">_xlfn.IFS(C657&lt;18.5,"Underweight",C657&lt;25,"Normal",C657&lt;30,"Overweight",C657&gt;=30,"Obese")</f>
        <v>Obese</v>
      </c>
      <c r="K657" t="str" cm="1">
        <f t="array" ref="K657">_xlfn.IFS(G657&lt;10000, "Low", G657&lt;=25000, "Medium", G657&gt;25000, "High")</f>
        <v>Low</v>
      </c>
    </row>
    <row r="658" spans="1:11" x14ac:dyDescent="0.3">
      <c r="A658">
        <v>39</v>
      </c>
      <c r="B658" s="1" t="s">
        <v>8</v>
      </c>
      <c r="C658">
        <v>30.21</v>
      </c>
      <c r="D658">
        <v>1</v>
      </c>
      <c r="E658" t="s">
        <v>10</v>
      </c>
      <c r="F658" t="s">
        <v>13</v>
      </c>
      <c r="G658" s="2">
        <v>9222.4025999999994</v>
      </c>
      <c r="H658" t="str" cm="1">
        <f t="array" ref="H658">_xlfn.IFS(A658&lt;=30, "Youth", A658&lt;=50, "Adult", A658&gt;50, "Older")</f>
        <v>Adult</v>
      </c>
      <c r="I658" t="str" cm="1">
        <f t="array" ref="I658">_xlfn.IFS(A658&lt;=25,"18-25",A658&lt;=35,"26-35",A658&lt;=45,"36-45",A658&lt;=60,"46-60",A658&gt;60,"60+")</f>
        <v>36-45</v>
      </c>
      <c r="J658" t="str" cm="1">
        <f t="array" ref="J658">_xlfn.IFS(C658&lt;18.5,"Underweight",C658&lt;25,"Normal",C658&lt;30,"Overweight",C658&gt;=30,"Obese")</f>
        <v>Obese</v>
      </c>
      <c r="K658" t="str" cm="1">
        <f t="array" ref="K658">_xlfn.IFS(G658&lt;10000, "Low", G658&lt;=25000, "Medium", G658&gt;25000, "High")</f>
        <v>Low</v>
      </c>
    </row>
    <row r="659" spans="1:11" x14ac:dyDescent="0.3">
      <c r="A659">
        <v>39</v>
      </c>
      <c r="B659" s="1" t="s">
        <v>7</v>
      </c>
      <c r="C659">
        <v>30.21</v>
      </c>
      <c r="D659">
        <v>1</v>
      </c>
      <c r="E659" t="s">
        <v>10</v>
      </c>
      <c r="F659" t="s">
        <v>14</v>
      </c>
      <c r="G659" s="2">
        <v>9225.2564000000002</v>
      </c>
      <c r="H659" t="str" cm="1">
        <f t="array" ref="H659">_xlfn.IFS(A659&lt;=30, "Youth", A659&lt;=50, "Adult", A659&gt;50, "Older")</f>
        <v>Adult</v>
      </c>
      <c r="I659" t="str" cm="1">
        <f t="array" ref="I659">_xlfn.IFS(A659&lt;=25,"18-25",A659&lt;=35,"26-35",A659&lt;=45,"36-45",A659&lt;=60,"46-60",A659&gt;60,"60+")</f>
        <v>36-45</v>
      </c>
      <c r="J659" t="str" cm="1">
        <f t="array" ref="J659">_xlfn.IFS(C659&lt;18.5,"Underweight",C659&lt;25,"Normal",C659&lt;30,"Overweight",C659&gt;=30,"Obese")</f>
        <v>Obese</v>
      </c>
      <c r="K659" t="str" cm="1">
        <f t="array" ref="K659">_xlfn.IFS(G659&lt;10000, "Low", G659&lt;=25000, "Medium", G659&gt;25000, "High")</f>
        <v>Low</v>
      </c>
    </row>
    <row r="660" spans="1:11" x14ac:dyDescent="0.3">
      <c r="A660">
        <v>39</v>
      </c>
      <c r="B660" s="1" t="s">
        <v>7</v>
      </c>
      <c r="C660">
        <v>30.21</v>
      </c>
      <c r="D660">
        <v>1</v>
      </c>
      <c r="E660" t="s">
        <v>10</v>
      </c>
      <c r="F660" t="s">
        <v>14</v>
      </c>
      <c r="G660" s="2">
        <v>9249.4951999999994</v>
      </c>
      <c r="H660" t="str" cm="1">
        <f t="array" ref="H660">_xlfn.IFS(A660&lt;=30, "Youth", A660&lt;=50, "Adult", A660&gt;50, "Older")</f>
        <v>Adult</v>
      </c>
      <c r="I660" t="str" cm="1">
        <f t="array" ref="I660">_xlfn.IFS(A660&lt;=25,"18-25",A660&lt;=35,"26-35",A660&lt;=45,"36-45",A660&lt;=60,"46-60",A660&gt;60,"60+")</f>
        <v>36-45</v>
      </c>
      <c r="J660" t="str" cm="1">
        <f t="array" ref="J660">_xlfn.IFS(C660&lt;18.5,"Underweight",C660&lt;25,"Normal",C660&lt;30,"Overweight",C660&gt;=30,"Obese")</f>
        <v>Obese</v>
      </c>
      <c r="K660" t="str" cm="1">
        <f t="array" ref="K660">_xlfn.IFS(G660&lt;10000, "Low", G660&lt;=25000, "Medium", G660&gt;25000, "High")</f>
        <v>Low</v>
      </c>
    </row>
    <row r="661" spans="1:11" x14ac:dyDescent="0.3">
      <c r="A661">
        <v>39</v>
      </c>
      <c r="B661" s="1" t="s">
        <v>8</v>
      </c>
      <c r="C661">
        <v>30.21</v>
      </c>
      <c r="D661">
        <v>1</v>
      </c>
      <c r="E661" t="s">
        <v>10</v>
      </c>
      <c r="F661" t="s">
        <v>12</v>
      </c>
      <c r="G661" s="2">
        <v>9264.7970000000005</v>
      </c>
      <c r="H661" t="str" cm="1">
        <f t="array" ref="H661">_xlfn.IFS(A661&lt;=30, "Youth", A661&lt;=50, "Adult", A661&gt;50, "Older")</f>
        <v>Adult</v>
      </c>
      <c r="I661" t="str" cm="1">
        <f t="array" ref="I661">_xlfn.IFS(A661&lt;=25,"18-25",A661&lt;=35,"26-35",A661&lt;=45,"36-45",A661&lt;=60,"46-60",A661&gt;60,"60+")</f>
        <v>36-45</v>
      </c>
      <c r="J661" t="str" cm="1">
        <f t="array" ref="J661">_xlfn.IFS(C661&lt;18.5,"Underweight",C661&lt;25,"Normal",C661&lt;30,"Overweight",C661&gt;=30,"Obese")</f>
        <v>Obese</v>
      </c>
      <c r="K661" t="str" cm="1">
        <f t="array" ref="K661">_xlfn.IFS(G661&lt;10000, "Low", G661&lt;=25000, "Medium", G661&gt;25000, "High")</f>
        <v>Low</v>
      </c>
    </row>
    <row r="662" spans="1:11" x14ac:dyDescent="0.3">
      <c r="A662">
        <v>39</v>
      </c>
      <c r="B662" s="1" t="s">
        <v>7</v>
      </c>
      <c r="C662">
        <v>30.25</v>
      </c>
      <c r="D662">
        <v>1</v>
      </c>
      <c r="E662" t="s">
        <v>10</v>
      </c>
      <c r="F662" t="s">
        <v>12</v>
      </c>
      <c r="G662" s="2">
        <v>9282.4806000000008</v>
      </c>
      <c r="H662" t="str" cm="1">
        <f t="array" ref="H662">_xlfn.IFS(A662&lt;=30, "Youth", A662&lt;=50, "Adult", A662&gt;50, "Older")</f>
        <v>Adult</v>
      </c>
      <c r="I662" t="str" cm="1">
        <f t="array" ref="I662">_xlfn.IFS(A662&lt;=25,"18-25",A662&lt;=35,"26-35",A662&lt;=45,"36-45",A662&lt;=60,"46-60",A662&gt;60,"60+")</f>
        <v>36-45</v>
      </c>
      <c r="J662" t="str" cm="1">
        <f t="array" ref="J662">_xlfn.IFS(C662&lt;18.5,"Underweight",C662&lt;25,"Normal",C662&lt;30,"Overweight",C662&gt;=30,"Obese")</f>
        <v>Obese</v>
      </c>
      <c r="K662" t="str" cm="1">
        <f t="array" ref="K662">_xlfn.IFS(G662&lt;10000, "Low", G662&lt;=25000, "Medium", G662&gt;25000, "High")</f>
        <v>Low</v>
      </c>
    </row>
    <row r="663" spans="1:11" x14ac:dyDescent="0.3">
      <c r="A663">
        <v>39</v>
      </c>
      <c r="B663" s="1" t="s">
        <v>7</v>
      </c>
      <c r="C663">
        <v>30.25</v>
      </c>
      <c r="D663">
        <v>1</v>
      </c>
      <c r="E663" t="s">
        <v>10</v>
      </c>
      <c r="F663" t="s">
        <v>14</v>
      </c>
      <c r="G663" s="2">
        <v>9283.5619999999999</v>
      </c>
      <c r="H663" t="str" cm="1">
        <f t="array" ref="H663">_xlfn.IFS(A663&lt;=30, "Youth", A663&lt;=50, "Adult", A663&gt;50, "Older")</f>
        <v>Adult</v>
      </c>
      <c r="I663" t="str" cm="1">
        <f t="array" ref="I663">_xlfn.IFS(A663&lt;=25,"18-25",A663&lt;=35,"26-35",A663&lt;=45,"36-45",A663&lt;=60,"46-60",A663&gt;60,"60+")</f>
        <v>36-45</v>
      </c>
      <c r="J663" t="str" cm="1">
        <f t="array" ref="J663">_xlfn.IFS(C663&lt;18.5,"Underweight",C663&lt;25,"Normal",C663&lt;30,"Overweight",C663&gt;=30,"Obese")</f>
        <v>Obese</v>
      </c>
      <c r="K663" t="str" cm="1">
        <f t="array" ref="K663">_xlfn.IFS(G663&lt;10000, "Low", G663&lt;=25000, "Medium", G663&gt;25000, "High")</f>
        <v>Low</v>
      </c>
    </row>
    <row r="664" spans="1:11" x14ac:dyDescent="0.3">
      <c r="A664">
        <v>39</v>
      </c>
      <c r="B664" s="1" t="s">
        <v>8</v>
      </c>
      <c r="C664">
        <v>30.3</v>
      </c>
      <c r="D664">
        <v>1</v>
      </c>
      <c r="E664" t="s">
        <v>10</v>
      </c>
      <c r="F664" t="s">
        <v>12</v>
      </c>
      <c r="G664" s="2">
        <v>9288.0267000000003</v>
      </c>
      <c r="H664" t="str" cm="1">
        <f t="array" ref="H664">_xlfn.IFS(A664&lt;=30, "Youth", A664&lt;=50, "Adult", A664&gt;50, "Older")</f>
        <v>Adult</v>
      </c>
      <c r="I664" t="str" cm="1">
        <f t="array" ref="I664">_xlfn.IFS(A664&lt;=25,"18-25",A664&lt;=35,"26-35",A664&lt;=45,"36-45",A664&lt;=60,"46-60",A664&gt;60,"60+")</f>
        <v>36-45</v>
      </c>
      <c r="J664" t="str" cm="1">
        <f t="array" ref="J664">_xlfn.IFS(C664&lt;18.5,"Underweight",C664&lt;25,"Normal",C664&lt;30,"Overweight",C664&gt;=30,"Obese")</f>
        <v>Obese</v>
      </c>
      <c r="K664" t="str" cm="1">
        <f t="array" ref="K664">_xlfn.IFS(G664&lt;10000, "Low", G664&lt;=25000, "Medium", G664&gt;25000, "High")</f>
        <v>Low</v>
      </c>
    </row>
    <row r="665" spans="1:11" x14ac:dyDescent="0.3">
      <c r="A665">
        <v>39</v>
      </c>
      <c r="B665" s="1" t="s">
        <v>7</v>
      </c>
      <c r="C665">
        <v>30.3</v>
      </c>
      <c r="D665">
        <v>1</v>
      </c>
      <c r="E665" t="s">
        <v>9</v>
      </c>
      <c r="F665" t="s">
        <v>12</v>
      </c>
      <c r="G665" s="2">
        <v>9290.1394999999993</v>
      </c>
      <c r="H665" t="str" cm="1">
        <f t="array" ref="H665">_xlfn.IFS(A665&lt;=30, "Youth", A665&lt;=50, "Adult", A665&gt;50, "Older")</f>
        <v>Adult</v>
      </c>
      <c r="I665" t="str" cm="1">
        <f t="array" ref="I665">_xlfn.IFS(A665&lt;=25,"18-25",A665&lt;=35,"26-35",A665&lt;=45,"36-45",A665&lt;=60,"46-60",A665&gt;60,"60+")</f>
        <v>36-45</v>
      </c>
      <c r="J665" t="str" cm="1">
        <f t="array" ref="J665">_xlfn.IFS(C665&lt;18.5,"Underweight",C665&lt;25,"Normal",C665&lt;30,"Overweight",C665&gt;=30,"Obese")</f>
        <v>Obese</v>
      </c>
      <c r="K665" t="str" cm="1">
        <f t="array" ref="K665">_xlfn.IFS(G665&lt;10000, "Low", G665&lt;=25000, "Medium", G665&gt;25000, "High")</f>
        <v>Low</v>
      </c>
    </row>
    <row r="666" spans="1:11" x14ac:dyDescent="0.3">
      <c r="A666">
        <v>39</v>
      </c>
      <c r="B666" s="1" t="s">
        <v>8</v>
      </c>
      <c r="C666">
        <v>30.3</v>
      </c>
      <c r="D666">
        <v>1</v>
      </c>
      <c r="E666" t="s">
        <v>9</v>
      </c>
      <c r="F666" t="s">
        <v>12</v>
      </c>
      <c r="G666" s="2">
        <v>9301.8935500000007</v>
      </c>
      <c r="H666" t="str" cm="1">
        <f t="array" ref="H666">_xlfn.IFS(A666&lt;=30, "Youth", A666&lt;=50, "Adult", A666&gt;50, "Older")</f>
        <v>Adult</v>
      </c>
      <c r="I666" t="str" cm="1">
        <f t="array" ref="I666">_xlfn.IFS(A666&lt;=25,"18-25",A666&lt;=35,"26-35",A666&lt;=45,"36-45",A666&lt;=60,"46-60",A666&gt;60,"60+")</f>
        <v>36-45</v>
      </c>
      <c r="J666" t="str" cm="1">
        <f t="array" ref="J666">_xlfn.IFS(C666&lt;18.5,"Underweight",C666&lt;25,"Normal",C666&lt;30,"Overweight",C666&gt;=30,"Obese")</f>
        <v>Obese</v>
      </c>
      <c r="K666" t="str" cm="1">
        <f t="array" ref="K666">_xlfn.IFS(G666&lt;10000, "Low", G666&lt;=25000, "Medium", G666&gt;25000, "High")</f>
        <v>Low</v>
      </c>
    </row>
    <row r="667" spans="1:11" x14ac:dyDescent="0.3">
      <c r="A667">
        <v>39</v>
      </c>
      <c r="B667" s="1" t="s">
        <v>8</v>
      </c>
      <c r="C667">
        <v>30.305</v>
      </c>
      <c r="D667">
        <v>1</v>
      </c>
      <c r="E667" t="s">
        <v>10</v>
      </c>
      <c r="F667" t="s">
        <v>11</v>
      </c>
      <c r="G667" s="2">
        <v>9304.7019</v>
      </c>
      <c r="H667" t="str" cm="1">
        <f t="array" ref="H667">_xlfn.IFS(A667&lt;=30, "Youth", A667&lt;=50, "Adult", A667&gt;50, "Older")</f>
        <v>Adult</v>
      </c>
      <c r="I667" t="str" cm="1">
        <f t="array" ref="I667">_xlfn.IFS(A667&lt;=25,"18-25",A667&lt;=35,"26-35",A667&lt;=45,"36-45",A667&lt;=60,"46-60",A667&gt;60,"60+")</f>
        <v>36-45</v>
      </c>
      <c r="J667" t="str" cm="1">
        <f t="array" ref="J667">_xlfn.IFS(C667&lt;18.5,"Underweight",C667&lt;25,"Normal",C667&lt;30,"Overweight",C667&gt;=30,"Obese")</f>
        <v>Obese</v>
      </c>
      <c r="K667" t="str" cm="1">
        <f t="array" ref="K667">_xlfn.IFS(G667&lt;10000, "Low", G667&lt;=25000, "Medium", G667&gt;25000, "High")</f>
        <v>Low</v>
      </c>
    </row>
    <row r="668" spans="1:11" x14ac:dyDescent="0.3">
      <c r="A668">
        <v>39</v>
      </c>
      <c r="B668" s="1" t="s">
        <v>7</v>
      </c>
      <c r="C668">
        <v>30.305</v>
      </c>
      <c r="D668">
        <v>1</v>
      </c>
      <c r="E668" t="s">
        <v>9</v>
      </c>
      <c r="F668" t="s">
        <v>13</v>
      </c>
      <c r="G668" s="2">
        <v>9361.3268000000007</v>
      </c>
      <c r="H668" t="str" cm="1">
        <f t="array" ref="H668">_xlfn.IFS(A668&lt;=30, "Youth", A668&lt;=50, "Adult", A668&gt;50, "Older")</f>
        <v>Adult</v>
      </c>
      <c r="I668" t="str" cm="1">
        <f t="array" ref="I668">_xlfn.IFS(A668&lt;=25,"18-25",A668&lt;=35,"26-35",A668&lt;=45,"36-45",A668&lt;=60,"46-60",A668&gt;60,"60+")</f>
        <v>36-45</v>
      </c>
      <c r="J668" t="str" cm="1">
        <f t="array" ref="J668">_xlfn.IFS(C668&lt;18.5,"Underweight",C668&lt;25,"Normal",C668&lt;30,"Overweight",C668&gt;=30,"Obese")</f>
        <v>Obese</v>
      </c>
      <c r="K668" t="str" cm="1">
        <f t="array" ref="K668">_xlfn.IFS(G668&lt;10000, "Low", G668&lt;=25000, "Medium", G668&gt;25000, "High")</f>
        <v>Low</v>
      </c>
    </row>
    <row r="669" spans="1:11" x14ac:dyDescent="0.3">
      <c r="A669">
        <v>39</v>
      </c>
      <c r="B669" s="1" t="s">
        <v>8</v>
      </c>
      <c r="C669">
        <v>30.36</v>
      </c>
      <c r="D669">
        <v>1</v>
      </c>
      <c r="E669" t="s">
        <v>9</v>
      </c>
      <c r="F669" t="s">
        <v>14</v>
      </c>
      <c r="G669" s="2">
        <v>9377.9046999999991</v>
      </c>
      <c r="H669" t="str" cm="1">
        <f t="array" ref="H669">_xlfn.IFS(A669&lt;=30, "Youth", A669&lt;=50, "Adult", A669&gt;50, "Older")</f>
        <v>Adult</v>
      </c>
      <c r="I669" t="str" cm="1">
        <f t="array" ref="I669">_xlfn.IFS(A669&lt;=25,"18-25",A669&lt;=35,"26-35",A669&lt;=45,"36-45",A669&lt;=60,"46-60",A669&gt;60,"60+")</f>
        <v>36-45</v>
      </c>
      <c r="J669" t="str" cm="1">
        <f t="array" ref="J669">_xlfn.IFS(C669&lt;18.5,"Underweight",C669&lt;25,"Normal",C669&lt;30,"Overweight",C669&gt;=30,"Obese")</f>
        <v>Obese</v>
      </c>
      <c r="K669" t="str" cm="1">
        <f t="array" ref="K669">_xlfn.IFS(G669&lt;10000, "Low", G669&lt;=25000, "Medium", G669&gt;25000, "High")</f>
        <v>Low</v>
      </c>
    </row>
    <row r="670" spans="1:11" x14ac:dyDescent="0.3">
      <c r="A670">
        <v>39</v>
      </c>
      <c r="B670" s="1" t="s">
        <v>7</v>
      </c>
      <c r="C670">
        <v>30.4</v>
      </c>
      <c r="D670">
        <v>1</v>
      </c>
      <c r="E670" t="s">
        <v>10</v>
      </c>
      <c r="F670" t="s">
        <v>12</v>
      </c>
      <c r="G670" s="2">
        <v>9386.1612999999998</v>
      </c>
      <c r="H670" t="str" cm="1">
        <f t="array" ref="H670">_xlfn.IFS(A670&lt;=30, "Youth", A670&lt;=50, "Adult", A670&gt;50, "Older")</f>
        <v>Adult</v>
      </c>
      <c r="I670" t="str" cm="1">
        <f t="array" ref="I670">_xlfn.IFS(A670&lt;=25,"18-25",A670&lt;=35,"26-35",A670&lt;=45,"36-45",A670&lt;=60,"46-60",A670&gt;60,"60+")</f>
        <v>36-45</v>
      </c>
      <c r="J670" t="str" cm="1">
        <f t="array" ref="J670">_xlfn.IFS(C670&lt;18.5,"Underweight",C670&lt;25,"Normal",C670&lt;30,"Overweight",C670&gt;=30,"Obese")</f>
        <v>Obese</v>
      </c>
      <c r="K670" t="str" cm="1">
        <f t="array" ref="K670">_xlfn.IFS(G670&lt;10000, "Low", G670&lt;=25000, "Medium", G670&gt;25000, "High")</f>
        <v>Low</v>
      </c>
    </row>
    <row r="671" spans="1:11" x14ac:dyDescent="0.3">
      <c r="A671">
        <v>39</v>
      </c>
      <c r="B671" s="1" t="s">
        <v>8</v>
      </c>
      <c r="C671">
        <v>30.4</v>
      </c>
      <c r="D671">
        <v>1</v>
      </c>
      <c r="E671" t="s">
        <v>10</v>
      </c>
      <c r="F671" t="s">
        <v>12</v>
      </c>
      <c r="G671" s="2">
        <v>9391.3459999999995</v>
      </c>
      <c r="H671" t="str" cm="1">
        <f t="array" ref="H671">_xlfn.IFS(A671&lt;=30, "Youth", A671&lt;=50, "Adult", A671&gt;50, "Older")</f>
        <v>Adult</v>
      </c>
      <c r="I671" t="str" cm="1">
        <f t="array" ref="I671">_xlfn.IFS(A671&lt;=25,"18-25",A671&lt;=35,"26-35",A671&lt;=45,"36-45",A671&lt;=60,"46-60",A671&gt;60,"60+")</f>
        <v>36-45</v>
      </c>
      <c r="J671" t="str" cm="1">
        <f t="array" ref="J671">_xlfn.IFS(C671&lt;18.5,"Underweight",C671&lt;25,"Normal",C671&lt;30,"Overweight",C671&gt;=30,"Obese")</f>
        <v>Obese</v>
      </c>
      <c r="K671" t="str" cm="1">
        <f t="array" ref="K671">_xlfn.IFS(G671&lt;10000, "Low", G671&lt;=25000, "Medium", G671&gt;25000, "High")</f>
        <v>Low</v>
      </c>
    </row>
    <row r="672" spans="1:11" x14ac:dyDescent="0.3">
      <c r="A672">
        <v>39</v>
      </c>
      <c r="B672" s="1" t="s">
        <v>7</v>
      </c>
      <c r="C672">
        <v>30.4</v>
      </c>
      <c r="D672">
        <v>1</v>
      </c>
      <c r="E672" t="s">
        <v>10</v>
      </c>
      <c r="F672" t="s">
        <v>14</v>
      </c>
      <c r="G672" s="2">
        <v>9411.0049999999992</v>
      </c>
      <c r="H672" t="str" cm="1">
        <f t="array" ref="H672">_xlfn.IFS(A672&lt;=30, "Youth", A672&lt;=50, "Adult", A672&gt;50, "Older")</f>
        <v>Adult</v>
      </c>
      <c r="I672" t="str" cm="1">
        <f t="array" ref="I672">_xlfn.IFS(A672&lt;=25,"18-25",A672&lt;=35,"26-35",A672&lt;=45,"36-45",A672&lt;=60,"46-60",A672&gt;60,"60+")</f>
        <v>36-45</v>
      </c>
      <c r="J672" t="str" cm="1">
        <f t="array" ref="J672">_xlfn.IFS(C672&lt;18.5,"Underweight",C672&lt;25,"Normal",C672&lt;30,"Overweight",C672&gt;=30,"Obese")</f>
        <v>Obese</v>
      </c>
      <c r="K672" t="str" cm="1">
        <f t="array" ref="K672">_xlfn.IFS(G672&lt;10000, "Low", G672&lt;=25000, "Medium", G672&gt;25000, "High")</f>
        <v>Low</v>
      </c>
    </row>
    <row r="673" spans="1:11" x14ac:dyDescent="0.3">
      <c r="A673">
        <v>39</v>
      </c>
      <c r="B673" s="1" t="s">
        <v>8</v>
      </c>
      <c r="C673">
        <v>30.4</v>
      </c>
      <c r="D673">
        <v>1</v>
      </c>
      <c r="E673" t="s">
        <v>10</v>
      </c>
      <c r="F673" t="s">
        <v>12</v>
      </c>
      <c r="G673" s="2">
        <v>9414.92</v>
      </c>
      <c r="H673" t="str" cm="1">
        <f t="array" ref="H673">_xlfn.IFS(A673&lt;=30, "Youth", A673&lt;=50, "Adult", A673&gt;50, "Older")</f>
        <v>Adult</v>
      </c>
      <c r="I673" t="str" cm="1">
        <f t="array" ref="I673">_xlfn.IFS(A673&lt;=25,"18-25",A673&lt;=35,"26-35",A673&lt;=45,"36-45",A673&lt;=60,"46-60",A673&gt;60,"60+")</f>
        <v>36-45</v>
      </c>
      <c r="J673" t="str" cm="1">
        <f t="array" ref="J673">_xlfn.IFS(C673&lt;18.5,"Underweight",C673&lt;25,"Normal",C673&lt;30,"Overweight",C673&gt;=30,"Obese")</f>
        <v>Obese</v>
      </c>
      <c r="K673" t="str" cm="1">
        <f t="array" ref="K673">_xlfn.IFS(G673&lt;10000, "Low", G673&lt;=25000, "Medium", G673&gt;25000, "High")</f>
        <v>Low</v>
      </c>
    </row>
    <row r="674" spans="1:11" x14ac:dyDescent="0.3">
      <c r="A674">
        <v>39</v>
      </c>
      <c r="B674" s="1" t="s">
        <v>7</v>
      </c>
      <c r="C674">
        <v>30.4</v>
      </c>
      <c r="D674">
        <v>1</v>
      </c>
      <c r="E674" t="s">
        <v>10</v>
      </c>
      <c r="F674" t="s">
        <v>12</v>
      </c>
      <c r="G674" s="2">
        <v>9432.9253000000008</v>
      </c>
      <c r="H674" t="str" cm="1">
        <f t="array" ref="H674">_xlfn.IFS(A674&lt;=30, "Youth", A674&lt;=50, "Adult", A674&gt;50, "Older")</f>
        <v>Adult</v>
      </c>
      <c r="I674" t="str" cm="1">
        <f t="array" ref="I674">_xlfn.IFS(A674&lt;=25,"18-25",A674&lt;=35,"26-35",A674&lt;=45,"36-45",A674&lt;=60,"46-60",A674&gt;60,"60+")</f>
        <v>36-45</v>
      </c>
      <c r="J674" t="str" cm="1">
        <f t="array" ref="J674">_xlfn.IFS(C674&lt;18.5,"Underweight",C674&lt;25,"Normal",C674&lt;30,"Overweight",C674&gt;=30,"Obese")</f>
        <v>Obese</v>
      </c>
      <c r="K674" t="str" cm="1">
        <f t="array" ref="K674">_xlfn.IFS(G674&lt;10000, "Low", G674&lt;=25000, "Medium", G674&gt;25000, "High")</f>
        <v>Low</v>
      </c>
    </row>
    <row r="675" spans="1:11" x14ac:dyDescent="0.3">
      <c r="A675">
        <v>40</v>
      </c>
      <c r="B675" s="1" t="s">
        <v>7</v>
      </c>
      <c r="C675">
        <v>30.495000000000001</v>
      </c>
      <c r="D675">
        <v>1</v>
      </c>
      <c r="E675" t="s">
        <v>9</v>
      </c>
      <c r="F675" t="s">
        <v>12</v>
      </c>
      <c r="G675" s="2">
        <v>9447.2503500000003</v>
      </c>
      <c r="H675" t="str" cm="1">
        <f t="array" ref="H675">_xlfn.IFS(A675&lt;=30, "Youth", A675&lt;=50, "Adult", A675&gt;50, "Older")</f>
        <v>Adult</v>
      </c>
      <c r="I675" t="str" cm="1">
        <f t="array" ref="I675">_xlfn.IFS(A675&lt;=25,"18-25",A675&lt;=35,"26-35",A675&lt;=45,"36-45",A675&lt;=60,"46-60",A675&gt;60,"60+")</f>
        <v>36-45</v>
      </c>
      <c r="J675" t="str" cm="1">
        <f t="array" ref="J675">_xlfn.IFS(C675&lt;18.5,"Underweight",C675&lt;25,"Normal",C675&lt;30,"Overweight",C675&gt;=30,"Obese")</f>
        <v>Obese</v>
      </c>
      <c r="K675" t="str" cm="1">
        <f t="array" ref="K675">_xlfn.IFS(G675&lt;10000, "Low", G675&lt;=25000, "Medium", G675&gt;25000, "High")</f>
        <v>Low</v>
      </c>
    </row>
    <row r="676" spans="1:11" x14ac:dyDescent="0.3">
      <c r="A676">
        <v>40</v>
      </c>
      <c r="B676" s="1" t="s">
        <v>8</v>
      </c>
      <c r="C676">
        <v>30.495000000000001</v>
      </c>
      <c r="D676">
        <v>1</v>
      </c>
      <c r="E676" t="s">
        <v>10</v>
      </c>
      <c r="F676" t="s">
        <v>13</v>
      </c>
      <c r="G676" s="2">
        <v>9447.3824000000004</v>
      </c>
      <c r="H676" t="str" cm="1">
        <f t="array" ref="H676">_xlfn.IFS(A676&lt;=30, "Youth", A676&lt;=50, "Adult", A676&gt;50, "Older")</f>
        <v>Adult</v>
      </c>
      <c r="I676" t="str" cm="1">
        <f t="array" ref="I676">_xlfn.IFS(A676&lt;=25,"18-25",A676&lt;=35,"26-35",A676&lt;=45,"36-45",A676&lt;=60,"46-60",A676&gt;60,"60+")</f>
        <v>36-45</v>
      </c>
      <c r="J676" t="str" cm="1">
        <f t="array" ref="J676">_xlfn.IFS(C676&lt;18.5,"Underweight",C676&lt;25,"Normal",C676&lt;30,"Overweight",C676&gt;=30,"Obese")</f>
        <v>Obese</v>
      </c>
      <c r="K676" t="str" cm="1">
        <f t="array" ref="K676">_xlfn.IFS(G676&lt;10000, "Low", G676&lt;=25000, "Medium", G676&gt;25000, "High")</f>
        <v>Low</v>
      </c>
    </row>
    <row r="677" spans="1:11" x14ac:dyDescent="0.3">
      <c r="A677">
        <v>40</v>
      </c>
      <c r="B677" s="1" t="s">
        <v>7</v>
      </c>
      <c r="C677">
        <v>30.495000000000001</v>
      </c>
      <c r="D677">
        <v>1</v>
      </c>
      <c r="E677" t="s">
        <v>10</v>
      </c>
      <c r="F677" t="s">
        <v>12</v>
      </c>
      <c r="G677" s="2">
        <v>9487.6442000000006</v>
      </c>
      <c r="H677" t="str" cm="1">
        <f t="array" ref="H677">_xlfn.IFS(A677&lt;=30, "Youth", A677&lt;=50, "Adult", A677&gt;50, "Older")</f>
        <v>Adult</v>
      </c>
      <c r="I677" t="str" cm="1">
        <f t="array" ref="I677">_xlfn.IFS(A677&lt;=25,"18-25",A677&lt;=35,"26-35",A677&lt;=45,"36-45",A677&lt;=60,"46-60",A677&gt;60,"60+")</f>
        <v>36-45</v>
      </c>
      <c r="J677" t="str" cm="1">
        <f t="array" ref="J677">_xlfn.IFS(C677&lt;18.5,"Underweight",C677&lt;25,"Normal",C677&lt;30,"Overweight",C677&gt;=30,"Obese")</f>
        <v>Obese</v>
      </c>
      <c r="K677" t="str" cm="1">
        <f t="array" ref="K677">_xlfn.IFS(G677&lt;10000, "Low", G677&lt;=25000, "Medium", G677&gt;25000, "High")</f>
        <v>Low</v>
      </c>
    </row>
    <row r="678" spans="1:11" x14ac:dyDescent="0.3">
      <c r="A678">
        <v>40</v>
      </c>
      <c r="B678" s="1" t="s">
        <v>8</v>
      </c>
      <c r="C678">
        <v>30.495000000000001</v>
      </c>
      <c r="D678">
        <v>1</v>
      </c>
      <c r="E678" t="s">
        <v>9</v>
      </c>
      <c r="F678" t="s">
        <v>13</v>
      </c>
      <c r="G678" s="2">
        <v>9500.5730500000009</v>
      </c>
      <c r="H678" t="str" cm="1">
        <f t="array" ref="H678">_xlfn.IFS(A678&lt;=30, "Youth", A678&lt;=50, "Adult", A678&gt;50, "Older")</f>
        <v>Adult</v>
      </c>
      <c r="I678" t="str" cm="1">
        <f t="array" ref="I678">_xlfn.IFS(A678&lt;=25,"18-25",A678&lt;=35,"26-35",A678&lt;=45,"36-45",A678&lt;=60,"46-60",A678&gt;60,"60+")</f>
        <v>36-45</v>
      </c>
      <c r="J678" t="str" cm="1">
        <f t="array" ref="J678">_xlfn.IFS(C678&lt;18.5,"Underweight",C678&lt;25,"Normal",C678&lt;30,"Overweight",C678&gt;=30,"Obese")</f>
        <v>Obese</v>
      </c>
      <c r="K678" t="str" cm="1">
        <f t="array" ref="K678">_xlfn.IFS(G678&lt;10000, "Low", G678&lt;=25000, "Medium", G678&gt;25000, "High")</f>
        <v>Low</v>
      </c>
    </row>
    <row r="679" spans="1:11" x14ac:dyDescent="0.3">
      <c r="A679">
        <v>40</v>
      </c>
      <c r="B679" s="1" t="s">
        <v>8</v>
      </c>
      <c r="C679">
        <v>30.495000000000001</v>
      </c>
      <c r="D679">
        <v>1</v>
      </c>
      <c r="E679" t="s">
        <v>10</v>
      </c>
      <c r="F679" t="s">
        <v>11</v>
      </c>
      <c r="G679" s="2">
        <v>9504.3102999999992</v>
      </c>
      <c r="H679" t="str" cm="1">
        <f t="array" ref="H679">_xlfn.IFS(A679&lt;=30, "Youth", A679&lt;=50, "Adult", A679&gt;50, "Older")</f>
        <v>Adult</v>
      </c>
      <c r="I679" t="str" cm="1">
        <f t="array" ref="I679">_xlfn.IFS(A679&lt;=25,"18-25",A679&lt;=35,"26-35",A679&lt;=45,"36-45",A679&lt;=60,"46-60",A679&gt;60,"60+")</f>
        <v>36-45</v>
      </c>
      <c r="J679" t="str" cm="1">
        <f t="array" ref="J679">_xlfn.IFS(C679&lt;18.5,"Underweight",C679&lt;25,"Normal",C679&lt;30,"Overweight",C679&gt;=30,"Obese")</f>
        <v>Obese</v>
      </c>
      <c r="K679" t="str" cm="1">
        <f t="array" ref="K679">_xlfn.IFS(G679&lt;10000, "Low", G679&lt;=25000, "Medium", G679&gt;25000, "High")</f>
        <v>Low</v>
      </c>
    </row>
    <row r="680" spans="1:11" x14ac:dyDescent="0.3">
      <c r="A680">
        <v>40</v>
      </c>
      <c r="B680" s="1" t="s">
        <v>7</v>
      </c>
      <c r="C680">
        <v>30.495000000000001</v>
      </c>
      <c r="D680">
        <v>1</v>
      </c>
      <c r="E680" t="s">
        <v>10</v>
      </c>
      <c r="F680" t="s">
        <v>13</v>
      </c>
      <c r="G680" s="2">
        <v>9541.6955500000004</v>
      </c>
      <c r="H680" t="str" cm="1">
        <f t="array" ref="H680">_xlfn.IFS(A680&lt;=30, "Youth", A680&lt;=50, "Adult", A680&gt;50, "Older")</f>
        <v>Adult</v>
      </c>
      <c r="I680" t="str" cm="1">
        <f t="array" ref="I680">_xlfn.IFS(A680&lt;=25,"18-25",A680&lt;=35,"26-35",A680&lt;=45,"36-45",A680&lt;=60,"46-60",A680&gt;60,"60+")</f>
        <v>36-45</v>
      </c>
      <c r="J680" t="str" cm="1">
        <f t="array" ref="J680">_xlfn.IFS(C680&lt;18.5,"Underweight",C680&lt;25,"Normal",C680&lt;30,"Overweight",C680&gt;=30,"Obese")</f>
        <v>Obese</v>
      </c>
      <c r="K680" t="str" cm="1">
        <f t="array" ref="K680">_xlfn.IFS(G680&lt;10000, "Low", G680&lt;=25000, "Medium", G680&gt;25000, "High")</f>
        <v>Low</v>
      </c>
    </row>
    <row r="681" spans="1:11" x14ac:dyDescent="0.3">
      <c r="A681">
        <v>40</v>
      </c>
      <c r="B681" s="1" t="s">
        <v>7</v>
      </c>
      <c r="C681">
        <v>30.495000000000001</v>
      </c>
      <c r="D681">
        <v>1</v>
      </c>
      <c r="E681" t="s">
        <v>10</v>
      </c>
      <c r="F681" t="s">
        <v>11</v>
      </c>
      <c r="G681" s="2">
        <v>9549.5650999999998</v>
      </c>
      <c r="H681" t="str" cm="1">
        <f t="array" ref="H681">_xlfn.IFS(A681&lt;=30, "Youth", A681&lt;=50, "Adult", A681&gt;50, "Older")</f>
        <v>Adult</v>
      </c>
      <c r="I681" t="str" cm="1">
        <f t="array" ref="I681">_xlfn.IFS(A681&lt;=25,"18-25",A681&lt;=35,"26-35",A681&lt;=45,"36-45",A681&lt;=60,"46-60",A681&gt;60,"60+")</f>
        <v>36-45</v>
      </c>
      <c r="J681" t="str" cm="1">
        <f t="array" ref="J681">_xlfn.IFS(C681&lt;18.5,"Underweight",C681&lt;25,"Normal",C681&lt;30,"Overweight",C681&gt;=30,"Obese")</f>
        <v>Obese</v>
      </c>
      <c r="K681" t="str" cm="1">
        <f t="array" ref="K681">_xlfn.IFS(G681&lt;10000, "Low", G681&lt;=25000, "Medium", G681&gt;25000, "High")</f>
        <v>Low</v>
      </c>
    </row>
    <row r="682" spans="1:11" x14ac:dyDescent="0.3">
      <c r="A682">
        <v>40</v>
      </c>
      <c r="B682" s="1" t="s">
        <v>8</v>
      </c>
      <c r="C682">
        <v>30.495000000000001</v>
      </c>
      <c r="D682">
        <v>1</v>
      </c>
      <c r="E682" t="s">
        <v>10</v>
      </c>
      <c r="F682" t="s">
        <v>11</v>
      </c>
      <c r="G682" s="2">
        <v>9563.0290000000005</v>
      </c>
      <c r="H682" t="str" cm="1">
        <f t="array" ref="H682">_xlfn.IFS(A682&lt;=30, "Youth", A682&lt;=50, "Adult", A682&gt;50, "Older")</f>
        <v>Adult</v>
      </c>
      <c r="I682" t="str" cm="1">
        <f t="array" ref="I682">_xlfn.IFS(A682&lt;=25,"18-25",A682&lt;=35,"26-35",A682&lt;=45,"36-45",A682&lt;=60,"46-60",A682&gt;60,"60+")</f>
        <v>36-45</v>
      </c>
      <c r="J682" t="str" cm="1">
        <f t="array" ref="J682">_xlfn.IFS(C682&lt;18.5,"Underweight",C682&lt;25,"Normal",C682&lt;30,"Overweight",C682&gt;=30,"Obese")</f>
        <v>Obese</v>
      </c>
      <c r="K682" t="str" cm="1">
        <f t="array" ref="K682">_xlfn.IFS(G682&lt;10000, "Low", G682&lt;=25000, "Medium", G682&gt;25000, "High")</f>
        <v>Low</v>
      </c>
    </row>
    <row r="683" spans="1:11" x14ac:dyDescent="0.3">
      <c r="A683">
        <v>40</v>
      </c>
      <c r="B683" s="1" t="s">
        <v>8</v>
      </c>
      <c r="C683">
        <v>30.5</v>
      </c>
      <c r="D683">
        <v>1</v>
      </c>
      <c r="E683" t="s">
        <v>9</v>
      </c>
      <c r="F683" t="s">
        <v>11</v>
      </c>
      <c r="G683" s="2">
        <v>9566.9909000000007</v>
      </c>
      <c r="H683" t="str" cm="1">
        <f t="array" ref="H683">_xlfn.IFS(A683&lt;=30, "Youth", A683&lt;=50, "Adult", A683&gt;50, "Older")</f>
        <v>Adult</v>
      </c>
      <c r="I683" t="str" cm="1">
        <f t="array" ref="I683">_xlfn.IFS(A683&lt;=25,"18-25",A683&lt;=35,"26-35",A683&lt;=45,"36-45",A683&lt;=60,"46-60",A683&gt;60,"60+")</f>
        <v>36-45</v>
      </c>
      <c r="J683" t="str" cm="1">
        <f t="array" ref="J683">_xlfn.IFS(C683&lt;18.5,"Underweight",C683&lt;25,"Normal",C683&lt;30,"Overweight",C683&gt;=30,"Obese")</f>
        <v>Obese</v>
      </c>
      <c r="K683" t="str" cm="1">
        <f t="array" ref="K683">_xlfn.IFS(G683&lt;10000, "Low", G683&lt;=25000, "Medium", G683&gt;25000, "High")</f>
        <v>Low</v>
      </c>
    </row>
    <row r="684" spans="1:11" x14ac:dyDescent="0.3">
      <c r="A684">
        <v>40</v>
      </c>
      <c r="B684" s="1" t="s">
        <v>8</v>
      </c>
      <c r="C684">
        <v>30.5</v>
      </c>
      <c r="D684">
        <v>1</v>
      </c>
      <c r="E684" t="s">
        <v>10</v>
      </c>
      <c r="F684" t="s">
        <v>13</v>
      </c>
      <c r="G684" s="2">
        <v>9583.8932999999997</v>
      </c>
      <c r="H684" t="str" cm="1">
        <f t="array" ref="H684">_xlfn.IFS(A684&lt;=30, "Youth", A684&lt;=50, "Adult", A684&gt;50, "Older")</f>
        <v>Adult</v>
      </c>
      <c r="I684" t="str" cm="1">
        <f t="array" ref="I684">_xlfn.IFS(A684&lt;=25,"18-25",A684&lt;=35,"26-35",A684&lt;=45,"36-45",A684&lt;=60,"46-60",A684&gt;60,"60+")</f>
        <v>36-45</v>
      </c>
      <c r="J684" t="str" cm="1">
        <f t="array" ref="J684">_xlfn.IFS(C684&lt;18.5,"Underweight",C684&lt;25,"Normal",C684&lt;30,"Overweight",C684&gt;=30,"Obese")</f>
        <v>Obese</v>
      </c>
      <c r="K684" t="str" cm="1">
        <f t="array" ref="K684">_xlfn.IFS(G684&lt;10000, "Low", G684&lt;=25000, "Medium", G684&gt;25000, "High")</f>
        <v>Low</v>
      </c>
    </row>
    <row r="685" spans="1:11" x14ac:dyDescent="0.3">
      <c r="A685">
        <v>40</v>
      </c>
      <c r="B685" s="1" t="s">
        <v>7</v>
      </c>
      <c r="C685">
        <v>30.5</v>
      </c>
      <c r="D685">
        <v>1</v>
      </c>
      <c r="E685" t="s">
        <v>10</v>
      </c>
      <c r="F685" t="s">
        <v>11</v>
      </c>
      <c r="G685" s="2">
        <v>9617.6624499999998</v>
      </c>
      <c r="H685" t="str" cm="1">
        <f t="array" ref="H685">_xlfn.IFS(A685&lt;=30, "Youth", A685&lt;=50, "Adult", A685&gt;50, "Older")</f>
        <v>Adult</v>
      </c>
      <c r="I685" t="str" cm="1">
        <f t="array" ref="I685">_xlfn.IFS(A685&lt;=25,"18-25",A685&lt;=35,"26-35",A685&lt;=45,"36-45",A685&lt;=60,"46-60",A685&gt;60,"60+")</f>
        <v>36-45</v>
      </c>
      <c r="J685" t="str" cm="1">
        <f t="array" ref="J685">_xlfn.IFS(C685&lt;18.5,"Underweight",C685&lt;25,"Normal",C685&lt;30,"Overweight",C685&gt;=30,"Obese")</f>
        <v>Obese</v>
      </c>
      <c r="K685" t="str" cm="1">
        <f t="array" ref="K685">_xlfn.IFS(G685&lt;10000, "Low", G685&lt;=25000, "Medium", G685&gt;25000, "High")</f>
        <v>Low</v>
      </c>
    </row>
    <row r="686" spans="1:11" x14ac:dyDescent="0.3">
      <c r="A686">
        <v>40</v>
      </c>
      <c r="B686" s="1" t="s">
        <v>8</v>
      </c>
      <c r="C686">
        <v>30.5</v>
      </c>
      <c r="D686">
        <v>1</v>
      </c>
      <c r="E686" t="s">
        <v>10</v>
      </c>
      <c r="F686" t="s">
        <v>14</v>
      </c>
      <c r="G686" s="2">
        <v>9620.3307000000004</v>
      </c>
      <c r="H686" t="str" cm="1">
        <f t="array" ref="H686">_xlfn.IFS(A686&lt;=30, "Youth", A686&lt;=50, "Adult", A686&gt;50, "Older")</f>
        <v>Adult</v>
      </c>
      <c r="I686" t="str" cm="1">
        <f t="array" ref="I686">_xlfn.IFS(A686&lt;=25,"18-25",A686&lt;=35,"26-35",A686&lt;=45,"36-45",A686&lt;=60,"46-60",A686&gt;60,"60+")</f>
        <v>36-45</v>
      </c>
      <c r="J686" t="str" cm="1">
        <f t="array" ref="J686">_xlfn.IFS(C686&lt;18.5,"Underweight",C686&lt;25,"Normal",C686&lt;30,"Overweight",C686&gt;=30,"Obese")</f>
        <v>Obese</v>
      </c>
      <c r="K686" t="str" cm="1">
        <f t="array" ref="K686">_xlfn.IFS(G686&lt;10000, "Low", G686&lt;=25000, "Medium", G686&gt;25000, "High")</f>
        <v>Low</v>
      </c>
    </row>
    <row r="687" spans="1:11" x14ac:dyDescent="0.3">
      <c r="A687">
        <v>40</v>
      </c>
      <c r="B687" s="1" t="s">
        <v>8</v>
      </c>
      <c r="C687">
        <v>30.59</v>
      </c>
      <c r="D687">
        <v>1</v>
      </c>
      <c r="E687" t="s">
        <v>10</v>
      </c>
      <c r="F687" t="s">
        <v>14</v>
      </c>
      <c r="G687" s="2">
        <v>9625.92</v>
      </c>
      <c r="H687" t="str" cm="1">
        <f t="array" ref="H687">_xlfn.IFS(A687&lt;=30, "Youth", A687&lt;=50, "Adult", A687&gt;50, "Older")</f>
        <v>Adult</v>
      </c>
      <c r="I687" t="str" cm="1">
        <f t="array" ref="I687">_xlfn.IFS(A687&lt;=25,"18-25",A687&lt;=35,"26-35",A687&lt;=45,"36-45",A687&lt;=60,"46-60",A687&gt;60,"60+")</f>
        <v>36-45</v>
      </c>
      <c r="J687" t="str" cm="1">
        <f t="array" ref="J687">_xlfn.IFS(C687&lt;18.5,"Underweight",C687&lt;25,"Normal",C687&lt;30,"Overweight",C687&gt;=30,"Obese")</f>
        <v>Obese</v>
      </c>
      <c r="K687" t="str" cm="1">
        <f t="array" ref="K687">_xlfn.IFS(G687&lt;10000, "Low", G687&lt;=25000, "Medium", G687&gt;25000, "High")</f>
        <v>Low</v>
      </c>
    </row>
    <row r="688" spans="1:11" x14ac:dyDescent="0.3">
      <c r="A688">
        <v>40</v>
      </c>
      <c r="B688" s="1" t="s">
        <v>8</v>
      </c>
      <c r="C688">
        <v>30.59</v>
      </c>
      <c r="D688">
        <v>1</v>
      </c>
      <c r="E688" t="s">
        <v>10</v>
      </c>
      <c r="F688" t="s">
        <v>12</v>
      </c>
      <c r="G688" s="2">
        <v>9630.3970000000008</v>
      </c>
      <c r="H688" t="str" cm="1">
        <f t="array" ref="H688">_xlfn.IFS(A688&lt;=30, "Youth", A688&lt;=50, "Adult", A688&gt;50, "Older")</f>
        <v>Adult</v>
      </c>
      <c r="I688" t="str" cm="1">
        <f t="array" ref="I688">_xlfn.IFS(A688&lt;=25,"18-25",A688&lt;=35,"26-35",A688&lt;=45,"36-45",A688&lt;=60,"46-60",A688&gt;60,"60+")</f>
        <v>36-45</v>
      </c>
      <c r="J688" t="str" cm="1">
        <f t="array" ref="J688">_xlfn.IFS(C688&lt;18.5,"Underweight",C688&lt;25,"Normal",C688&lt;30,"Overweight",C688&gt;=30,"Obese")</f>
        <v>Obese</v>
      </c>
      <c r="K688" t="str" cm="1">
        <f t="array" ref="K688">_xlfn.IFS(G688&lt;10000, "Low", G688&lt;=25000, "Medium", G688&gt;25000, "High")</f>
        <v>Low</v>
      </c>
    </row>
    <row r="689" spans="1:11" x14ac:dyDescent="0.3">
      <c r="A689">
        <v>40</v>
      </c>
      <c r="B689" s="1" t="s">
        <v>7</v>
      </c>
      <c r="C689">
        <v>30.59</v>
      </c>
      <c r="D689">
        <v>1</v>
      </c>
      <c r="E689" t="s">
        <v>10</v>
      </c>
      <c r="F689" t="s">
        <v>11</v>
      </c>
      <c r="G689" s="2">
        <v>9634.5380000000005</v>
      </c>
      <c r="H689" t="str" cm="1">
        <f t="array" ref="H689">_xlfn.IFS(A689&lt;=30, "Youth", A689&lt;=50, "Adult", A689&gt;50, "Older")</f>
        <v>Adult</v>
      </c>
      <c r="I689" t="str" cm="1">
        <f t="array" ref="I689">_xlfn.IFS(A689&lt;=25,"18-25",A689&lt;=35,"26-35",A689&lt;=45,"36-45",A689&lt;=60,"46-60",A689&gt;60,"60+")</f>
        <v>36-45</v>
      </c>
      <c r="J689" t="str" cm="1">
        <f t="array" ref="J689">_xlfn.IFS(C689&lt;18.5,"Underweight",C689&lt;25,"Normal",C689&lt;30,"Overweight",C689&gt;=30,"Obese")</f>
        <v>Obese</v>
      </c>
      <c r="K689" t="str" cm="1">
        <f t="array" ref="K689">_xlfn.IFS(G689&lt;10000, "Low", G689&lt;=25000, "Medium", G689&gt;25000, "High")</f>
        <v>Low</v>
      </c>
    </row>
    <row r="690" spans="1:11" x14ac:dyDescent="0.3">
      <c r="A690">
        <v>40</v>
      </c>
      <c r="B690" s="1" t="s">
        <v>8</v>
      </c>
      <c r="C690">
        <v>30.59</v>
      </c>
      <c r="D690">
        <v>1</v>
      </c>
      <c r="E690" t="s">
        <v>9</v>
      </c>
      <c r="F690" t="s">
        <v>12</v>
      </c>
      <c r="G690" s="2">
        <v>9644.2525000000005</v>
      </c>
      <c r="H690" t="str" cm="1">
        <f t="array" ref="H690">_xlfn.IFS(A690&lt;=30, "Youth", A690&lt;=50, "Adult", A690&gt;50, "Older")</f>
        <v>Adult</v>
      </c>
      <c r="I690" t="str" cm="1">
        <f t="array" ref="I690">_xlfn.IFS(A690&lt;=25,"18-25",A690&lt;=35,"26-35",A690&lt;=45,"36-45",A690&lt;=60,"46-60",A690&gt;60,"60+")</f>
        <v>36-45</v>
      </c>
      <c r="J690" t="str" cm="1">
        <f t="array" ref="J690">_xlfn.IFS(C690&lt;18.5,"Underweight",C690&lt;25,"Normal",C690&lt;30,"Overweight",C690&gt;=30,"Obese")</f>
        <v>Obese</v>
      </c>
      <c r="K690" t="str" cm="1">
        <f t="array" ref="K690">_xlfn.IFS(G690&lt;10000, "Low", G690&lt;=25000, "Medium", G690&gt;25000, "High")</f>
        <v>Low</v>
      </c>
    </row>
    <row r="691" spans="1:11" x14ac:dyDescent="0.3">
      <c r="A691">
        <v>40</v>
      </c>
      <c r="B691" s="1" t="s">
        <v>8</v>
      </c>
      <c r="C691">
        <v>30.59</v>
      </c>
      <c r="D691">
        <v>1</v>
      </c>
      <c r="E691" t="s">
        <v>10</v>
      </c>
      <c r="F691" t="s">
        <v>14</v>
      </c>
      <c r="G691" s="2">
        <v>9704.6680500000002</v>
      </c>
      <c r="H691" t="str" cm="1">
        <f t="array" ref="H691">_xlfn.IFS(A691&lt;=30, "Youth", A691&lt;=50, "Adult", A691&gt;50, "Older")</f>
        <v>Adult</v>
      </c>
      <c r="I691" t="str" cm="1">
        <f t="array" ref="I691">_xlfn.IFS(A691&lt;=25,"18-25",A691&lt;=35,"26-35",A691&lt;=45,"36-45",A691&lt;=60,"46-60",A691&gt;60,"60+")</f>
        <v>36-45</v>
      </c>
      <c r="J691" t="str" cm="1">
        <f t="array" ref="J691">_xlfn.IFS(C691&lt;18.5,"Underweight",C691&lt;25,"Normal",C691&lt;30,"Overweight",C691&gt;=30,"Obese")</f>
        <v>Obese</v>
      </c>
      <c r="K691" t="str" cm="1">
        <f t="array" ref="K691">_xlfn.IFS(G691&lt;10000, "Low", G691&lt;=25000, "Medium", G691&gt;25000, "High")</f>
        <v>Low</v>
      </c>
    </row>
    <row r="692" spans="1:11" x14ac:dyDescent="0.3">
      <c r="A692">
        <v>40</v>
      </c>
      <c r="B692" s="1" t="s">
        <v>8</v>
      </c>
      <c r="C692">
        <v>30.59</v>
      </c>
      <c r="D692">
        <v>1</v>
      </c>
      <c r="E692" t="s">
        <v>10</v>
      </c>
      <c r="F692" t="s">
        <v>11</v>
      </c>
      <c r="G692" s="2">
        <v>9715.8410000000003</v>
      </c>
      <c r="H692" t="str" cm="1">
        <f t="array" ref="H692">_xlfn.IFS(A692&lt;=30, "Youth", A692&lt;=50, "Adult", A692&gt;50, "Older")</f>
        <v>Adult</v>
      </c>
      <c r="I692" t="str" cm="1">
        <f t="array" ref="I692">_xlfn.IFS(A692&lt;=25,"18-25",A692&lt;=35,"26-35",A692&lt;=45,"36-45",A692&lt;=60,"46-60",A692&gt;60,"60+")</f>
        <v>36-45</v>
      </c>
      <c r="J692" t="str" cm="1">
        <f t="array" ref="J692">_xlfn.IFS(C692&lt;18.5,"Underweight",C692&lt;25,"Normal",C692&lt;30,"Overweight",C692&gt;=30,"Obese")</f>
        <v>Obese</v>
      </c>
      <c r="K692" t="str" cm="1">
        <f t="array" ref="K692">_xlfn.IFS(G692&lt;10000, "Low", G692&lt;=25000, "Medium", G692&gt;25000, "High")</f>
        <v>Low</v>
      </c>
    </row>
    <row r="693" spans="1:11" x14ac:dyDescent="0.3">
      <c r="A693">
        <v>40</v>
      </c>
      <c r="B693" s="1" t="s">
        <v>8</v>
      </c>
      <c r="C693">
        <v>30.684999999999999</v>
      </c>
      <c r="D693">
        <v>1</v>
      </c>
      <c r="E693" t="s">
        <v>10</v>
      </c>
      <c r="F693" t="s">
        <v>13</v>
      </c>
      <c r="G693" s="2">
        <v>9722.7695000000003</v>
      </c>
      <c r="H693" t="str" cm="1">
        <f t="array" ref="H693">_xlfn.IFS(A693&lt;=30, "Youth", A693&lt;=50, "Adult", A693&gt;50, "Older")</f>
        <v>Adult</v>
      </c>
      <c r="I693" t="str" cm="1">
        <f t="array" ref="I693">_xlfn.IFS(A693&lt;=25,"18-25",A693&lt;=35,"26-35",A693&lt;=45,"36-45",A693&lt;=60,"46-60",A693&gt;60,"60+")</f>
        <v>36-45</v>
      </c>
      <c r="J693" t="str" cm="1">
        <f t="array" ref="J693">_xlfn.IFS(C693&lt;18.5,"Underweight",C693&lt;25,"Normal",C693&lt;30,"Overweight",C693&gt;=30,"Obese")</f>
        <v>Obese</v>
      </c>
      <c r="K693" t="str" cm="1">
        <f t="array" ref="K693">_xlfn.IFS(G693&lt;10000, "Low", G693&lt;=25000, "Medium", G693&gt;25000, "High")</f>
        <v>Low</v>
      </c>
    </row>
    <row r="694" spans="1:11" x14ac:dyDescent="0.3">
      <c r="A694">
        <v>40</v>
      </c>
      <c r="B694" s="1" t="s">
        <v>8</v>
      </c>
      <c r="C694">
        <v>30.684999999999999</v>
      </c>
      <c r="D694">
        <v>1</v>
      </c>
      <c r="E694" t="s">
        <v>10</v>
      </c>
      <c r="F694" t="s">
        <v>13</v>
      </c>
      <c r="G694" s="2">
        <v>9724.5300000000007</v>
      </c>
      <c r="H694" t="str" cm="1">
        <f t="array" ref="H694">_xlfn.IFS(A694&lt;=30, "Youth", A694&lt;=50, "Adult", A694&gt;50, "Older")</f>
        <v>Adult</v>
      </c>
      <c r="I694" t="str" cm="1">
        <f t="array" ref="I694">_xlfn.IFS(A694&lt;=25,"18-25",A694&lt;=35,"26-35",A694&lt;=45,"36-45",A694&lt;=60,"46-60",A694&gt;60,"60+")</f>
        <v>36-45</v>
      </c>
      <c r="J694" t="str" cm="1">
        <f t="array" ref="J694">_xlfn.IFS(C694&lt;18.5,"Underweight",C694&lt;25,"Normal",C694&lt;30,"Overweight",C694&gt;=30,"Obese")</f>
        <v>Obese</v>
      </c>
      <c r="K694" t="str" cm="1">
        <f t="array" ref="K694">_xlfn.IFS(G694&lt;10000, "Low", G694&lt;=25000, "Medium", G694&gt;25000, "High")</f>
        <v>Low</v>
      </c>
    </row>
    <row r="695" spans="1:11" x14ac:dyDescent="0.3">
      <c r="A695">
        <v>40</v>
      </c>
      <c r="B695" s="1" t="s">
        <v>7</v>
      </c>
      <c r="C695">
        <v>30.684999999999999</v>
      </c>
      <c r="D695">
        <v>1</v>
      </c>
      <c r="E695" t="s">
        <v>10</v>
      </c>
      <c r="F695" t="s">
        <v>11</v>
      </c>
      <c r="G695" s="2">
        <v>9748.9105999999992</v>
      </c>
      <c r="H695" t="str" cm="1">
        <f t="array" ref="H695">_xlfn.IFS(A695&lt;=30, "Youth", A695&lt;=50, "Adult", A695&gt;50, "Older")</f>
        <v>Adult</v>
      </c>
      <c r="I695" t="str" cm="1">
        <f t="array" ref="I695">_xlfn.IFS(A695&lt;=25,"18-25",A695&lt;=35,"26-35",A695&lt;=45,"36-45",A695&lt;=60,"46-60",A695&gt;60,"60+")</f>
        <v>36-45</v>
      </c>
      <c r="J695" t="str" cm="1">
        <f t="array" ref="J695">_xlfn.IFS(C695&lt;18.5,"Underweight",C695&lt;25,"Normal",C695&lt;30,"Overweight",C695&gt;=30,"Obese")</f>
        <v>Obese</v>
      </c>
      <c r="K695" t="str" cm="1">
        <f t="array" ref="K695">_xlfn.IFS(G695&lt;10000, "Low", G695&lt;=25000, "Medium", G695&gt;25000, "High")</f>
        <v>Low</v>
      </c>
    </row>
    <row r="696" spans="1:11" x14ac:dyDescent="0.3">
      <c r="A696">
        <v>40</v>
      </c>
      <c r="B696" s="1" t="s">
        <v>7</v>
      </c>
      <c r="C696">
        <v>30.69</v>
      </c>
      <c r="D696">
        <v>1</v>
      </c>
      <c r="E696" t="s">
        <v>10</v>
      </c>
      <c r="F696" t="s">
        <v>13</v>
      </c>
      <c r="G696" s="2">
        <v>9778.3472000000002</v>
      </c>
      <c r="H696" t="str" cm="1">
        <f t="array" ref="H696">_xlfn.IFS(A696&lt;=30, "Youth", A696&lt;=50, "Adult", A696&gt;50, "Older")</f>
        <v>Adult</v>
      </c>
      <c r="I696" t="str" cm="1">
        <f t="array" ref="I696">_xlfn.IFS(A696&lt;=25,"18-25",A696&lt;=35,"26-35",A696&lt;=45,"36-45",A696&lt;=60,"46-60",A696&gt;60,"60+")</f>
        <v>36-45</v>
      </c>
      <c r="J696" t="str" cm="1">
        <f t="array" ref="J696">_xlfn.IFS(C696&lt;18.5,"Underweight",C696&lt;25,"Normal",C696&lt;30,"Overweight",C696&gt;=30,"Obese")</f>
        <v>Obese</v>
      </c>
      <c r="K696" t="str" cm="1">
        <f t="array" ref="K696">_xlfn.IFS(G696&lt;10000, "Low", G696&lt;=25000, "Medium", G696&gt;25000, "High")</f>
        <v>Low</v>
      </c>
    </row>
    <row r="697" spans="1:11" x14ac:dyDescent="0.3">
      <c r="A697">
        <v>40</v>
      </c>
      <c r="B697" s="1" t="s">
        <v>7</v>
      </c>
      <c r="C697">
        <v>30.69</v>
      </c>
      <c r="D697">
        <v>1</v>
      </c>
      <c r="E697" t="s">
        <v>10</v>
      </c>
      <c r="F697" t="s">
        <v>14</v>
      </c>
      <c r="G697" s="2">
        <v>9788.8659000000007</v>
      </c>
      <c r="H697" t="str" cm="1">
        <f t="array" ref="H697">_xlfn.IFS(A697&lt;=30, "Youth", A697&lt;=50, "Adult", A697&gt;50, "Older")</f>
        <v>Adult</v>
      </c>
      <c r="I697" t="str" cm="1">
        <f t="array" ref="I697">_xlfn.IFS(A697&lt;=25,"18-25",A697&lt;=35,"26-35",A697&lt;=45,"36-45",A697&lt;=60,"46-60",A697&gt;60,"60+")</f>
        <v>36-45</v>
      </c>
      <c r="J697" t="str" cm="1">
        <f t="array" ref="J697">_xlfn.IFS(C697&lt;18.5,"Underweight",C697&lt;25,"Normal",C697&lt;30,"Overweight",C697&gt;=30,"Obese")</f>
        <v>Obese</v>
      </c>
      <c r="K697" t="str" cm="1">
        <f t="array" ref="K697">_xlfn.IFS(G697&lt;10000, "Low", G697&lt;=25000, "Medium", G697&gt;25000, "High")</f>
        <v>Low</v>
      </c>
    </row>
    <row r="698" spans="1:11" x14ac:dyDescent="0.3">
      <c r="A698">
        <v>40</v>
      </c>
      <c r="B698" s="1" t="s">
        <v>8</v>
      </c>
      <c r="C698">
        <v>30.78</v>
      </c>
      <c r="D698">
        <v>1</v>
      </c>
      <c r="E698" t="s">
        <v>9</v>
      </c>
      <c r="F698" t="s">
        <v>12</v>
      </c>
      <c r="G698" s="2">
        <v>9800.8881999999994</v>
      </c>
      <c r="H698" t="str" cm="1">
        <f t="array" ref="H698">_xlfn.IFS(A698&lt;=30, "Youth", A698&lt;=50, "Adult", A698&gt;50, "Older")</f>
        <v>Adult</v>
      </c>
      <c r="I698" t="str" cm="1">
        <f t="array" ref="I698">_xlfn.IFS(A698&lt;=25,"18-25",A698&lt;=35,"26-35",A698&lt;=45,"36-45",A698&lt;=60,"46-60",A698&gt;60,"60+")</f>
        <v>36-45</v>
      </c>
      <c r="J698" t="str" cm="1">
        <f t="array" ref="J698">_xlfn.IFS(C698&lt;18.5,"Underweight",C698&lt;25,"Normal",C698&lt;30,"Overweight",C698&gt;=30,"Obese")</f>
        <v>Obese</v>
      </c>
      <c r="K698" t="str" cm="1">
        <f t="array" ref="K698">_xlfn.IFS(G698&lt;10000, "Low", G698&lt;=25000, "Medium", G698&gt;25000, "High")</f>
        <v>Low</v>
      </c>
    </row>
    <row r="699" spans="1:11" x14ac:dyDescent="0.3">
      <c r="A699">
        <v>40</v>
      </c>
      <c r="B699" s="1" t="s">
        <v>8</v>
      </c>
      <c r="C699">
        <v>30.78</v>
      </c>
      <c r="D699">
        <v>1</v>
      </c>
      <c r="E699" t="s">
        <v>10</v>
      </c>
      <c r="F699" t="s">
        <v>13</v>
      </c>
      <c r="G699" s="2">
        <v>9850.4320000000007</v>
      </c>
      <c r="H699" t="str" cm="1">
        <f t="array" ref="H699">_xlfn.IFS(A699&lt;=30, "Youth", A699&lt;=50, "Adult", A699&gt;50, "Older")</f>
        <v>Adult</v>
      </c>
      <c r="I699" t="str" cm="1">
        <f t="array" ref="I699">_xlfn.IFS(A699&lt;=25,"18-25",A699&lt;=35,"26-35",A699&lt;=45,"36-45",A699&lt;=60,"46-60",A699&gt;60,"60+")</f>
        <v>36-45</v>
      </c>
      <c r="J699" t="str" cm="1">
        <f t="array" ref="J699">_xlfn.IFS(C699&lt;18.5,"Underweight",C699&lt;25,"Normal",C699&lt;30,"Overweight",C699&gt;=30,"Obese")</f>
        <v>Obese</v>
      </c>
      <c r="K699" t="str" cm="1">
        <f t="array" ref="K699">_xlfn.IFS(G699&lt;10000, "Low", G699&lt;=25000, "Medium", G699&gt;25000, "High")</f>
        <v>Low</v>
      </c>
    </row>
    <row r="700" spans="1:11" x14ac:dyDescent="0.3">
      <c r="A700">
        <v>40</v>
      </c>
      <c r="B700" s="1" t="s">
        <v>7</v>
      </c>
      <c r="C700">
        <v>30.78</v>
      </c>
      <c r="D700">
        <v>1</v>
      </c>
      <c r="E700" t="s">
        <v>10</v>
      </c>
      <c r="F700" t="s">
        <v>12</v>
      </c>
      <c r="G700" s="2">
        <v>9855.1314000000002</v>
      </c>
      <c r="H700" t="str" cm="1">
        <f t="array" ref="H700">_xlfn.IFS(A700&lt;=30, "Youth", A700&lt;=50, "Adult", A700&gt;50, "Older")</f>
        <v>Adult</v>
      </c>
      <c r="I700" t="str" cm="1">
        <f t="array" ref="I700">_xlfn.IFS(A700&lt;=25,"18-25",A700&lt;=35,"26-35",A700&lt;=45,"36-45",A700&lt;=60,"46-60",A700&gt;60,"60+")</f>
        <v>36-45</v>
      </c>
      <c r="J700" t="str" cm="1">
        <f t="array" ref="J700">_xlfn.IFS(C700&lt;18.5,"Underweight",C700&lt;25,"Normal",C700&lt;30,"Overweight",C700&gt;=30,"Obese")</f>
        <v>Obese</v>
      </c>
      <c r="K700" t="str" cm="1">
        <f t="array" ref="K700">_xlfn.IFS(G700&lt;10000, "Low", G700&lt;=25000, "Medium", G700&gt;25000, "High")</f>
        <v>Low</v>
      </c>
    </row>
    <row r="701" spans="1:11" x14ac:dyDescent="0.3">
      <c r="A701">
        <v>40</v>
      </c>
      <c r="B701" s="1" t="s">
        <v>7</v>
      </c>
      <c r="C701">
        <v>30.78</v>
      </c>
      <c r="D701">
        <v>1</v>
      </c>
      <c r="E701" t="s">
        <v>10</v>
      </c>
      <c r="F701" t="s">
        <v>12</v>
      </c>
      <c r="G701" s="2">
        <v>9861.0249999999996</v>
      </c>
      <c r="H701" t="str" cm="1">
        <f t="array" ref="H701">_xlfn.IFS(A701&lt;=30, "Youth", A701&lt;=50, "Adult", A701&gt;50, "Older")</f>
        <v>Adult</v>
      </c>
      <c r="I701" t="str" cm="1">
        <f t="array" ref="I701">_xlfn.IFS(A701&lt;=25,"18-25",A701&lt;=35,"26-35",A701&lt;=45,"36-45",A701&lt;=60,"46-60",A701&gt;60,"60+")</f>
        <v>36-45</v>
      </c>
      <c r="J701" t="str" cm="1">
        <f t="array" ref="J701">_xlfn.IFS(C701&lt;18.5,"Underweight",C701&lt;25,"Normal",C701&lt;30,"Overweight",C701&gt;=30,"Obese")</f>
        <v>Obese</v>
      </c>
      <c r="K701" t="str" cm="1">
        <f t="array" ref="K701">_xlfn.IFS(G701&lt;10000, "Low", G701&lt;=25000, "Medium", G701&gt;25000, "High")</f>
        <v>Low</v>
      </c>
    </row>
    <row r="702" spans="1:11" x14ac:dyDescent="0.3">
      <c r="A702">
        <v>41</v>
      </c>
      <c r="B702" s="1" t="s">
        <v>7</v>
      </c>
      <c r="C702">
        <v>30.78</v>
      </c>
      <c r="D702">
        <v>1</v>
      </c>
      <c r="E702" t="s">
        <v>10</v>
      </c>
      <c r="F702" t="s">
        <v>14</v>
      </c>
      <c r="G702" s="2">
        <v>9863.4717999999993</v>
      </c>
      <c r="H702" t="str" cm="1">
        <f t="array" ref="H702">_xlfn.IFS(A702&lt;=30, "Youth", A702&lt;=50, "Adult", A702&gt;50, "Older")</f>
        <v>Adult</v>
      </c>
      <c r="I702" t="str" cm="1">
        <f t="array" ref="I702">_xlfn.IFS(A702&lt;=25,"18-25",A702&lt;=35,"26-35",A702&lt;=45,"36-45",A702&lt;=60,"46-60",A702&gt;60,"60+")</f>
        <v>36-45</v>
      </c>
      <c r="J702" t="str" cm="1">
        <f t="array" ref="J702">_xlfn.IFS(C702&lt;18.5,"Underweight",C702&lt;25,"Normal",C702&lt;30,"Overweight",C702&gt;=30,"Obese")</f>
        <v>Obese</v>
      </c>
      <c r="K702" t="str" cm="1">
        <f t="array" ref="K702">_xlfn.IFS(G702&lt;10000, "Low", G702&lt;=25000, "Medium", G702&gt;25000, "High")</f>
        <v>Low</v>
      </c>
    </row>
    <row r="703" spans="1:11" x14ac:dyDescent="0.3">
      <c r="A703">
        <v>41</v>
      </c>
      <c r="B703" s="1" t="s">
        <v>8</v>
      </c>
      <c r="C703">
        <v>30.8</v>
      </c>
      <c r="D703">
        <v>1</v>
      </c>
      <c r="E703" t="s">
        <v>10</v>
      </c>
      <c r="F703" t="s">
        <v>12</v>
      </c>
      <c r="G703" s="2">
        <v>9866.3048500000004</v>
      </c>
      <c r="H703" t="str" cm="1">
        <f t="array" ref="H703">_xlfn.IFS(A703&lt;=30, "Youth", A703&lt;=50, "Adult", A703&gt;50, "Older")</f>
        <v>Adult</v>
      </c>
      <c r="I703" t="str" cm="1">
        <f t="array" ref="I703">_xlfn.IFS(A703&lt;=25,"18-25",A703&lt;=35,"26-35",A703&lt;=45,"36-45",A703&lt;=60,"46-60",A703&gt;60,"60+")</f>
        <v>36-45</v>
      </c>
      <c r="J703" t="str" cm="1">
        <f t="array" ref="J703">_xlfn.IFS(C703&lt;18.5,"Underweight",C703&lt;25,"Normal",C703&lt;30,"Overweight",C703&gt;=30,"Obese")</f>
        <v>Obese</v>
      </c>
      <c r="K703" t="str" cm="1">
        <f t="array" ref="K703">_xlfn.IFS(G703&lt;10000, "Low", G703&lt;=25000, "Medium", G703&gt;25000, "High")</f>
        <v>Low</v>
      </c>
    </row>
    <row r="704" spans="1:11" x14ac:dyDescent="0.3">
      <c r="A704">
        <v>41</v>
      </c>
      <c r="B704" s="1" t="s">
        <v>7</v>
      </c>
      <c r="C704">
        <v>30.8</v>
      </c>
      <c r="D704">
        <v>1</v>
      </c>
      <c r="E704" t="s">
        <v>10</v>
      </c>
      <c r="F704" t="s">
        <v>13</v>
      </c>
      <c r="G704" s="2">
        <v>9869.8101999999999</v>
      </c>
      <c r="H704" t="str" cm="1">
        <f t="array" ref="H704">_xlfn.IFS(A704&lt;=30, "Youth", A704&lt;=50, "Adult", A704&gt;50, "Older")</f>
        <v>Adult</v>
      </c>
      <c r="I704" t="str" cm="1">
        <f t="array" ref="I704">_xlfn.IFS(A704&lt;=25,"18-25",A704&lt;=35,"26-35",A704&lt;=45,"36-45",A704&lt;=60,"46-60",A704&gt;60,"60+")</f>
        <v>36-45</v>
      </c>
      <c r="J704" t="str" cm="1">
        <f t="array" ref="J704">_xlfn.IFS(C704&lt;18.5,"Underweight",C704&lt;25,"Normal",C704&lt;30,"Overweight",C704&gt;=30,"Obese")</f>
        <v>Obese</v>
      </c>
      <c r="K704" t="str" cm="1">
        <f t="array" ref="K704">_xlfn.IFS(G704&lt;10000, "Low", G704&lt;=25000, "Medium", G704&gt;25000, "High")</f>
        <v>Low</v>
      </c>
    </row>
    <row r="705" spans="1:11" x14ac:dyDescent="0.3">
      <c r="A705">
        <v>41</v>
      </c>
      <c r="B705" s="1" t="s">
        <v>7</v>
      </c>
      <c r="C705">
        <v>30.8</v>
      </c>
      <c r="D705">
        <v>1</v>
      </c>
      <c r="E705" t="s">
        <v>10</v>
      </c>
      <c r="F705" t="s">
        <v>13</v>
      </c>
      <c r="G705" s="2">
        <v>9872.7009999999991</v>
      </c>
      <c r="H705" t="str" cm="1">
        <f t="array" ref="H705">_xlfn.IFS(A705&lt;=30, "Youth", A705&lt;=50, "Adult", A705&gt;50, "Older")</f>
        <v>Adult</v>
      </c>
      <c r="I705" t="str" cm="1">
        <f t="array" ref="I705">_xlfn.IFS(A705&lt;=25,"18-25",A705&lt;=35,"26-35",A705&lt;=45,"36-45",A705&lt;=60,"46-60",A705&gt;60,"60+")</f>
        <v>36-45</v>
      </c>
      <c r="J705" t="str" cm="1">
        <f t="array" ref="J705">_xlfn.IFS(C705&lt;18.5,"Underweight",C705&lt;25,"Normal",C705&lt;30,"Overweight",C705&gt;=30,"Obese")</f>
        <v>Obese</v>
      </c>
      <c r="K705" t="str" cm="1">
        <f t="array" ref="K705">_xlfn.IFS(G705&lt;10000, "Low", G705&lt;=25000, "Medium", G705&gt;25000, "High")</f>
        <v>Low</v>
      </c>
    </row>
    <row r="706" spans="1:11" x14ac:dyDescent="0.3">
      <c r="A706">
        <v>41</v>
      </c>
      <c r="B706" s="1" t="s">
        <v>7</v>
      </c>
      <c r="C706">
        <v>30.8</v>
      </c>
      <c r="D706">
        <v>1</v>
      </c>
      <c r="E706" t="s">
        <v>10</v>
      </c>
      <c r="F706" t="s">
        <v>11</v>
      </c>
      <c r="G706" s="2">
        <v>9875.6803999999993</v>
      </c>
      <c r="H706" t="str" cm="1">
        <f t="array" ref="H706">_xlfn.IFS(A706&lt;=30, "Youth", A706&lt;=50, "Adult", A706&gt;50, "Older")</f>
        <v>Adult</v>
      </c>
      <c r="I706" t="str" cm="1">
        <f t="array" ref="I706">_xlfn.IFS(A706&lt;=25,"18-25",A706&lt;=35,"26-35",A706&lt;=45,"36-45",A706&lt;=60,"46-60",A706&gt;60,"60+")</f>
        <v>36-45</v>
      </c>
      <c r="J706" t="str" cm="1">
        <f t="array" ref="J706">_xlfn.IFS(C706&lt;18.5,"Underweight",C706&lt;25,"Normal",C706&lt;30,"Overweight",C706&gt;=30,"Obese")</f>
        <v>Obese</v>
      </c>
      <c r="K706" t="str" cm="1">
        <f t="array" ref="K706">_xlfn.IFS(G706&lt;10000, "Low", G706&lt;=25000, "Medium", G706&gt;25000, "High")</f>
        <v>Low</v>
      </c>
    </row>
    <row r="707" spans="1:11" x14ac:dyDescent="0.3">
      <c r="A707">
        <v>41</v>
      </c>
      <c r="B707" s="1" t="s">
        <v>7</v>
      </c>
      <c r="C707">
        <v>30.8</v>
      </c>
      <c r="D707">
        <v>1</v>
      </c>
      <c r="E707" t="s">
        <v>9</v>
      </c>
      <c r="F707" t="s">
        <v>12</v>
      </c>
      <c r="G707" s="2">
        <v>9877.6077000000005</v>
      </c>
      <c r="H707" t="str" cm="1">
        <f t="array" ref="H707">_xlfn.IFS(A707&lt;=30, "Youth", A707&lt;=50, "Adult", A707&gt;50, "Older")</f>
        <v>Adult</v>
      </c>
      <c r="I707" t="str" cm="1">
        <f t="array" ref="I707">_xlfn.IFS(A707&lt;=25,"18-25",A707&lt;=35,"26-35",A707&lt;=45,"36-45",A707&lt;=60,"46-60",A707&gt;60,"60+")</f>
        <v>36-45</v>
      </c>
      <c r="J707" t="str" cm="1">
        <f t="array" ref="J707">_xlfn.IFS(C707&lt;18.5,"Underweight",C707&lt;25,"Normal",C707&lt;30,"Overweight",C707&gt;=30,"Obese")</f>
        <v>Obese</v>
      </c>
      <c r="K707" t="str" cm="1">
        <f t="array" ref="K707">_xlfn.IFS(G707&lt;10000, "Low", G707&lt;=25000, "Medium", G707&gt;25000, "High")</f>
        <v>Low</v>
      </c>
    </row>
    <row r="708" spans="1:11" x14ac:dyDescent="0.3">
      <c r="A708">
        <v>41</v>
      </c>
      <c r="B708" s="1" t="s">
        <v>8</v>
      </c>
      <c r="C708">
        <v>30.8</v>
      </c>
      <c r="D708">
        <v>1</v>
      </c>
      <c r="E708" t="s">
        <v>10</v>
      </c>
      <c r="F708" t="s">
        <v>13</v>
      </c>
      <c r="G708" s="2">
        <v>9880.0679999999993</v>
      </c>
      <c r="H708" t="str" cm="1">
        <f t="array" ref="H708">_xlfn.IFS(A708&lt;=30, "Youth", A708&lt;=50, "Adult", A708&gt;50, "Older")</f>
        <v>Adult</v>
      </c>
      <c r="I708" t="str" cm="1">
        <f t="array" ref="I708">_xlfn.IFS(A708&lt;=25,"18-25",A708&lt;=35,"26-35",A708&lt;=45,"36-45",A708&lt;=60,"46-60",A708&gt;60,"60+")</f>
        <v>36-45</v>
      </c>
      <c r="J708" t="str" cm="1">
        <f t="array" ref="J708">_xlfn.IFS(C708&lt;18.5,"Underweight",C708&lt;25,"Normal",C708&lt;30,"Overweight",C708&gt;=30,"Obese")</f>
        <v>Obese</v>
      </c>
      <c r="K708" t="str" cm="1">
        <f t="array" ref="K708">_xlfn.IFS(G708&lt;10000, "Low", G708&lt;=25000, "Medium", G708&gt;25000, "High")</f>
        <v>Low</v>
      </c>
    </row>
    <row r="709" spans="1:11" x14ac:dyDescent="0.3">
      <c r="A709">
        <v>41</v>
      </c>
      <c r="B709" s="1" t="s">
        <v>7</v>
      </c>
      <c r="C709">
        <v>30.8</v>
      </c>
      <c r="D709">
        <v>1</v>
      </c>
      <c r="E709" t="s">
        <v>10</v>
      </c>
      <c r="F709" t="s">
        <v>14</v>
      </c>
      <c r="G709" s="2">
        <v>9910.3598500000007</v>
      </c>
      <c r="H709" t="str" cm="1">
        <f t="array" ref="H709">_xlfn.IFS(A709&lt;=30, "Youth", A709&lt;=50, "Adult", A709&gt;50, "Older")</f>
        <v>Adult</v>
      </c>
      <c r="I709" t="str" cm="1">
        <f t="array" ref="I709">_xlfn.IFS(A709&lt;=25,"18-25",A709&lt;=35,"26-35",A709&lt;=45,"36-45",A709&lt;=60,"46-60",A709&gt;60,"60+")</f>
        <v>36-45</v>
      </c>
      <c r="J709" t="str" cm="1">
        <f t="array" ref="J709">_xlfn.IFS(C709&lt;18.5,"Underweight",C709&lt;25,"Normal",C709&lt;30,"Overweight",C709&gt;=30,"Obese")</f>
        <v>Obese</v>
      </c>
      <c r="K709" t="str" cm="1">
        <f t="array" ref="K709">_xlfn.IFS(G709&lt;10000, "Low", G709&lt;=25000, "Medium", G709&gt;25000, "High")</f>
        <v>Low</v>
      </c>
    </row>
    <row r="710" spans="1:11" x14ac:dyDescent="0.3">
      <c r="A710">
        <v>41</v>
      </c>
      <c r="B710" s="1" t="s">
        <v>7</v>
      </c>
      <c r="C710">
        <v>30.8</v>
      </c>
      <c r="D710">
        <v>1</v>
      </c>
      <c r="E710" t="s">
        <v>10</v>
      </c>
      <c r="F710" t="s">
        <v>14</v>
      </c>
      <c r="G710" s="2">
        <v>9957.7216000000008</v>
      </c>
      <c r="H710" t="str" cm="1">
        <f t="array" ref="H710">_xlfn.IFS(A710&lt;=30, "Youth", A710&lt;=50, "Adult", A710&gt;50, "Older")</f>
        <v>Adult</v>
      </c>
      <c r="I710" t="str" cm="1">
        <f t="array" ref="I710">_xlfn.IFS(A710&lt;=25,"18-25",A710&lt;=35,"26-35",A710&lt;=45,"36-45",A710&lt;=60,"46-60",A710&gt;60,"60+")</f>
        <v>36-45</v>
      </c>
      <c r="J710" t="str" cm="1">
        <f t="array" ref="J710">_xlfn.IFS(C710&lt;18.5,"Underweight",C710&lt;25,"Normal",C710&lt;30,"Overweight",C710&gt;=30,"Obese")</f>
        <v>Obese</v>
      </c>
      <c r="K710" t="str" cm="1">
        <f t="array" ref="K710">_xlfn.IFS(G710&lt;10000, "Low", G710&lt;=25000, "Medium", G710&gt;25000, "High")</f>
        <v>Low</v>
      </c>
    </row>
    <row r="711" spans="1:11" x14ac:dyDescent="0.3">
      <c r="A711">
        <v>41</v>
      </c>
      <c r="B711" s="1" t="s">
        <v>8</v>
      </c>
      <c r="C711">
        <v>30.875</v>
      </c>
      <c r="D711">
        <v>1</v>
      </c>
      <c r="E711" t="s">
        <v>10</v>
      </c>
      <c r="F711" t="s">
        <v>12</v>
      </c>
      <c r="G711" s="2">
        <v>9964.06</v>
      </c>
      <c r="H711" t="str" cm="1">
        <f t="array" ref="H711">_xlfn.IFS(A711&lt;=30, "Youth", A711&lt;=50, "Adult", A711&gt;50, "Older")</f>
        <v>Adult</v>
      </c>
      <c r="I711" t="str" cm="1">
        <f t="array" ref="I711">_xlfn.IFS(A711&lt;=25,"18-25",A711&lt;=35,"26-35",A711&lt;=45,"36-45",A711&lt;=60,"46-60",A711&gt;60,"60+")</f>
        <v>36-45</v>
      </c>
      <c r="J711" t="str" cm="1">
        <f t="array" ref="J711">_xlfn.IFS(C711&lt;18.5,"Underweight",C711&lt;25,"Normal",C711&lt;30,"Overweight",C711&gt;=30,"Obese")</f>
        <v>Obese</v>
      </c>
      <c r="K711" t="str" cm="1">
        <f t="array" ref="K711">_xlfn.IFS(G711&lt;10000, "Low", G711&lt;=25000, "Medium", G711&gt;25000, "High")</f>
        <v>Low</v>
      </c>
    </row>
    <row r="712" spans="1:11" x14ac:dyDescent="0.3">
      <c r="A712">
        <v>41</v>
      </c>
      <c r="B712" s="1" t="s">
        <v>7</v>
      </c>
      <c r="C712">
        <v>30.875</v>
      </c>
      <c r="D712">
        <v>1</v>
      </c>
      <c r="E712" t="s">
        <v>10</v>
      </c>
      <c r="F712" t="s">
        <v>12</v>
      </c>
      <c r="G712" s="2">
        <v>9991.0376500000002</v>
      </c>
      <c r="H712" t="str" cm="1">
        <f t="array" ref="H712">_xlfn.IFS(A712&lt;=30, "Youth", A712&lt;=50, "Adult", A712&gt;50, "Older")</f>
        <v>Adult</v>
      </c>
      <c r="I712" t="str" cm="1">
        <f t="array" ref="I712">_xlfn.IFS(A712&lt;=25,"18-25",A712&lt;=35,"26-35",A712&lt;=45,"36-45",A712&lt;=60,"46-60",A712&gt;60,"60+")</f>
        <v>36-45</v>
      </c>
      <c r="J712" t="str" cm="1">
        <f t="array" ref="J712">_xlfn.IFS(C712&lt;18.5,"Underweight",C712&lt;25,"Normal",C712&lt;30,"Overweight",C712&gt;=30,"Obese")</f>
        <v>Obese</v>
      </c>
      <c r="K712" t="str" cm="1">
        <f t="array" ref="K712">_xlfn.IFS(G712&lt;10000, "Low", G712&lt;=25000, "Medium", G712&gt;25000, "High")</f>
        <v>Low</v>
      </c>
    </row>
    <row r="713" spans="1:11" x14ac:dyDescent="0.3">
      <c r="A713">
        <v>41</v>
      </c>
      <c r="B713" s="1" t="s">
        <v>7</v>
      </c>
      <c r="C713">
        <v>30.875</v>
      </c>
      <c r="D713">
        <v>1</v>
      </c>
      <c r="E713" t="s">
        <v>10</v>
      </c>
      <c r="F713" t="s">
        <v>13</v>
      </c>
      <c r="G713" s="2">
        <v>10043.249</v>
      </c>
      <c r="H713" t="str" cm="1">
        <f t="array" ref="H713">_xlfn.IFS(A713&lt;=30, "Youth", A713&lt;=50, "Adult", A713&gt;50, "Older")</f>
        <v>Adult</v>
      </c>
      <c r="I713" t="str" cm="1">
        <f t="array" ref="I713">_xlfn.IFS(A713&lt;=25,"18-25",A713&lt;=35,"26-35",A713&lt;=45,"36-45",A713&lt;=60,"46-60",A713&gt;60,"60+")</f>
        <v>36-45</v>
      </c>
      <c r="J713" t="str" cm="1">
        <f t="array" ref="J713">_xlfn.IFS(C713&lt;18.5,"Underweight",C713&lt;25,"Normal",C713&lt;30,"Overweight",C713&gt;=30,"Obese")</f>
        <v>Obese</v>
      </c>
      <c r="K713" t="str" cm="1">
        <f t="array" ref="K713">_xlfn.IFS(G713&lt;10000, "Low", G713&lt;=25000, "Medium", G713&gt;25000, "High")</f>
        <v>Medium</v>
      </c>
    </row>
    <row r="714" spans="1:11" x14ac:dyDescent="0.3">
      <c r="A714">
        <v>41</v>
      </c>
      <c r="B714" s="1" t="s">
        <v>8</v>
      </c>
      <c r="C714">
        <v>30.875</v>
      </c>
      <c r="D714">
        <v>1</v>
      </c>
      <c r="E714" t="s">
        <v>10</v>
      </c>
      <c r="F714" t="s">
        <v>14</v>
      </c>
      <c r="G714" s="2">
        <v>10065.413</v>
      </c>
      <c r="H714" t="str" cm="1">
        <f t="array" ref="H714">_xlfn.IFS(A714&lt;=30, "Youth", A714&lt;=50, "Adult", A714&gt;50, "Older")</f>
        <v>Adult</v>
      </c>
      <c r="I714" t="str" cm="1">
        <f t="array" ref="I714">_xlfn.IFS(A714&lt;=25,"18-25",A714&lt;=35,"26-35",A714&lt;=45,"36-45",A714&lt;=60,"46-60",A714&gt;60,"60+")</f>
        <v>36-45</v>
      </c>
      <c r="J714" t="str" cm="1">
        <f t="array" ref="J714">_xlfn.IFS(C714&lt;18.5,"Underweight",C714&lt;25,"Normal",C714&lt;30,"Overweight",C714&gt;=30,"Obese")</f>
        <v>Obese</v>
      </c>
      <c r="K714" t="str" cm="1">
        <f t="array" ref="K714">_xlfn.IFS(G714&lt;10000, "Low", G714&lt;=25000, "Medium", G714&gt;25000, "High")</f>
        <v>Medium</v>
      </c>
    </row>
    <row r="715" spans="1:11" x14ac:dyDescent="0.3">
      <c r="A715">
        <v>41</v>
      </c>
      <c r="B715" s="1" t="s">
        <v>7</v>
      </c>
      <c r="C715">
        <v>30.875</v>
      </c>
      <c r="D715">
        <v>1</v>
      </c>
      <c r="E715" t="s">
        <v>10</v>
      </c>
      <c r="F715" t="s">
        <v>11</v>
      </c>
      <c r="G715" s="2">
        <v>10072.055050000001</v>
      </c>
      <c r="H715" t="str" cm="1">
        <f t="array" ref="H715">_xlfn.IFS(A715&lt;=30, "Youth", A715&lt;=50, "Adult", A715&gt;50, "Older")</f>
        <v>Adult</v>
      </c>
      <c r="I715" t="str" cm="1">
        <f t="array" ref="I715">_xlfn.IFS(A715&lt;=25,"18-25",A715&lt;=35,"26-35",A715&lt;=45,"36-45",A715&lt;=60,"46-60",A715&gt;60,"60+")</f>
        <v>36-45</v>
      </c>
      <c r="J715" t="str" cm="1">
        <f t="array" ref="J715">_xlfn.IFS(C715&lt;18.5,"Underweight",C715&lt;25,"Normal",C715&lt;30,"Overweight",C715&gt;=30,"Obese")</f>
        <v>Obese</v>
      </c>
      <c r="K715" t="str" cm="1">
        <f t="array" ref="K715">_xlfn.IFS(G715&lt;10000, "Low", G715&lt;=25000, "Medium", G715&gt;25000, "High")</f>
        <v>Medium</v>
      </c>
    </row>
    <row r="716" spans="1:11" x14ac:dyDescent="0.3">
      <c r="A716">
        <v>41</v>
      </c>
      <c r="B716" s="1" t="s">
        <v>8</v>
      </c>
      <c r="C716">
        <v>30.875</v>
      </c>
      <c r="D716">
        <v>1</v>
      </c>
      <c r="E716" t="s">
        <v>10</v>
      </c>
      <c r="F716" t="s">
        <v>11</v>
      </c>
      <c r="G716" s="2">
        <v>10085.846</v>
      </c>
      <c r="H716" t="str" cm="1">
        <f t="array" ref="H716">_xlfn.IFS(A716&lt;=30, "Youth", A716&lt;=50, "Adult", A716&gt;50, "Older")</f>
        <v>Adult</v>
      </c>
      <c r="I716" t="str" cm="1">
        <f t="array" ref="I716">_xlfn.IFS(A716&lt;=25,"18-25",A716&lt;=35,"26-35",A716&lt;=45,"36-45",A716&lt;=60,"46-60",A716&gt;60,"60+")</f>
        <v>36-45</v>
      </c>
      <c r="J716" t="str" cm="1">
        <f t="array" ref="J716">_xlfn.IFS(C716&lt;18.5,"Underweight",C716&lt;25,"Normal",C716&lt;30,"Overweight",C716&gt;=30,"Obese")</f>
        <v>Obese</v>
      </c>
      <c r="K716" t="str" cm="1">
        <f t="array" ref="K716">_xlfn.IFS(G716&lt;10000, "Low", G716&lt;=25000, "Medium", G716&gt;25000, "High")</f>
        <v>Medium</v>
      </c>
    </row>
    <row r="717" spans="1:11" x14ac:dyDescent="0.3">
      <c r="A717">
        <v>41</v>
      </c>
      <c r="B717" s="1" t="s">
        <v>7</v>
      </c>
      <c r="C717">
        <v>30.875</v>
      </c>
      <c r="D717">
        <v>1</v>
      </c>
      <c r="E717" t="s">
        <v>10</v>
      </c>
      <c r="F717" t="s">
        <v>13</v>
      </c>
      <c r="G717" s="2">
        <v>10096.969999999999</v>
      </c>
      <c r="H717" t="str" cm="1">
        <f t="array" ref="H717">_xlfn.IFS(A717&lt;=30, "Youth", A717&lt;=50, "Adult", A717&gt;50, "Older")</f>
        <v>Adult</v>
      </c>
      <c r="I717" t="str" cm="1">
        <f t="array" ref="I717">_xlfn.IFS(A717&lt;=25,"18-25",A717&lt;=35,"26-35",A717&lt;=45,"36-45",A717&lt;=60,"46-60",A717&gt;60,"60+")</f>
        <v>36-45</v>
      </c>
      <c r="J717" t="str" cm="1">
        <f t="array" ref="J717">_xlfn.IFS(C717&lt;18.5,"Underweight",C717&lt;25,"Normal",C717&lt;30,"Overweight",C717&gt;=30,"Obese")</f>
        <v>Obese</v>
      </c>
      <c r="K717" t="str" cm="1">
        <f t="array" ref="K717">_xlfn.IFS(G717&lt;10000, "Low", G717&lt;=25000, "Medium", G717&gt;25000, "High")</f>
        <v>Medium</v>
      </c>
    </row>
    <row r="718" spans="1:11" x14ac:dyDescent="0.3">
      <c r="A718">
        <v>41</v>
      </c>
      <c r="B718" s="1" t="s">
        <v>8</v>
      </c>
      <c r="C718">
        <v>30.875</v>
      </c>
      <c r="D718">
        <v>1</v>
      </c>
      <c r="E718" t="s">
        <v>10</v>
      </c>
      <c r="F718" t="s">
        <v>13</v>
      </c>
      <c r="G718" s="2">
        <v>10106.134249999999</v>
      </c>
      <c r="H718" t="str" cm="1">
        <f t="array" ref="H718">_xlfn.IFS(A718&lt;=30, "Youth", A718&lt;=50, "Adult", A718&gt;50, "Older")</f>
        <v>Adult</v>
      </c>
      <c r="I718" t="str" cm="1">
        <f t="array" ref="I718">_xlfn.IFS(A718&lt;=25,"18-25",A718&lt;=35,"26-35",A718&lt;=45,"36-45",A718&lt;=60,"46-60",A718&gt;60,"60+")</f>
        <v>36-45</v>
      </c>
      <c r="J718" t="str" cm="1">
        <f t="array" ref="J718">_xlfn.IFS(C718&lt;18.5,"Underweight",C718&lt;25,"Normal",C718&lt;30,"Overweight",C718&gt;=30,"Obese")</f>
        <v>Obese</v>
      </c>
      <c r="K718" t="str" cm="1">
        <f t="array" ref="K718">_xlfn.IFS(G718&lt;10000, "Low", G718&lt;=25000, "Medium", G718&gt;25000, "High")</f>
        <v>Medium</v>
      </c>
    </row>
    <row r="719" spans="1:11" x14ac:dyDescent="0.3">
      <c r="A719">
        <v>41</v>
      </c>
      <c r="B719" s="1" t="s">
        <v>7</v>
      </c>
      <c r="C719">
        <v>30.9</v>
      </c>
      <c r="D719">
        <v>1</v>
      </c>
      <c r="E719" t="s">
        <v>10</v>
      </c>
      <c r="F719" t="s">
        <v>13</v>
      </c>
      <c r="G719" s="2">
        <v>10107.220600000001</v>
      </c>
      <c r="H719" t="str" cm="1">
        <f t="array" ref="H719">_xlfn.IFS(A719&lt;=30, "Youth", A719&lt;=50, "Adult", A719&gt;50, "Older")</f>
        <v>Adult</v>
      </c>
      <c r="I719" t="str" cm="1">
        <f t="array" ref="I719">_xlfn.IFS(A719&lt;=25,"18-25",A719&lt;=35,"26-35",A719&lt;=45,"36-45",A719&lt;=60,"46-60",A719&gt;60,"60+")</f>
        <v>36-45</v>
      </c>
      <c r="J719" t="str" cm="1">
        <f t="array" ref="J719">_xlfn.IFS(C719&lt;18.5,"Underweight",C719&lt;25,"Normal",C719&lt;30,"Overweight",C719&gt;=30,"Obese")</f>
        <v>Obese</v>
      </c>
      <c r="K719" t="str" cm="1">
        <f t="array" ref="K719">_xlfn.IFS(G719&lt;10000, "Low", G719&lt;=25000, "Medium", G719&gt;25000, "High")</f>
        <v>Medium</v>
      </c>
    </row>
    <row r="720" spans="1:11" x14ac:dyDescent="0.3">
      <c r="A720">
        <v>41</v>
      </c>
      <c r="B720" s="1" t="s">
        <v>7</v>
      </c>
      <c r="C720">
        <v>30.9</v>
      </c>
      <c r="D720">
        <v>1</v>
      </c>
      <c r="E720" t="s">
        <v>10</v>
      </c>
      <c r="F720" t="s">
        <v>13</v>
      </c>
      <c r="G720" s="2">
        <v>10115.00885</v>
      </c>
      <c r="H720" t="str" cm="1">
        <f t="array" ref="H720">_xlfn.IFS(A720&lt;=30, "Youth", A720&lt;=50, "Adult", A720&gt;50, "Older")</f>
        <v>Adult</v>
      </c>
      <c r="I720" t="str" cm="1">
        <f t="array" ref="I720">_xlfn.IFS(A720&lt;=25,"18-25",A720&lt;=35,"26-35",A720&lt;=45,"36-45",A720&lt;=60,"46-60",A720&gt;60,"60+")</f>
        <v>36-45</v>
      </c>
      <c r="J720" t="str" cm="1">
        <f t="array" ref="J720">_xlfn.IFS(C720&lt;18.5,"Underweight",C720&lt;25,"Normal",C720&lt;30,"Overweight",C720&gt;=30,"Obese")</f>
        <v>Obese</v>
      </c>
      <c r="K720" t="str" cm="1">
        <f t="array" ref="K720">_xlfn.IFS(G720&lt;10000, "Low", G720&lt;=25000, "Medium", G720&gt;25000, "High")</f>
        <v>Medium</v>
      </c>
    </row>
    <row r="721" spans="1:11" x14ac:dyDescent="0.3">
      <c r="A721">
        <v>41</v>
      </c>
      <c r="B721" s="1" t="s">
        <v>7</v>
      </c>
      <c r="C721">
        <v>30.9</v>
      </c>
      <c r="D721">
        <v>1</v>
      </c>
      <c r="E721" t="s">
        <v>10</v>
      </c>
      <c r="F721" t="s">
        <v>14</v>
      </c>
      <c r="G721" s="2">
        <v>10118.424000000001</v>
      </c>
      <c r="H721" t="str" cm="1">
        <f t="array" ref="H721">_xlfn.IFS(A721&lt;=30, "Youth", A721&lt;=50, "Adult", A721&gt;50, "Older")</f>
        <v>Adult</v>
      </c>
      <c r="I721" t="str" cm="1">
        <f t="array" ref="I721">_xlfn.IFS(A721&lt;=25,"18-25",A721&lt;=35,"26-35",A721&lt;=45,"36-45",A721&lt;=60,"46-60",A721&gt;60,"60+")</f>
        <v>36-45</v>
      </c>
      <c r="J721" t="str" cm="1">
        <f t="array" ref="J721">_xlfn.IFS(C721&lt;18.5,"Underweight",C721&lt;25,"Normal",C721&lt;30,"Overweight",C721&gt;=30,"Obese")</f>
        <v>Obese</v>
      </c>
      <c r="K721" t="str" cm="1">
        <f t="array" ref="K721">_xlfn.IFS(G721&lt;10000, "Low", G721&lt;=25000, "Medium", G721&gt;25000, "High")</f>
        <v>Medium</v>
      </c>
    </row>
    <row r="722" spans="1:11" x14ac:dyDescent="0.3">
      <c r="A722">
        <v>41</v>
      </c>
      <c r="B722" s="1" t="s">
        <v>8</v>
      </c>
      <c r="C722">
        <v>30.97</v>
      </c>
      <c r="D722">
        <v>1</v>
      </c>
      <c r="E722" t="s">
        <v>10</v>
      </c>
      <c r="F722" t="s">
        <v>11</v>
      </c>
      <c r="G722" s="2">
        <v>10141.136200000001</v>
      </c>
      <c r="H722" t="str" cm="1">
        <f t="array" ref="H722">_xlfn.IFS(A722&lt;=30, "Youth", A722&lt;=50, "Adult", A722&gt;50, "Older")</f>
        <v>Adult</v>
      </c>
      <c r="I722" t="str" cm="1">
        <f t="array" ref="I722">_xlfn.IFS(A722&lt;=25,"18-25",A722&lt;=35,"26-35",A722&lt;=45,"36-45",A722&lt;=60,"46-60",A722&gt;60,"60+")</f>
        <v>36-45</v>
      </c>
      <c r="J722" t="str" cm="1">
        <f t="array" ref="J722">_xlfn.IFS(C722&lt;18.5,"Underweight",C722&lt;25,"Normal",C722&lt;30,"Overweight",C722&gt;=30,"Obese")</f>
        <v>Obese</v>
      </c>
      <c r="K722" t="str" cm="1">
        <f t="array" ref="K722">_xlfn.IFS(G722&lt;10000, "Low", G722&lt;=25000, "Medium", G722&gt;25000, "High")</f>
        <v>Medium</v>
      </c>
    </row>
    <row r="723" spans="1:11" x14ac:dyDescent="0.3">
      <c r="A723">
        <v>41</v>
      </c>
      <c r="B723" s="1" t="s">
        <v>8</v>
      </c>
      <c r="C723">
        <v>31</v>
      </c>
      <c r="D723">
        <v>1</v>
      </c>
      <c r="E723" t="s">
        <v>10</v>
      </c>
      <c r="F723" t="s">
        <v>11</v>
      </c>
      <c r="G723" s="2">
        <v>10156.7832</v>
      </c>
      <c r="H723" t="str" cm="1">
        <f t="array" ref="H723">_xlfn.IFS(A723&lt;=30, "Youth", A723&lt;=50, "Adult", A723&gt;50, "Older")</f>
        <v>Adult</v>
      </c>
      <c r="I723" t="str" cm="1">
        <f t="array" ref="I723">_xlfn.IFS(A723&lt;=25,"18-25",A723&lt;=35,"26-35",A723&lt;=45,"36-45",A723&lt;=60,"46-60",A723&gt;60,"60+")</f>
        <v>36-45</v>
      </c>
      <c r="J723" t="str" cm="1">
        <f t="array" ref="J723">_xlfn.IFS(C723&lt;18.5,"Underweight",C723&lt;25,"Normal",C723&lt;30,"Overweight",C723&gt;=30,"Obese")</f>
        <v>Obese</v>
      </c>
      <c r="K723" t="str" cm="1">
        <f t="array" ref="K723">_xlfn.IFS(G723&lt;10000, "Low", G723&lt;=25000, "Medium", G723&gt;25000, "High")</f>
        <v>Medium</v>
      </c>
    </row>
    <row r="724" spans="1:11" x14ac:dyDescent="0.3">
      <c r="A724">
        <v>41</v>
      </c>
      <c r="B724" s="1" t="s">
        <v>8</v>
      </c>
      <c r="C724">
        <v>31</v>
      </c>
      <c r="D724">
        <v>1</v>
      </c>
      <c r="E724" t="s">
        <v>10</v>
      </c>
      <c r="F724" t="s">
        <v>11</v>
      </c>
      <c r="G724" s="2">
        <v>10197.772199999999</v>
      </c>
      <c r="H724" t="str" cm="1">
        <f t="array" ref="H724">_xlfn.IFS(A724&lt;=30, "Youth", A724&lt;=50, "Adult", A724&gt;50, "Older")</f>
        <v>Adult</v>
      </c>
      <c r="I724" t="str" cm="1">
        <f t="array" ref="I724">_xlfn.IFS(A724&lt;=25,"18-25",A724&lt;=35,"26-35",A724&lt;=45,"36-45",A724&lt;=60,"46-60",A724&gt;60,"60+")</f>
        <v>36-45</v>
      </c>
      <c r="J724" t="str" cm="1">
        <f t="array" ref="J724">_xlfn.IFS(C724&lt;18.5,"Underweight",C724&lt;25,"Normal",C724&lt;30,"Overweight",C724&gt;=30,"Obese")</f>
        <v>Obese</v>
      </c>
      <c r="K724" t="str" cm="1">
        <f t="array" ref="K724">_xlfn.IFS(G724&lt;10000, "Low", G724&lt;=25000, "Medium", G724&gt;25000, "High")</f>
        <v>Medium</v>
      </c>
    </row>
    <row r="725" spans="1:11" x14ac:dyDescent="0.3">
      <c r="A725">
        <v>41</v>
      </c>
      <c r="B725" s="1" t="s">
        <v>7</v>
      </c>
      <c r="C725">
        <v>31.02</v>
      </c>
      <c r="D725">
        <v>1</v>
      </c>
      <c r="E725" t="s">
        <v>10</v>
      </c>
      <c r="F725" t="s">
        <v>14</v>
      </c>
      <c r="G725" s="2">
        <v>10214.636</v>
      </c>
      <c r="H725" t="str" cm="1">
        <f t="array" ref="H725">_xlfn.IFS(A725&lt;=30, "Youth", A725&lt;=50, "Adult", A725&gt;50, "Older")</f>
        <v>Adult</v>
      </c>
      <c r="I725" t="str" cm="1">
        <f t="array" ref="I725">_xlfn.IFS(A725&lt;=25,"18-25",A725&lt;=35,"26-35",A725&lt;=45,"36-45",A725&lt;=60,"46-60",A725&gt;60,"60+")</f>
        <v>36-45</v>
      </c>
      <c r="J725" t="str" cm="1">
        <f t="array" ref="J725">_xlfn.IFS(C725&lt;18.5,"Underweight",C725&lt;25,"Normal",C725&lt;30,"Overweight",C725&gt;=30,"Obese")</f>
        <v>Obese</v>
      </c>
      <c r="K725" t="str" cm="1">
        <f t="array" ref="K725">_xlfn.IFS(G725&lt;10000, "Low", G725&lt;=25000, "Medium", G725&gt;25000, "High")</f>
        <v>Medium</v>
      </c>
    </row>
    <row r="726" spans="1:11" x14ac:dyDescent="0.3">
      <c r="A726">
        <v>41</v>
      </c>
      <c r="B726" s="1" t="s">
        <v>7</v>
      </c>
      <c r="C726">
        <v>31.02</v>
      </c>
      <c r="D726">
        <v>1</v>
      </c>
      <c r="E726" t="s">
        <v>9</v>
      </c>
      <c r="F726" t="s">
        <v>12</v>
      </c>
      <c r="G726" s="2">
        <v>10226.2842</v>
      </c>
      <c r="H726" t="str" cm="1">
        <f t="array" ref="H726">_xlfn.IFS(A726&lt;=30, "Youth", A726&lt;=50, "Adult", A726&gt;50, "Older")</f>
        <v>Adult</v>
      </c>
      <c r="I726" t="str" cm="1">
        <f t="array" ref="I726">_xlfn.IFS(A726&lt;=25,"18-25",A726&lt;=35,"26-35",A726&lt;=45,"36-45",A726&lt;=60,"46-60",A726&gt;60,"60+")</f>
        <v>36-45</v>
      </c>
      <c r="J726" t="str" cm="1">
        <f t="array" ref="J726">_xlfn.IFS(C726&lt;18.5,"Underweight",C726&lt;25,"Normal",C726&lt;30,"Overweight",C726&gt;=30,"Obese")</f>
        <v>Obese</v>
      </c>
      <c r="K726" t="str" cm="1">
        <f t="array" ref="K726">_xlfn.IFS(G726&lt;10000, "Low", G726&lt;=25000, "Medium", G726&gt;25000, "High")</f>
        <v>Medium</v>
      </c>
    </row>
    <row r="727" spans="1:11" x14ac:dyDescent="0.3">
      <c r="A727">
        <v>41</v>
      </c>
      <c r="B727" s="1" t="s">
        <v>8</v>
      </c>
      <c r="C727">
        <v>31.02</v>
      </c>
      <c r="D727">
        <v>1</v>
      </c>
      <c r="E727" t="s">
        <v>10</v>
      </c>
      <c r="F727" t="s">
        <v>13</v>
      </c>
      <c r="G727" s="2">
        <v>10231.499900000001</v>
      </c>
      <c r="H727" t="str" cm="1">
        <f t="array" ref="H727">_xlfn.IFS(A727&lt;=30, "Youth", A727&lt;=50, "Adult", A727&gt;50, "Older")</f>
        <v>Adult</v>
      </c>
      <c r="I727" t="str" cm="1">
        <f t="array" ref="I727">_xlfn.IFS(A727&lt;=25,"18-25",A727&lt;=35,"26-35",A727&lt;=45,"36-45",A727&lt;=60,"46-60",A727&gt;60,"60+")</f>
        <v>36-45</v>
      </c>
      <c r="J727" t="str" cm="1">
        <f t="array" ref="J727">_xlfn.IFS(C727&lt;18.5,"Underweight",C727&lt;25,"Normal",C727&lt;30,"Overweight",C727&gt;=30,"Obese")</f>
        <v>Obese</v>
      </c>
      <c r="K727" t="str" cm="1">
        <f t="array" ref="K727">_xlfn.IFS(G727&lt;10000, "Low", G727&lt;=25000, "Medium", G727&gt;25000, "High")</f>
        <v>Medium</v>
      </c>
    </row>
    <row r="728" spans="1:11" x14ac:dyDescent="0.3">
      <c r="A728">
        <v>41</v>
      </c>
      <c r="B728" s="1" t="s">
        <v>7</v>
      </c>
      <c r="C728">
        <v>31.065000000000001</v>
      </c>
      <c r="D728">
        <v>1</v>
      </c>
      <c r="E728" t="s">
        <v>9</v>
      </c>
      <c r="F728" t="s">
        <v>14</v>
      </c>
      <c r="G728" s="2">
        <v>10264.4421</v>
      </c>
      <c r="H728" t="str" cm="1">
        <f t="array" ref="H728">_xlfn.IFS(A728&lt;=30, "Youth", A728&lt;=50, "Adult", A728&gt;50, "Older")</f>
        <v>Adult</v>
      </c>
      <c r="I728" t="str" cm="1">
        <f t="array" ref="I728">_xlfn.IFS(A728&lt;=25,"18-25",A728&lt;=35,"26-35",A728&lt;=45,"36-45",A728&lt;=60,"46-60",A728&gt;60,"60+")</f>
        <v>36-45</v>
      </c>
      <c r="J728" t="str" cm="1">
        <f t="array" ref="J728">_xlfn.IFS(C728&lt;18.5,"Underweight",C728&lt;25,"Normal",C728&lt;30,"Overweight",C728&gt;=30,"Obese")</f>
        <v>Obese</v>
      </c>
      <c r="K728" t="str" cm="1">
        <f t="array" ref="K728">_xlfn.IFS(G728&lt;10000, "Low", G728&lt;=25000, "Medium", G728&gt;25000, "High")</f>
        <v>Medium</v>
      </c>
    </row>
    <row r="729" spans="1:11" x14ac:dyDescent="0.3">
      <c r="A729">
        <v>42</v>
      </c>
      <c r="B729" s="1" t="s">
        <v>7</v>
      </c>
      <c r="C729">
        <v>31.065000000000001</v>
      </c>
      <c r="D729">
        <v>1</v>
      </c>
      <c r="E729" t="s">
        <v>10</v>
      </c>
      <c r="F729" t="s">
        <v>14</v>
      </c>
      <c r="G729" s="2">
        <v>10269.459999999999</v>
      </c>
      <c r="H729" t="str" cm="1">
        <f t="array" ref="H729">_xlfn.IFS(A729&lt;=30, "Youth", A729&lt;=50, "Adult", A729&gt;50, "Older")</f>
        <v>Adult</v>
      </c>
      <c r="I729" t="str" cm="1">
        <f t="array" ref="I729">_xlfn.IFS(A729&lt;=25,"18-25",A729&lt;=35,"26-35",A729&lt;=45,"36-45",A729&lt;=60,"46-60",A729&gt;60,"60+")</f>
        <v>36-45</v>
      </c>
      <c r="J729" t="str" cm="1">
        <f t="array" ref="J729">_xlfn.IFS(C729&lt;18.5,"Underweight",C729&lt;25,"Normal",C729&lt;30,"Overweight",C729&gt;=30,"Obese")</f>
        <v>Obese</v>
      </c>
      <c r="K729" t="str" cm="1">
        <f t="array" ref="K729">_xlfn.IFS(G729&lt;10000, "Low", G729&lt;=25000, "Medium", G729&gt;25000, "High")</f>
        <v>Medium</v>
      </c>
    </row>
    <row r="730" spans="1:11" x14ac:dyDescent="0.3">
      <c r="A730">
        <v>42</v>
      </c>
      <c r="B730" s="1" t="s">
        <v>7</v>
      </c>
      <c r="C730">
        <v>31.065000000000001</v>
      </c>
      <c r="D730">
        <v>1</v>
      </c>
      <c r="E730" t="s">
        <v>10</v>
      </c>
      <c r="F730" t="s">
        <v>12</v>
      </c>
      <c r="G730" s="2">
        <v>10325.206</v>
      </c>
      <c r="H730" t="str" cm="1">
        <f t="array" ref="H730">_xlfn.IFS(A730&lt;=30, "Youth", A730&lt;=50, "Adult", A730&gt;50, "Older")</f>
        <v>Adult</v>
      </c>
      <c r="I730" t="str" cm="1">
        <f t="array" ref="I730">_xlfn.IFS(A730&lt;=25,"18-25",A730&lt;=35,"26-35",A730&lt;=45,"36-45",A730&lt;=60,"46-60",A730&gt;60,"60+")</f>
        <v>36-45</v>
      </c>
      <c r="J730" t="str" cm="1">
        <f t="array" ref="J730">_xlfn.IFS(C730&lt;18.5,"Underweight",C730&lt;25,"Normal",C730&lt;30,"Overweight",C730&gt;=30,"Obese")</f>
        <v>Obese</v>
      </c>
      <c r="K730" t="str" cm="1">
        <f t="array" ref="K730">_xlfn.IFS(G730&lt;10000, "Low", G730&lt;=25000, "Medium", G730&gt;25000, "High")</f>
        <v>Medium</v>
      </c>
    </row>
    <row r="731" spans="1:11" x14ac:dyDescent="0.3">
      <c r="A731">
        <v>42</v>
      </c>
      <c r="B731" s="1" t="s">
        <v>8</v>
      </c>
      <c r="C731">
        <v>31.065000000000001</v>
      </c>
      <c r="D731">
        <v>1</v>
      </c>
      <c r="E731" t="s">
        <v>9</v>
      </c>
      <c r="F731" t="s">
        <v>12</v>
      </c>
      <c r="G731" s="2">
        <v>10338.9316</v>
      </c>
      <c r="H731" t="str" cm="1">
        <f t="array" ref="H731">_xlfn.IFS(A731&lt;=30, "Youth", A731&lt;=50, "Adult", A731&gt;50, "Older")</f>
        <v>Adult</v>
      </c>
      <c r="I731" t="str" cm="1">
        <f t="array" ref="I731">_xlfn.IFS(A731&lt;=25,"18-25",A731&lt;=35,"26-35",A731&lt;=45,"36-45",A731&lt;=60,"46-60",A731&gt;60,"60+")</f>
        <v>36-45</v>
      </c>
      <c r="J731" t="str" cm="1">
        <f t="array" ref="J731">_xlfn.IFS(C731&lt;18.5,"Underweight",C731&lt;25,"Normal",C731&lt;30,"Overweight",C731&gt;=30,"Obese")</f>
        <v>Obese</v>
      </c>
      <c r="K731" t="str" cm="1">
        <f t="array" ref="K731">_xlfn.IFS(G731&lt;10000, "Low", G731&lt;=25000, "Medium", G731&gt;25000, "High")</f>
        <v>Medium</v>
      </c>
    </row>
    <row r="732" spans="1:11" x14ac:dyDescent="0.3">
      <c r="A732">
        <v>42</v>
      </c>
      <c r="B732" s="1" t="s">
        <v>8</v>
      </c>
      <c r="C732">
        <v>31.1</v>
      </c>
      <c r="D732">
        <v>1</v>
      </c>
      <c r="E732" t="s">
        <v>10</v>
      </c>
      <c r="F732" t="s">
        <v>11</v>
      </c>
      <c r="G732" s="2">
        <v>10355.641</v>
      </c>
      <c r="H732" t="str" cm="1">
        <f t="array" ref="H732">_xlfn.IFS(A732&lt;=30, "Youth", A732&lt;=50, "Adult", A732&gt;50, "Older")</f>
        <v>Adult</v>
      </c>
      <c r="I732" t="str" cm="1">
        <f t="array" ref="I732">_xlfn.IFS(A732&lt;=25,"18-25",A732&lt;=35,"26-35",A732&lt;=45,"36-45",A732&lt;=60,"46-60",A732&gt;60,"60+")</f>
        <v>36-45</v>
      </c>
      <c r="J732" t="str" cm="1">
        <f t="array" ref="J732">_xlfn.IFS(C732&lt;18.5,"Underweight",C732&lt;25,"Normal",C732&lt;30,"Overweight",C732&gt;=30,"Obese")</f>
        <v>Obese</v>
      </c>
      <c r="K732" t="str" cm="1">
        <f t="array" ref="K732">_xlfn.IFS(G732&lt;10000, "Low", G732&lt;=25000, "Medium", G732&gt;25000, "High")</f>
        <v>Medium</v>
      </c>
    </row>
    <row r="733" spans="1:11" x14ac:dyDescent="0.3">
      <c r="A733">
        <v>42</v>
      </c>
      <c r="B733" s="1" t="s">
        <v>7</v>
      </c>
      <c r="C733">
        <v>31.13</v>
      </c>
      <c r="D733">
        <v>1</v>
      </c>
      <c r="E733" t="s">
        <v>10</v>
      </c>
      <c r="F733" t="s">
        <v>11</v>
      </c>
      <c r="G733" s="2">
        <v>10370.912549999999</v>
      </c>
      <c r="H733" t="str" cm="1">
        <f t="array" ref="H733">_xlfn.IFS(A733&lt;=30, "Youth", A733&lt;=50, "Adult", A733&gt;50, "Older")</f>
        <v>Adult</v>
      </c>
      <c r="I733" t="str" cm="1">
        <f t="array" ref="I733">_xlfn.IFS(A733&lt;=25,"18-25",A733&lt;=35,"26-35",A733&lt;=45,"36-45",A733&lt;=60,"46-60",A733&gt;60,"60+")</f>
        <v>36-45</v>
      </c>
      <c r="J733" t="str" cm="1">
        <f t="array" ref="J733">_xlfn.IFS(C733&lt;18.5,"Underweight",C733&lt;25,"Normal",C733&lt;30,"Overweight",C733&gt;=30,"Obese")</f>
        <v>Obese</v>
      </c>
      <c r="K733" t="str" cm="1">
        <f t="array" ref="K733">_xlfn.IFS(G733&lt;10000, "Low", G733&lt;=25000, "Medium", G733&gt;25000, "High")</f>
        <v>Medium</v>
      </c>
    </row>
    <row r="734" spans="1:11" x14ac:dyDescent="0.3">
      <c r="A734">
        <v>42</v>
      </c>
      <c r="B734" s="1" t="s">
        <v>7</v>
      </c>
      <c r="C734">
        <v>31.13</v>
      </c>
      <c r="D734">
        <v>1</v>
      </c>
      <c r="E734" t="s">
        <v>10</v>
      </c>
      <c r="F734" t="s">
        <v>14</v>
      </c>
      <c r="G734" s="2">
        <v>10381.4787</v>
      </c>
      <c r="H734" t="str" cm="1">
        <f t="array" ref="H734">_xlfn.IFS(A734&lt;=30, "Youth", A734&lt;=50, "Adult", A734&gt;50, "Older")</f>
        <v>Adult</v>
      </c>
      <c r="I734" t="str" cm="1">
        <f t="array" ref="I734">_xlfn.IFS(A734&lt;=25,"18-25",A734&lt;=35,"26-35",A734&lt;=45,"36-45",A734&lt;=60,"46-60",A734&gt;60,"60+")</f>
        <v>36-45</v>
      </c>
      <c r="J734" t="str" cm="1">
        <f t="array" ref="J734">_xlfn.IFS(C734&lt;18.5,"Underweight",C734&lt;25,"Normal",C734&lt;30,"Overweight",C734&gt;=30,"Obese")</f>
        <v>Obese</v>
      </c>
      <c r="K734" t="str" cm="1">
        <f t="array" ref="K734">_xlfn.IFS(G734&lt;10000, "Low", G734&lt;=25000, "Medium", G734&gt;25000, "High")</f>
        <v>Medium</v>
      </c>
    </row>
    <row r="735" spans="1:11" x14ac:dyDescent="0.3">
      <c r="A735">
        <v>42</v>
      </c>
      <c r="B735" s="1" t="s">
        <v>7</v>
      </c>
      <c r="C735">
        <v>31.13</v>
      </c>
      <c r="D735">
        <v>1</v>
      </c>
      <c r="E735" t="s">
        <v>10</v>
      </c>
      <c r="F735" t="s">
        <v>11</v>
      </c>
      <c r="G735" s="2">
        <v>10407.085849999999</v>
      </c>
      <c r="H735" t="str" cm="1">
        <f t="array" ref="H735">_xlfn.IFS(A735&lt;=30, "Youth", A735&lt;=50, "Adult", A735&gt;50, "Older")</f>
        <v>Adult</v>
      </c>
      <c r="I735" t="str" cm="1">
        <f t="array" ref="I735">_xlfn.IFS(A735&lt;=25,"18-25",A735&lt;=35,"26-35",A735&lt;=45,"36-45",A735&lt;=60,"46-60",A735&gt;60,"60+")</f>
        <v>36-45</v>
      </c>
      <c r="J735" t="str" cm="1">
        <f t="array" ref="J735">_xlfn.IFS(C735&lt;18.5,"Underweight",C735&lt;25,"Normal",C735&lt;30,"Overweight",C735&gt;=30,"Obese")</f>
        <v>Obese</v>
      </c>
      <c r="K735" t="str" cm="1">
        <f t="array" ref="K735">_xlfn.IFS(G735&lt;10000, "Low", G735&lt;=25000, "Medium", G735&gt;25000, "High")</f>
        <v>Medium</v>
      </c>
    </row>
    <row r="736" spans="1:11" x14ac:dyDescent="0.3">
      <c r="A736">
        <v>42</v>
      </c>
      <c r="B736" s="1" t="s">
        <v>7</v>
      </c>
      <c r="C736">
        <v>31.13</v>
      </c>
      <c r="D736">
        <v>1</v>
      </c>
      <c r="E736" t="s">
        <v>10</v>
      </c>
      <c r="F736" t="s">
        <v>13</v>
      </c>
      <c r="G736" s="2">
        <v>10422.916649999999</v>
      </c>
      <c r="H736" t="str" cm="1">
        <f t="array" ref="H736">_xlfn.IFS(A736&lt;=30, "Youth", A736&lt;=50, "Adult", A736&gt;50, "Older")</f>
        <v>Adult</v>
      </c>
      <c r="I736" t="str" cm="1">
        <f t="array" ref="I736">_xlfn.IFS(A736&lt;=25,"18-25",A736&lt;=35,"26-35",A736&lt;=45,"36-45",A736&lt;=60,"46-60",A736&gt;60,"60+")</f>
        <v>36-45</v>
      </c>
      <c r="J736" t="str" cm="1">
        <f t="array" ref="J736">_xlfn.IFS(C736&lt;18.5,"Underweight",C736&lt;25,"Normal",C736&lt;30,"Overweight",C736&gt;=30,"Obese")</f>
        <v>Obese</v>
      </c>
      <c r="K736" t="str" cm="1">
        <f t="array" ref="K736">_xlfn.IFS(G736&lt;10000, "Low", G736&lt;=25000, "Medium", G736&gt;25000, "High")</f>
        <v>Medium</v>
      </c>
    </row>
    <row r="737" spans="1:11" x14ac:dyDescent="0.3">
      <c r="A737">
        <v>42</v>
      </c>
      <c r="B737" s="1" t="s">
        <v>7</v>
      </c>
      <c r="C737">
        <v>31.16</v>
      </c>
      <c r="D737">
        <v>1</v>
      </c>
      <c r="E737" t="s">
        <v>9</v>
      </c>
      <c r="F737" t="s">
        <v>12</v>
      </c>
      <c r="G737" s="2">
        <v>10435.06525</v>
      </c>
      <c r="H737" t="str" cm="1">
        <f t="array" ref="H737">_xlfn.IFS(A737&lt;=30, "Youth", A737&lt;=50, "Adult", A737&gt;50, "Older")</f>
        <v>Adult</v>
      </c>
      <c r="I737" t="str" cm="1">
        <f t="array" ref="I737">_xlfn.IFS(A737&lt;=25,"18-25",A737&lt;=35,"26-35",A737&lt;=45,"36-45",A737&lt;=60,"46-60",A737&gt;60,"60+")</f>
        <v>36-45</v>
      </c>
      <c r="J737" t="str" cm="1">
        <f t="array" ref="J737">_xlfn.IFS(C737&lt;18.5,"Underweight",C737&lt;25,"Normal",C737&lt;30,"Overweight",C737&gt;=30,"Obese")</f>
        <v>Obese</v>
      </c>
      <c r="K737" t="str" cm="1">
        <f t="array" ref="K737">_xlfn.IFS(G737&lt;10000, "Low", G737&lt;=25000, "Medium", G737&gt;25000, "High")</f>
        <v>Medium</v>
      </c>
    </row>
    <row r="738" spans="1:11" x14ac:dyDescent="0.3">
      <c r="A738">
        <v>42</v>
      </c>
      <c r="B738" s="1" t="s">
        <v>8</v>
      </c>
      <c r="C738">
        <v>31.16</v>
      </c>
      <c r="D738">
        <v>1</v>
      </c>
      <c r="E738" t="s">
        <v>10</v>
      </c>
      <c r="F738" t="s">
        <v>11</v>
      </c>
      <c r="G738" s="2">
        <v>10436.096</v>
      </c>
      <c r="H738" t="str" cm="1">
        <f t="array" ref="H738">_xlfn.IFS(A738&lt;=30, "Youth", A738&lt;=50, "Adult", A738&gt;50, "Older")</f>
        <v>Adult</v>
      </c>
      <c r="I738" t="str" cm="1">
        <f t="array" ref="I738">_xlfn.IFS(A738&lt;=25,"18-25",A738&lt;=35,"26-35",A738&lt;=45,"36-45",A738&lt;=60,"46-60",A738&gt;60,"60+")</f>
        <v>36-45</v>
      </c>
      <c r="J738" t="str" cm="1">
        <f t="array" ref="J738">_xlfn.IFS(C738&lt;18.5,"Underweight",C738&lt;25,"Normal",C738&lt;30,"Overweight",C738&gt;=30,"Obese")</f>
        <v>Obese</v>
      </c>
      <c r="K738" t="str" cm="1">
        <f t="array" ref="K738">_xlfn.IFS(G738&lt;10000, "Low", G738&lt;=25000, "Medium", G738&gt;25000, "High")</f>
        <v>Medium</v>
      </c>
    </row>
    <row r="739" spans="1:11" x14ac:dyDescent="0.3">
      <c r="A739">
        <v>42</v>
      </c>
      <c r="B739" s="1" t="s">
        <v>8</v>
      </c>
      <c r="C739">
        <v>31.16</v>
      </c>
      <c r="D739">
        <v>1</v>
      </c>
      <c r="E739" t="s">
        <v>9</v>
      </c>
      <c r="F739" t="s">
        <v>14</v>
      </c>
      <c r="G739" s="2">
        <v>10450.552</v>
      </c>
      <c r="H739" t="str" cm="1">
        <f t="array" ref="H739">_xlfn.IFS(A739&lt;=30, "Youth", A739&lt;=50, "Adult", A739&gt;50, "Older")</f>
        <v>Adult</v>
      </c>
      <c r="I739" t="str" cm="1">
        <f t="array" ref="I739">_xlfn.IFS(A739&lt;=25,"18-25",A739&lt;=35,"26-35",A739&lt;=45,"36-45",A739&lt;=60,"46-60",A739&gt;60,"60+")</f>
        <v>36-45</v>
      </c>
      <c r="J739" t="str" cm="1">
        <f t="array" ref="J739">_xlfn.IFS(C739&lt;18.5,"Underweight",C739&lt;25,"Normal",C739&lt;30,"Overweight",C739&gt;=30,"Obese")</f>
        <v>Obese</v>
      </c>
      <c r="K739" t="str" cm="1">
        <f t="array" ref="K739">_xlfn.IFS(G739&lt;10000, "Low", G739&lt;=25000, "Medium", G739&gt;25000, "High")</f>
        <v>Medium</v>
      </c>
    </row>
    <row r="740" spans="1:11" x14ac:dyDescent="0.3">
      <c r="A740">
        <v>42</v>
      </c>
      <c r="B740" s="1" t="s">
        <v>8</v>
      </c>
      <c r="C740">
        <v>31.16</v>
      </c>
      <c r="D740">
        <v>1</v>
      </c>
      <c r="E740" t="s">
        <v>9</v>
      </c>
      <c r="F740" t="s">
        <v>11</v>
      </c>
      <c r="G740" s="2">
        <v>10461.9794</v>
      </c>
      <c r="H740" t="str" cm="1">
        <f t="array" ref="H740">_xlfn.IFS(A740&lt;=30, "Youth", A740&lt;=50, "Adult", A740&gt;50, "Older")</f>
        <v>Adult</v>
      </c>
      <c r="I740" t="str" cm="1">
        <f t="array" ref="I740">_xlfn.IFS(A740&lt;=25,"18-25",A740&lt;=35,"26-35",A740&lt;=45,"36-45",A740&lt;=60,"46-60",A740&gt;60,"60+")</f>
        <v>36-45</v>
      </c>
      <c r="J740" t="str" cm="1">
        <f t="array" ref="J740">_xlfn.IFS(C740&lt;18.5,"Underweight",C740&lt;25,"Normal",C740&lt;30,"Overweight",C740&gt;=30,"Obese")</f>
        <v>Obese</v>
      </c>
      <c r="K740" t="str" cm="1">
        <f t="array" ref="K740">_xlfn.IFS(G740&lt;10000, "Low", G740&lt;=25000, "Medium", G740&gt;25000, "High")</f>
        <v>Medium</v>
      </c>
    </row>
    <row r="741" spans="1:11" x14ac:dyDescent="0.3">
      <c r="A741">
        <v>42</v>
      </c>
      <c r="B741" s="1" t="s">
        <v>8</v>
      </c>
      <c r="C741">
        <v>31.2</v>
      </c>
      <c r="D741">
        <v>1</v>
      </c>
      <c r="E741" t="s">
        <v>10</v>
      </c>
      <c r="F741" t="s">
        <v>14</v>
      </c>
      <c r="G741" s="2">
        <v>10493.9458</v>
      </c>
      <c r="H741" t="str" cm="1">
        <f t="array" ref="H741">_xlfn.IFS(A741&lt;=30, "Youth", A741&lt;=50, "Adult", A741&gt;50, "Older")</f>
        <v>Adult</v>
      </c>
      <c r="I741" t="str" cm="1">
        <f t="array" ref="I741">_xlfn.IFS(A741&lt;=25,"18-25",A741&lt;=35,"26-35",A741&lt;=45,"36-45",A741&lt;=60,"46-60",A741&gt;60,"60+")</f>
        <v>36-45</v>
      </c>
      <c r="J741" t="str" cm="1">
        <f t="array" ref="J741">_xlfn.IFS(C741&lt;18.5,"Underweight",C741&lt;25,"Normal",C741&lt;30,"Overweight",C741&gt;=30,"Obese")</f>
        <v>Obese</v>
      </c>
      <c r="K741" t="str" cm="1">
        <f t="array" ref="K741">_xlfn.IFS(G741&lt;10000, "Low", G741&lt;=25000, "Medium", G741&gt;25000, "High")</f>
        <v>Medium</v>
      </c>
    </row>
    <row r="742" spans="1:11" x14ac:dyDescent="0.3">
      <c r="A742">
        <v>42</v>
      </c>
      <c r="B742" s="1" t="s">
        <v>8</v>
      </c>
      <c r="C742">
        <v>31.24</v>
      </c>
      <c r="D742">
        <v>1</v>
      </c>
      <c r="E742" t="s">
        <v>9</v>
      </c>
      <c r="F742" t="s">
        <v>12</v>
      </c>
      <c r="G742" s="2">
        <v>10560.4917</v>
      </c>
      <c r="H742" t="str" cm="1">
        <f t="array" ref="H742">_xlfn.IFS(A742&lt;=30, "Youth", A742&lt;=50, "Adult", A742&gt;50, "Older")</f>
        <v>Adult</v>
      </c>
      <c r="I742" t="str" cm="1">
        <f t="array" ref="I742">_xlfn.IFS(A742&lt;=25,"18-25",A742&lt;=35,"26-35",A742&lt;=45,"36-45",A742&lt;=60,"46-60",A742&gt;60,"60+")</f>
        <v>36-45</v>
      </c>
      <c r="J742" t="str" cm="1">
        <f t="array" ref="J742">_xlfn.IFS(C742&lt;18.5,"Underweight",C742&lt;25,"Normal",C742&lt;30,"Overweight",C742&gt;=30,"Obese")</f>
        <v>Obese</v>
      </c>
      <c r="K742" t="str" cm="1">
        <f t="array" ref="K742">_xlfn.IFS(G742&lt;10000, "Low", G742&lt;=25000, "Medium", G742&gt;25000, "High")</f>
        <v>Medium</v>
      </c>
    </row>
    <row r="743" spans="1:11" x14ac:dyDescent="0.3">
      <c r="A743">
        <v>42</v>
      </c>
      <c r="B743" s="1" t="s">
        <v>8</v>
      </c>
      <c r="C743">
        <v>31.254999999999999</v>
      </c>
      <c r="D743">
        <v>1</v>
      </c>
      <c r="E743" t="s">
        <v>9</v>
      </c>
      <c r="F743" t="s">
        <v>14</v>
      </c>
      <c r="G743" s="2">
        <v>10564.8845</v>
      </c>
      <c r="H743" t="str" cm="1">
        <f t="array" ref="H743">_xlfn.IFS(A743&lt;=30, "Youth", A743&lt;=50, "Adult", A743&gt;50, "Older")</f>
        <v>Adult</v>
      </c>
      <c r="I743" t="str" cm="1">
        <f t="array" ref="I743">_xlfn.IFS(A743&lt;=25,"18-25",A743&lt;=35,"26-35",A743&lt;=45,"36-45",A743&lt;=60,"46-60",A743&gt;60,"60+")</f>
        <v>36-45</v>
      </c>
      <c r="J743" t="str" cm="1">
        <f t="array" ref="J743">_xlfn.IFS(C743&lt;18.5,"Underweight",C743&lt;25,"Normal",C743&lt;30,"Overweight",C743&gt;=30,"Obese")</f>
        <v>Obese</v>
      </c>
      <c r="K743" t="str" cm="1">
        <f t="array" ref="K743">_xlfn.IFS(G743&lt;10000, "Low", G743&lt;=25000, "Medium", G743&gt;25000, "High")</f>
        <v>Medium</v>
      </c>
    </row>
    <row r="744" spans="1:11" x14ac:dyDescent="0.3">
      <c r="A744">
        <v>42</v>
      </c>
      <c r="B744" s="1" t="s">
        <v>7</v>
      </c>
      <c r="C744">
        <v>31.254999999999999</v>
      </c>
      <c r="D744">
        <v>1</v>
      </c>
      <c r="E744" t="s">
        <v>10</v>
      </c>
      <c r="F744" t="s">
        <v>12</v>
      </c>
      <c r="G744" s="2">
        <v>10577.087</v>
      </c>
      <c r="H744" t="str" cm="1">
        <f t="array" ref="H744">_xlfn.IFS(A744&lt;=30, "Youth", A744&lt;=50, "Adult", A744&gt;50, "Older")</f>
        <v>Adult</v>
      </c>
      <c r="I744" t="str" cm="1">
        <f t="array" ref="I744">_xlfn.IFS(A744&lt;=25,"18-25",A744&lt;=35,"26-35",A744&lt;=45,"36-45",A744&lt;=60,"46-60",A744&gt;60,"60+")</f>
        <v>36-45</v>
      </c>
      <c r="J744" t="str" cm="1">
        <f t="array" ref="J744">_xlfn.IFS(C744&lt;18.5,"Underweight",C744&lt;25,"Normal",C744&lt;30,"Overweight",C744&gt;=30,"Obese")</f>
        <v>Obese</v>
      </c>
      <c r="K744" t="str" cm="1">
        <f t="array" ref="K744">_xlfn.IFS(G744&lt;10000, "Low", G744&lt;=25000, "Medium", G744&gt;25000, "High")</f>
        <v>Medium</v>
      </c>
    </row>
    <row r="745" spans="1:11" x14ac:dyDescent="0.3">
      <c r="A745">
        <v>42</v>
      </c>
      <c r="B745" s="1" t="s">
        <v>8</v>
      </c>
      <c r="C745">
        <v>31.254999999999999</v>
      </c>
      <c r="D745">
        <v>1</v>
      </c>
      <c r="E745" t="s">
        <v>10</v>
      </c>
      <c r="F745" t="s">
        <v>13</v>
      </c>
      <c r="G745" s="2">
        <v>10579.710999999999</v>
      </c>
      <c r="H745" t="str" cm="1">
        <f t="array" ref="H745">_xlfn.IFS(A745&lt;=30, "Youth", A745&lt;=50, "Adult", A745&gt;50, "Older")</f>
        <v>Adult</v>
      </c>
      <c r="I745" t="str" cm="1">
        <f t="array" ref="I745">_xlfn.IFS(A745&lt;=25,"18-25",A745&lt;=35,"26-35",A745&lt;=45,"36-45",A745&lt;=60,"46-60",A745&gt;60,"60+")</f>
        <v>36-45</v>
      </c>
      <c r="J745" t="str" cm="1">
        <f t="array" ref="J745">_xlfn.IFS(C745&lt;18.5,"Underweight",C745&lt;25,"Normal",C745&lt;30,"Overweight",C745&gt;=30,"Obese")</f>
        <v>Obese</v>
      </c>
      <c r="K745" t="str" cm="1">
        <f t="array" ref="K745">_xlfn.IFS(G745&lt;10000, "Low", G745&lt;=25000, "Medium", G745&gt;25000, "High")</f>
        <v>Medium</v>
      </c>
    </row>
    <row r="746" spans="1:11" x14ac:dyDescent="0.3">
      <c r="A746">
        <v>42</v>
      </c>
      <c r="B746" s="1" t="s">
        <v>7</v>
      </c>
      <c r="C746">
        <v>31.3</v>
      </c>
      <c r="D746">
        <v>1</v>
      </c>
      <c r="E746" t="s">
        <v>10</v>
      </c>
      <c r="F746" t="s">
        <v>13</v>
      </c>
      <c r="G746" s="2">
        <v>10594.225700000001</v>
      </c>
      <c r="H746" t="str" cm="1">
        <f t="array" ref="H746">_xlfn.IFS(A746&lt;=30, "Youth", A746&lt;=50, "Adult", A746&gt;50, "Older")</f>
        <v>Adult</v>
      </c>
      <c r="I746" t="str" cm="1">
        <f t="array" ref="I746">_xlfn.IFS(A746&lt;=25,"18-25",A746&lt;=35,"26-35",A746&lt;=45,"36-45",A746&lt;=60,"46-60",A746&gt;60,"60+")</f>
        <v>36-45</v>
      </c>
      <c r="J746" t="str" cm="1">
        <f t="array" ref="J746">_xlfn.IFS(C746&lt;18.5,"Underweight",C746&lt;25,"Normal",C746&lt;30,"Overweight",C746&gt;=30,"Obese")</f>
        <v>Obese</v>
      </c>
      <c r="K746" t="str" cm="1">
        <f t="array" ref="K746">_xlfn.IFS(G746&lt;10000, "Low", G746&lt;=25000, "Medium", G746&gt;25000, "High")</f>
        <v>Medium</v>
      </c>
    </row>
    <row r="747" spans="1:11" x14ac:dyDescent="0.3">
      <c r="A747">
        <v>42</v>
      </c>
      <c r="B747" s="1" t="s">
        <v>8</v>
      </c>
      <c r="C747">
        <v>31.35</v>
      </c>
      <c r="D747">
        <v>1</v>
      </c>
      <c r="E747" t="s">
        <v>10</v>
      </c>
      <c r="F747" t="s">
        <v>11</v>
      </c>
      <c r="G747" s="2">
        <v>10594.501550000001</v>
      </c>
      <c r="H747" t="str" cm="1">
        <f t="array" ref="H747">_xlfn.IFS(A747&lt;=30, "Youth", A747&lt;=50, "Adult", A747&gt;50, "Older")</f>
        <v>Adult</v>
      </c>
      <c r="I747" t="str" cm="1">
        <f t="array" ref="I747">_xlfn.IFS(A747&lt;=25,"18-25",A747&lt;=35,"26-35",A747&lt;=45,"36-45",A747&lt;=60,"46-60",A747&gt;60,"60+")</f>
        <v>36-45</v>
      </c>
      <c r="J747" t="str" cm="1">
        <f t="array" ref="J747">_xlfn.IFS(C747&lt;18.5,"Underweight",C747&lt;25,"Normal",C747&lt;30,"Overweight",C747&gt;=30,"Obese")</f>
        <v>Obese</v>
      </c>
      <c r="K747" t="str" cm="1">
        <f t="array" ref="K747">_xlfn.IFS(G747&lt;10000, "Low", G747&lt;=25000, "Medium", G747&gt;25000, "High")</f>
        <v>Medium</v>
      </c>
    </row>
    <row r="748" spans="1:11" x14ac:dyDescent="0.3">
      <c r="A748">
        <v>42</v>
      </c>
      <c r="B748" s="1" t="s">
        <v>8</v>
      </c>
      <c r="C748">
        <v>31.35</v>
      </c>
      <c r="D748">
        <v>1</v>
      </c>
      <c r="E748" t="s">
        <v>10</v>
      </c>
      <c r="F748" t="s">
        <v>13</v>
      </c>
      <c r="G748" s="2">
        <v>10600.5483</v>
      </c>
      <c r="H748" t="str" cm="1">
        <f t="array" ref="H748">_xlfn.IFS(A748&lt;=30, "Youth", A748&lt;=50, "Adult", A748&gt;50, "Older")</f>
        <v>Adult</v>
      </c>
      <c r="I748" t="str" cm="1">
        <f t="array" ref="I748">_xlfn.IFS(A748&lt;=25,"18-25",A748&lt;=35,"26-35",A748&lt;=45,"36-45",A748&lt;=60,"46-60",A748&gt;60,"60+")</f>
        <v>36-45</v>
      </c>
      <c r="J748" t="str" cm="1">
        <f t="array" ref="J748">_xlfn.IFS(C748&lt;18.5,"Underweight",C748&lt;25,"Normal",C748&lt;30,"Overweight",C748&gt;=30,"Obese")</f>
        <v>Obese</v>
      </c>
      <c r="K748" t="str" cm="1">
        <f t="array" ref="K748">_xlfn.IFS(G748&lt;10000, "Low", G748&lt;=25000, "Medium", G748&gt;25000, "High")</f>
        <v>Medium</v>
      </c>
    </row>
    <row r="749" spans="1:11" x14ac:dyDescent="0.3">
      <c r="A749">
        <v>42</v>
      </c>
      <c r="B749" s="1" t="s">
        <v>7</v>
      </c>
      <c r="C749">
        <v>31.35</v>
      </c>
      <c r="D749">
        <v>1</v>
      </c>
      <c r="E749" t="s">
        <v>10</v>
      </c>
      <c r="F749" t="s">
        <v>11</v>
      </c>
      <c r="G749" s="2">
        <v>10601.412</v>
      </c>
      <c r="H749" t="str" cm="1">
        <f t="array" ref="H749">_xlfn.IFS(A749&lt;=30, "Youth", A749&lt;=50, "Adult", A749&gt;50, "Older")</f>
        <v>Adult</v>
      </c>
      <c r="I749" t="str" cm="1">
        <f t="array" ref="I749">_xlfn.IFS(A749&lt;=25,"18-25",A749&lt;=35,"26-35",A749&lt;=45,"36-45",A749&lt;=60,"46-60",A749&gt;60,"60+")</f>
        <v>36-45</v>
      </c>
      <c r="J749" t="str" cm="1">
        <f t="array" ref="J749">_xlfn.IFS(C749&lt;18.5,"Underweight",C749&lt;25,"Normal",C749&lt;30,"Overweight",C749&gt;=30,"Obese")</f>
        <v>Obese</v>
      </c>
      <c r="K749" t="str" cm="1">
        <f t="array" ref="K749">_xlfn.IFS(G749&lt;10000, "Low", G749&lt;=25000, "Medium", G749&gt;25000, "High")</f>
        <v>Medium</v>
      </c>
    </row>
    <row r="750" spans="1:11" x14ac:dyDescent="0.3">
      <c r="A750">
        <v>42</v>
      </c>
      <c r="B750" s="1" t="s">
        <v>8</v>
      </c>
      <c r="C750">
        <v>31.35</v>
      </c>
      <c r="D750">
        <v>1</v>
      </c>
      <c r="E750" t="s">
        <v>10</v>
      </c>
      <c r="F750" t="s">
        <v>13</v>
      </c>
      <c r="G750" s="2">
        <v>10601.632250000001</v>
      </c>
      <c r="H750" t="str" cm="1">
        <f t="array" ref="H750">_xlfn.IFS(A750&lt;=30, "Youth", A750&lt;=50, "Adult", A750&gt;50, "Older")</f>
        <v>Adult</v>
      </c>
      <c r="I750" t="str" cm="1">
        <f t="array" ref="I750">_xlfn.IFS(A750&lt;=25,"18-25",A750&lt;=35,"26-35",A750&lt;=45,"36-45",A750&lt;=60,"46-60",A750&gt;60,"60+")</f>
        <v>36-45</v>
      </c>
      <c r="J750" t="str" cm="1">
        <f t="array" ref="J750">_xlfn.IFS(C750&lt;18.5,"Underweight",C750&lt;25,"Normal",C750&lt;30,"Overweight",C750&gt;=30,"Obese")</f>
        <v>Obese</v>
      </c>
      <c r="K750" t="str" cm="1">
        <f t="array" ref="K750">_xlfn.IFS(G750&lt;10000, "Low", G750&lt;=25000, "Medium", G750&gt;25000, "High")</f>
        <v>Medium</v>
      </c>
    </row>
    <row r="751" spans="1:11" x14ac:dyDescent="0.3">
      <c r="A751">
        <v>42</v>
      </c>
      <c r="B751" s="1" t="s">
        <v>7</v>
      </c>
      <c r="C751">
        <v>31.35</v>
      </c>
      <c r="D751">
        <v>1</v>
      </c>
      <c r="E751" t="s">
        <v>9</v>
      </c>
      <c r="F751" t="s">
        <v>12</v>
      </c>
      <c r="G751" s="2">
        <v>10602.385</v>
      </c>
      <c r="H751" t="str" cm="1">
        <f t="array" ref="H751">_xlfn.IFS(A751&lt;=30, "Youth", A751&lt;=50, "Adult", A751&gt;50, "Older")</f>
        <v>Adult</v>
      </c>
      <c r="I751" t="str" cm="1">
        <f t="array" ref="I751">_xlfn.IFS(A751&lt;=25,"18-25",A751&lt;=35,"26-35",A751&lt;=45,"36-45",A751&lt;=60,"46-60",A751&gt;60,"60+")</f>
        <v>36-45</v>
      </c>
      <c r="J751" t="str" cm="1">
        <f t="array" ref="J751">_xlfn.IFS(C751&lt;18.5,"Underweight",C751&lt;25,"Normal",C751&lt;30,"Overweight",C751&gt;=30,"Obese")</f>
        <v>Obese</v>
      </c>
      <c r="K751" t="str" cm="1">
        <f t="array" ref="K751">_xlfn.IFS(G751&lt;10000, "Low", G751&lt;=25000, "Medium", G751&gt;25000, "High")</f>
        <v>Medium</v>
      </c>
    </row>
    <row r="752" spans="1:11" x14ac:dyDescent="0.3">
      <c r="A752">
        <v>42</v>
      </c>
      <c r="B752" s="1" t="s">
        <v>8</v>
      </c>
      <c r="C752">
        <v>31.35</v>
      </c>
      <c r="D752">
        <v>1</v>
      </c>
      <c r="E752" t="s">
        <v>10</v>
      </c>
      <c r="F752" t="s">
        <v>13</v>
      </c>
      <c r="G752" s="2">
        <v>10702.642400000001</v>
      </c>
      <c r="H752" t="str" cm="1">
        <f t="array" ref="H752">_xlfn.IFS(A752&lt;=30, "Youth", A752&lt;=50, "Adult", A752&gt;50, "Older")</f>
        <v>Adult</v>
      </c>
      <c r="I752" t="str" cm="1">
        <f t="array" ref="I752">_xlfn.IFS(A752&lt;=25,"18-25",A752&lt;=35,"26-35",A752&lt;=45,"36-45",A752&lt;=60,"46-60",A752&gt;60,"60+")</f>
        <v>36-45</v>
      </c>
      <c r="J752" t="str" cm="1">
        <f t="array" ref="J752">_xlfn.IFS(C752&lt;18.5,"Underweight",C752&lt;25,"Normal",C752&lt;30,"Overweight",C752&gt;=30,"Obese")</f>
        <v>Obese</v>
      </c>
      <c r="K752" t="str" cm="1">
        <f t="array" ref="K752">_xlfn.IFS(G752&lt;10000, "Low", G752&lt;=25000, "Medium", G752&gt;25000, "High")</f>
        <v>Medium</v>
      </c>
    </row>
    <row r="753" spans="1:11" x14ac:dyDescent="0.3">
      <c r="A753">
        <v>42</v>
      </c>
      <c r="B753" s="1" t="s">
        <v>8</v>
      </c>
      <c r="C753">
        <v>31.35</v>
      </c>
      <c r="D753">
        <v>1</v>
      </c>
      <c r="E753" t="s">
        <v>10</v>
      </c>
      <c r="F753" t="s">
        <v>13</v>
      </c>
      <c r="G753" s="2">
        <v>10704.47</v>
      </c>
      <c r="H753" t="str" cm="1">
        <f t="array" ref="H753">_xlfn.IFS(A753&lt;=30, "Youth", A753&lt;=50, "Adult", A753&gt;50, "Older")</f>
        <v>Adult</v>
      </c>
      <c r="I753" t="str" cm="1">
        <f t="array" ref="I753">_xlfn.IFS(A753&lt;=25,"18-25",A753&lt;=35,"26-35",A753&lt;=45,"36-45",A753&lt;=60,"46-60",A753&gt;60,"60+")</f>
        <v>36-45</v>
      </c>
      <c r="J753" t="str" cm="1">
        <f t="array" ref="J753">_xlfn.IFS(C753&lt;18.5,"Underweight",C753&lt;25,"Normal",C753&lt;30,"Overweight",C753&gt;=30,"Obese")</f>
        <v>Obese</v>
      </c>
      <c r="K753" t="str" cm="1">
        <f t="array" ref="K753">_xlfn.IFS(G753&lt;10000, "Low", G753&lt;=25000, "Medium", G753&gt;25000, "High")</f>
        <v>Medium</v>
      </c>
    </row>
    <row r="754" spans="1:11" x14ac:dyDescent="0.3">
      <c r="A754">
        <v>42</v>
      </c>
      <c r="B754" s="1" t="s">
        <v>7</v>
      </c>
      <c r="C754">
        <v>31.35</v>
      </c>
      <c r="D754">
        <v>1</v>
      </c>
      <c r="E754" t="s">
        <v>10</v>
      </c>
      <c r="F754" t="s">
        <v>12</v>
      </c>
      <c r="G754" s="2">
        <v>10713.644</v>
      </c>
      <c r="H754" t="str" cm="1">
        <f t="array" ref="H754">_xlfn.IFS(A754&lt;=30, "Youth", A754&lt;=50, "Adult", A754&gt;50, "Older")</f>
        <v>Adult</v>
      </c>
      <c r="I754" t="str" cm="1">
        <f t="array" ref="I754">_xlfn.IFS(A754&lt;=25,"18-25",A754&lt;=35,"26-35",A754&lt;=45,"36-45",A754&lt;=60,"46-60",A754&gt;60,"60+")</f>
        <v>36-45</v>
      </c>
      <c r="J754" t="str" cm="1">
        <f t="array" ref="J754">_xlfn.IFS(C754&lt;18.5,"Underweight",C754&lt;25,"Normal",C754&lt;30,"Overweight",C754&gt;=30,"Obese")</f>
        <v>Obese</v>
      </c>
      <c r="K754" t="str" cm="1">
        <f t="array" ref="K754">_xlfn.IFS(G754&lt;10000, "Low", G754&lt;=25000, "Medium", G754&gt;25000, "High")</f>
        <v>Medium</v>
      </c>
    </row>
    <row r="755" spans="1:11" x14ac:dyDescent="0.3">
      <c r="A755">
        <v>42</v>
      </c>
      <c r="B755" s="1" t="s">
        <v>8</v>
      </c>
      <c r="C755">
        <v>31.4</v>
      </c>
      <c r="D755">
        <v>1</v>
      </c>
      <c r="E755" t="s">
        <v>10</v>
      </c>
      <c r="F755" t="s">
        <v>14</v>
      </c>
      <c r="G755" s="2">
        <v>10736.87075</v>
      </c>
      <c r="H755" t="str" cm="1">
        <f t="array" ref="H755">_xlfn.IFS(A755&lt;=30, "Youth", A755&lt;=50, "Adult", A755&gt;50, "Older")</f>
        <v>Adult</v>
      </c>
      <c r="I755" t="str" cm="1">
        <f t="array" ref="I755">_xlfn.IFS(A755&lt;=25,"18-25",A755&lt;=35,"26-35",A755&lt;=45,"36-45",A755&lt;=60,"46-60",A755&gt;60,"60+")</f>
        <v>36-45</v>
      </c>
      <c r="J755" t="str" cm="1">
        <f t="array" ref="J755">_xlfn.IFS(C755&lt;18.5,"Underweight",C755&lt;25,"Normal",C755&lt;30,"Overweight",C755&gt;=30,"Obese")</f>
        <v>Obese</v>
      </c>
      <c r="K755" t="str" cm="1">
        <f t="array" ref="K755">_xlfn.IFS(G755&lt;10000, "Low", G755&lt;=25000, "Medium", G755&gt;25000, "High")</f>
        <v>Medium</v>
      </c>
    </row>
    <row r="756" spans="1:11" x14ac:dyDescent="0.3">
      <c r="A756">
        <v>43</v>
      </c>
      <c r="B756" s="1" t="s">
        <v>8</v>
      </c>
      <c r="C756">
        <v>31.4</v>
      </c>
      <c r="D756">
        <v>1</v>
      </c>
      <c r="E756" t="s">
        <v>10</v>
      </c>
      <c r="F756" t="s">
        <v>14</v>
      </c>
      <c r="G756" s="2">
        <v>10791.96</v>
      </c>
      <c r="H756" t="str" cm="1">
        <f t="array" ref="H756">_xlfn.IFS(A756&lt;=30, "Youth", A756&lt;=50, "Adult", A756&gt;50, "Older")</f>
        <v>Adult</v>
      </c>
      <c r="I756" t="str" cm="1">
        <f t="array" ref="I756">_xlfn.IFS(A756&lt;=25,"18-25",A756&lt;=35,"26-35",A756&lt;=45,"36-45",A756&lt;=60,"46-60",A756&gt;60,"60+")</f>
        <v>36-45</v>
      </c>
      <c r="J756" t="str" cm="1">
        <f t="array" ref="J756">_xlfn.IFS(C756&lt;18.5,"Underweight",C756&lt;25,"Normal",C756&lt;30,"Overweight",C756&gt;=30,"Obese")</f>
        <v>Obese</v>
      </c>
      <c r="K756" t="str" cm="1">
        <f t="array" ref="K756">_xlfn.IFS(G756&lt;10000, "Low", G756&lt;=25000, "Medium", G756&gt;25000, "High")</f>
        <v>Medium</v>
      </c>
    </row>
    <row r="757" spans="1:11" x14ac:dyDescent="0.3">
      <c r="A757">
        <v>43</v>
      </c>
      <c r="B757" s="1" t="s">
        <v>7</v>
      </c>
      <c r="C757">
        <v>31.4</v>
      </c>
      <c r="D757">
        <v>1</v>
      </c>
      <c r="E757" t="s">
        <v>10</v>
      </c>
      <c r="F757" t="s">
        <v>14</v>
      </c>
      <c r="G757" s="2">
        <v>10795.937330000001</v>
      </c>
      <c r="H757" t="str" cm="1">
        <f t="array" ref="H757">_xlfn.IFS(A757&lt;=30, "Youth", A757&lt;=50, "Adult", A757&gt;50, "Older")</f>
        <v>Adult</v>
      </c>
      <c r="I757" t="str" cm="1">
        <f t="array" ref="I757">_xlfn.IFS(A757&lt;=25,"18-25",A757&lt;=35,"26-35",A757&lt;=45,"36-45",A757&lt;=60,"46-60",A757&gt;60,"60+")</f>
        <v>36-45</v>
      </c>
      <c r="J757" t="str" cm="1">
        <f t="array" ref="J757">_xlfn.IFS(C757&lt;18.5,"Underweight",C757&lt;25,"Normal",C757&lt;30,"Overweight",C757&gt;=30,"Obese")</f>
        <v>Obese</v>
      </c>
      <c r="K757" t="str" cm="1">
        <f t="array" ref="K757">_xlfn.IFS(G757&lt;10000, "Low", G757&lt;=25000, "Medium", G757&gt;25000, "High")</f>
        <v>Medium</v>
      </c>
    </row>
    <row r="758" spans="1:11" x14ac:dyDescent="0.3">
      <c r="A758">
        <v>43</v>
      </c>
      <c r="B758" s="1" t="s">
        <v>7</v>
      </c>
      <c r="C758">
        <v>31.445</v>
      </c>
      <c r="D758">
        <v>1</v>
      </c>
      <c r="E758" t="s">
        <v>9</v>
      </c>
      <c r="F758" t="s">
        <v>12</v>
      </c>
      <c r="G758" s="2">
        <v>10796.35025</v>
      </c>
      <c r="H758" t="str" cm="1">
        <f t="array" ref="H758">_xlfn.IFS(A758&lt;=30, "Youth", A758&lt;=50, "Adult", A758&gt;50, "Older")</f>
        <v>Adult</v>
      </c>
      <c r="I758" t="str" cm="1">
        <f t="array" ref="I758">_xlfn.IFS(A758&lt;=25,"18-25",A758&lt;=35,"26-35",A758&lt;=45,"36-45",A758&lt;=60,"46-60",A758&gt;60,"60+")</f>
        <v>36-45</v>
      </c>
      <c r="J758" t="str" cm="1">
        <f t="array" ref="J758">_xlfn.IFS(C758&lt;18.5,"Underweight",C758&lt;25,"Normal",C758&lt;30,"Overweight",C758&gt;=30,"Obese")</f>
        <v>Obese</v>
      </c>
      <c r="K758" t="str" cm="1">
        <f t="array" ref="K758">_xlfn.IFS(G758&lt;10000, "Low", G758&lt;=25000, "Medium", G758&gt;25000, "High")</f>
        <v>Medium</v>
      </c>
    </row>
    <row r="759" spans="1:11" x14ac:dyDescent="0.3">
      <c r="A759">
        <v>43</v>
      </c>
      <c r="B759" s="1" t="s">
        <v>8</v>
      </c>
      <c r="C759">
        <v>31.445</v>
      </c>
      <c r="D759">
        <v>1</v>
      </c>
      <c r="E759" t="s">
        <v>10</v>
      </c>
      <c r="F759" t="s">
        <v>14</v>
      </c>
      <c r="G759" s="2">
        <v>10797.3362</v>
      </c>
      <c r="H759" t="str" cm="1">
        <f t="array" ref="H759">_xlfn.IFS(A759&lt;=30, "Youth", A759&lt;=50, "Adult", A759&gt;50, "Older")</f>
        <v>Adult</v>
      </c>
      <c r="I759" t="str" cm="1">
        <f t="array" ref="I759">_xlfn.IFS(A759&lt;=25,"18-25",A759&lt;=35,"26-35",A759&lt;=45,"36-45",A759&lt;=60,"46-60",A759&gt;60,"60+")</f>
        <v>36-45</v>
      </c>
      <c r="J759" t="str" cm="1">
        <f t="array" ref="J759">_xlfn.IFS(C759&lt;18.5,"Underweight",C759&lt;25,"Normal",C759&lt;30,"Overweight",C759&gt;=30,"Obese")</f>
        <v>Obese</v>
      </c>
      <c r="K759" t="str" cm="1">
        <f t="array" ref="K759">_xlfn.IFS(G759&lt;10000, "Low", G759&lt;=25000, "Medium", G759&gt;25000, "High")</f>
        <v>Medium</v>
      </c>
    </row>
    <row r="760" spans="1:11" x14ac:dyDescent="0.3">
      <c r="A760">
        <v>43</v>
      </c>
      <c r="B760" s="1" t="s">
        <v>8</v>
      </c>
      <c r="C760">
        <v>31.46</v>
      </c>
      <c r="D760">
        <v>1</v>
      </c>
      <c r="E760" t="s">
        <v>9</v>
      </c>
      <c r="F760" t="s">
        <v>12</v>
      </c>
      <c r="G760" s="2">
        <v>10806.839</v>
      </c>
      <c r="H760" t="str" cm="1">
        <f t="array" ref="H760">_xlfn.IFS(A760&lt;=30, "Youth", A760&lt;=50, "Adult", A760&gt;50, "Older")</f>
        <v>Adult</v>
      </c>
      <c r="I760" t="str" cm="1">
        <f t="array" ref="I760">_xlfn.IFS(A760&lt;=25,"18-25",A760&lt;=35,"26-35",A760&lt;=45,"36-45",A760&lt;=60,"46-60",A760&gt;60,"60+")</f>
        <v>36-45</v>
      </c>
      <c r="J760" t="str" cm="1">
        <f t="array" ref="J760">_xlfn.IFS(C760&lt;18.5,"Underweight",C760&lt;25,"Normal",C760&lt;30,"Overweight",C760&gt;=30,"Obese")</f>
        <v>Obese</v>
      </c>
      <c r="K760" t="str" cm="1">
        <f t="array" ref="K760">_xlfn.IFS(G760&lt;10000, "Low", G760&lt;=25000, "Medium", G760&gt;25000, "High")</f>
        <v>Medium</v>
      </c>
    </row>
    <row r="761" spans="1:11" x14ac:dyDescent="0.3">
      <c r="A761">
        <v>43</v>
      </c>
      <c r="B761" s="1" t="s">
        <v>7</v>
      </c>
      <c r="C761">
        <v>31.46</v>
      </c>
      <c r="D761">
        <v>1</v>
      </c>
      <c r="E761" t="s">
        <v>10</v>
      </c>
      <c r="F761" t="s">
        <v>14</v>
      </c>
      <c r="G761" s="2">
        <v>10807.4863</v>
      </c>
      <c r="H761" t="str" cm="1">
        <f t="array" ref="H761">_xlfn.IFS(A761&lt;=30, "Youth", A761&lt;=50, "Adult", A761&gt;50, "Older")</f>
        <v>Adult</v>
      </c>
      <c r="I761" t="str" cm="1">
        <f t="array" ref="I761">_xlfn.IFS(A761&lt;=25,"18-25",A761&lt;=35,"26-35",A761&lt;=45,"36-45",A761&lt;=60,"46-60",A761&gt;60,"60+")</f>
        <v>36-45</v>
      </c>
      <c r="J761" t="str" cm="1">
        <f t="array" ref="J761">_xlfn.IFS(C761&lt;18.5,"Underweight",C761&lt;25,"Normal",C761&lt;30,"Overweight",C761&gt;=30,"Obese")</f>
        <v>Obese</v>
      </c>
      <c r="K761" t="str" cm="1">
        <f t="array" ref="K761">_xlfn.IFS(G761&lt;10000, "Low", G761&lt;=25000, "Medium", G761&gt;25000, "High")</f>
        <v>Medium</v>
      </c>
    </row>
    <row r="762" spans="1:11" x14ac:dyDescent="0.3">
      <c r="A762">
        <v>43</v>
      </c>
      <c r="B762" s="1" t="s">
        <v>8</v>
      </c>
      <c r="C762">
        <v>31.5</v>
      </c>
      <c r="D762">
        <v>1</v>
      </c>
      <c r="E762" t="s">
        <v>10</v>
      </c>
      <c r="F762" t="s">
        <v>11</v>
      </c>
      <c r="G762" s="2">
        <v>10825.253699999999</v>
      </c>
      <c r="H762" t="str" cm="1">
        <f t="array" ref="H762">_xlfn.IFS(A762&lt;=30, "Youth", A762&lt;=50, "Adult", A762&gt;50, "Older")</f>
        <v>Adult</v>
      </c>
      <c r="I762" t="str" cm="1">
        <f t="array" ref="I762">_xlfn.IFS(A762&lt;=25,"18-25",A762&lt;=35,"26-35",A762&lt;=45,"36-45",A762&lt;=60,"46-60",A762&gt;60,"60+")</f>
        <v>36-45</v>
      </c>
      <c r="J762" t="str" cm="1">
        <f t="array" ref="J762">_xlfn.IFS(C762&lt;18.5,"Underweight",C762&lt;25,"Normal",C762&lt;30,"Overweight",C762&gt;=30,"Obese")</f>
        <v>Obese</v>
      </c>
      <c r="K762" t="str" cm="1">
        <f t="array" ref="K762">_xlfn.IFS(G762&lt;10000, "Low", G762&lt;=25000, "Medium", G762&gt;25000, "High")</f>
        <v>Medium</v>
      </c>
    </row>
    <row r="763" spans="1:11" x14ac:dyDescent="0.3">
      <c r="A763">
        <v>43</v>
      </c>
      <c r="B763" s="1" t="s">
        <v>8</v>
      </c>
      <c r="C763">
        <v>31.5</v>
      </c>
      <c r="D763">
        <v>1</v>
      </c>
      <c r="E763" t="s">
        <v>9</v>
      </c>
      <c r="F763" t="s">
        <v>11</v>
      </c>
      <c r="G763" s="2">
        <v>10848.1343</v>
      </c>
      <c r="H763" t="str" cm="1">
        <f t="array" ref="H763">_xlfn.IFS(A763&lt;=30, "Youth", A763&lt;=50, "Adult", A763&gt;50, "Older")</f>
        <v>Adult</v>
      </c>
      <c r="I763" t="str" cm="1">
        <f t="array" ref="I763">_xlfn.IFS(A763&lt;=25,"18-25",A763&lt;=35,"26-35",A763&lt;=45,"36-45",A763&lt;=60,"46-60",A763&gt;60,"60+")</f>
        <v>36-45</v>
      </c>
      <c r="J763" t="str" cm="1">
        <f t="array" ref="J763">_xlfn.IFS(C763&lt;18.5,"Underweight",C763&lt;25,"Normal",C763&lt;30,"Overweight",C763&gt;=30,"Obese")</f>
        <v>Obese</v>
      </c>
      <c r="K763" t="str" cm="1">
        <f t="array" ref="K763">_xlfn.IFS(G763&lt;10000, "Low", G763&lt;=25000, "Medium", G763&gt;25000, "High")</f>
        <v>Medium</v>
      </c>
    </row>
    <row r="764" spans="1:11" x14ac:dyDescent="0.3">
      <c r="A764">
        <v>43</v>
      </c>
      <c r="B764" s="1" t="s">
        <v>8</v>
      </c>
      <c r="C764">
        <v>31.54</v>
      </c>
      <c r="D764">
        <v>1</v>
      </c>
      <c r="E764" t="s">
        <v>10</v>
      </c>
      <c r="F764" t="s">
        <v>14</v>
      </c>
      <c r="G764" s="2">
        <v>10923.933199999999</v>
      </c>
      <c r="H764" t="str" cm="1">
        <f t="array" ref="H764">_xlfn.IFS(A764&lt;=30, "Youth", A764&lt;=50, "Adult", A764&gt;50, "Older")</f>
        <v>Adult</v>
      </c>
      <c r="I764" t="str" cm="1">
        <f t="array" ref="I764">_xlfn.IFS(A764&lt;=25,"18-25",A764&lt;=35,"26-35",A764&lt;=45,"36-45",A764&lt;=60,"46-60",A764&gt;60,"60+")</f>
        <v>36-45</v>
      </c>
      <c r="J764" t="str" cm="1">
        <f t="array" ref="J764">_xlfn.IFS(C764&lt;18.5,"Underweight",C764&lt;25,"Normal",C764&lt;30,"Overweight",C764&gt;=30,"Obese")</f>
        <v>Obese</v>
      </c>
      <c r="K764" t="str" cm="1">
        <f t="array" ref="K764">_xlfn.IFS(G764&lt;10000, "Low", G764&lt;=25000, "Medium", G764&gt;25000, "High")</f>
        <v>Medium</v>
      </c>
    </row>
    <row r="765" spans="1:11" x14ac:dyDescent="0.3">
      <c r="A765">
        <v>43</v>
      </c>
      <c r="B765" s="1" t="s">
        <v>7</v>
      </c>
      <c r="C765">
        <v>31.54</v>
      </c>
      <c r="D765">
        <v>1</v>
      </c>
      <c r="E765" t="s">
        <v>10</v>
      </c>
      <c r="F765" t="s">
        <v>14</v>
      </c>
      <c r="G765" s="2">
        <v>10928.849</v>
      </c>
      <c r="H765" t="str" cm="1">
        <f t="array" ref="H765">_xlfn.IFS(A765&lt;=30, "Youth", A765&lt;=50, "Adult", A765&gt;50, "Older")</f>
        <v>Adult</v>
      </c>
      <c r="I765" t="str" cm="1">
        <f t="array" ref="I765">_xlfn.IFS(A765&lt;=25,"18-25",A765&lt;=35,"26-35",A765&lt;=45,"36-45",A765&lt;=60,"46-60",A765&gt;60,"60+")</f>
        <v>36-45</v>
      </c>
      <c r="J765" t="str" cm="1">
        <f t="array" ref="J765">_xlfn.IFS(C765&lt;18.5,"Underweight",C765&lt;25,"Normal",C765&lt;30,"Overweight",C765&gt;=30,"Obese")</f>
        <v>Obese</v>
      </c>
      <c r="K765" t="str" cm="1">
        <f t="array" ref="K765">_xlfn.IFS(G765&lt;10000, "Low", G765&lt;=25000, "Medium", G765&gt;25000, "High")</f>
        <v>Medium</v>
      </c>
    </row>
    <row r="766" spans="1:11" x14ac:dyDescent="0.3">
      <c r="A766">
        <v>43</v>
      </c>
      <c r="B766" s="1" t="s">
        <v>7</v>
      </c>
      <c r="C766">
        <v>31.57</v>
      </c>
      <c r="D766">
        <v>1</v>
      </c>
      <c r="E766" t="s">
        <v>10</v>
      </c>
      <c r="F766" t="s">
        <v>13</v>
      </c>
      <c r="G766" s="2">
        <v>10942.13205</v>
      </c>
      <c r="H766" t="str" cm="1">
        <f t="array" ref="H766">_xlfn.IFS(A766&lt;=30, "Youth", A766&lt;=50, "Adult", A766&gt;50, "Older")</f>
        <v>Adult</v>
      </c>
      <c r="I766" t="str" cm="1">
        <f t="array" ref="I766">_xlfn.IFS(A766&lt;=25,"18-25",A766&lt;=35,"26-35",A766&lt;=45,"36-45",A766&lt;=60,"46-60",A766&gt;60,"60+")</f>
        <v>36-45</v>
      </c>
      <c r="J766" t="str" cm="1">
        <f t="array" ref="J766">_xlfn.IFS(C766&lt;18.5,"Underweight",C766&lt;25,"Normal",C766&lt;30,"Overweight",C766&gt;=30,"Obese")</f>
        <v>Obese</v>
      </c>
      <c r="K766" t="str" cm="1">
        <f t="array" ref="K766">_xlfn.IFS(G766&lt;10000, "Low", G766&lt;=25000, "Medium", G766&gt;25000, "High")</f>
        <v>Medium</v>
      </c>
    </row>
    <row r="767" spans="1:11" x14ac:dyDescent="0.3">
      <c r="A767">
        <v>43</v>
      </c>
      <c r="B767" s="1" t="s">
        <v>8</v>
      </c>
      <c r="C767">
        <v>31.57</v>
      </c>
      <c r="D767">
        <v>1</v>
      </c>
      <c r="E767" t="s">
        <v>10</v>
      </c>
      <c r="F767" t="s">
        <v>11</v>
      </c>
      <c r="G767" s="2">
        <v>10959.33</v>
      </c>
      <c r="H767" t="str" cm="1">
        <f t="array" ref="H767">_xlfn.IFS(A767&lt;=30, "Youth", A767&lt;=50, "Adult", A767&gt;50, "Older")</f>
        <v>Adult</v>
      </c>
      <c r="I767" t="str" cm="1">
        <f t="array" ref="I767">_xlfn.IFS(A767&lt;=25,"18-25",A767&lt;=35,"26-35",A767&lt;=45,"36-45",A767&lt;=60,"46-60",A767&gt;60,"60+")</f>
        <v>36-45</v>
      </c>
      <c r="J767" t="str" cm="1">
        <f t="array" ref="J767">_xlfn.IFS(C767&lt;18.5,"Underweight",C767&lt;25,"Normal",C767&lt;30,"Overweight",C767&gt;=30,"Obese")</f>
        <v>Obese</v>
      </c>
      <c r="K767" t="str" cm="1">
        <f t="array" ref="K767">_xlfn.IFS(G767&lt;10000, "Low", G767&lt;=25000, "Medium", G767&gt;25000, "High")</f>
        <v>Medium</v>
      </c>
    </row>
    <row r="768" spans="1:11" x14ac:dyDescent="0.3">
      <c r="A768">
        <v>43</v>
      </c>
      <c r="B768" s="1" t="s">
        <v>7</v>
      </c>
      <c r="C768">
        <v>31.6</v>
      </c>
      <c r="D768">
        <v>1</v>
      </c>
      <c r="E768" t="s">
        <v>10</v>
      </c>
      <c r="F768" t="s">
        <v>11</v>
      </c>
      <c r="G768" s="2">
        <v>10959.6947</v>
      </c>
      <c r="H768" t="str" cm="1">
        <f t="array" ref="H768">_xlfn.IFS(A768&lt;=30, "Youth", A768&lt;=50, "Adult", A768&gt;50, "Older")</f>
        <v>Adult</v>
      </c>
      <c r="I768" t="str" cm="1">
        <f t="array" ref="I768">_xlfn.IFS(A768&lt;=25,"18-25",A768&lt;=35,"26-35",A768&lt;=45,"36-45",A768&lt;=60,"46-60",A768&gt;60,"60+")</f>
        <v>36-45</v>
      </c>
      <c r="J768" t="str" cm="1">
        <f t="array" ref="J768">_xlfn.IFS(C768&lt;18.5,"Underweight",C768&lt;25,"Normal",C768&lt;30,"Overweight",C768&gt;=30,"Obese")</f>
        <v>Obese</v>
      </c>
      <c r="K768" t="str" cm="1">
        <f t="array" ref="K768">_xlfn.IFS(G768&lt;10000, "Low", G768&lt;=25000, "Medium", G768&gt;25000, "High")</f>
        <v>Medium</v>
      </c>
    </row>
    <row r="769" spans="1:11" x14ac:dyDescent="0.3">
      <c r="A769">
        <v>43</v>
      </c>
      <c r="B769" s="1" t="s">
        <v>7</v>
      </c>
      <c r="C769">
        <v>31.6</v>
      </c>
      <c r="D769">
        <v>1</v>
      </c>
      <c r="E769" t="s">
        <v>10</v>
      </c>
      <c r="F769" t="s">
        <v>11</v>
      </c>
      <c r="G769" s="2">
        <v>10965.446</v>
      </c>
      <c r="H769" t="str" cm="1">
        <f t="array" ref="H769">_xlfn.IFS(A769&lt;=30, "Youth", A769&lt;=50, "Adult", A769&gt;50, "Older")</f>
        <v>Adult</v>
      </c>
      <c r="I769" t="str" cm="1">
        <f t="array" ref="I769">_xlfn.IFS(A769&lt;=25,"18-25",A769&lt;=35,"26-35",A769&lt;=45,"36-45",A769&lt;=60,"46-60",A769&gt;60,"60+")</f>
        <v>36-45</v>
      </c>
      <c r="J769" t="str" cm="1">
        <f t="array" ref="J769">_xlfn.IFS(C769&lt;18.5,"Underweight",C769&lt;25,"Normal",C769&lt;30,"Overweight",C769&gt;=30,"Obese")</f>
        <v>Obese</v>
      </c>
      <c r="K769" t="str" cm="1">
        <f t="array" ref="K769">_xlfn.IFS(G769&lt;10000, "Low", G769&lt;=25000, "Medium", G769&gt;25000, "High")</f>
        <v>Medium</v>
      </c>
    </row>
    <row r="770" spans="1:11" x14ac:dyDescent="0.3">
      <c r="A770">
        <v>43</v>
      </c>
      <c r="B770" s="1" t="s">
        <v>7</v>
      </c>
      <c r="C770">
        <v>31.6</v>
      </c>
      <c r="D770">
        <v>1</v>
      </c>
      <c r="E770" t="s">
        <v>10</v>
      </c>
      <c r="F770" t="s">
        <v>13</v>
      </c>
      <c r="G770" s="2">
        <v>10976.24575</v>
      </c>
      <c r="H770" t="str" cm="1">
        <f t="array" ref="H770">_xlfn.IFS(A770&lt;=30, "Youth", A770&lt;=50, "Adult", A770&gt;50, "Older")</f>
        <v>Adult</v>
      </c>
      <c r="I770" t="str" cm="1">
        <f t="array" ref="I770">_xlfn.IFS(A770&lt;=25,"18-25",A770&lt;=35,"26-35",A770&lt;=45,"36-45",A770&lt;=60,"46-60",A770&gt;60,"60+")</f>
        <v>36-45</v>
      </c>
      <c r="J770" t="str" cm="1">
        <f t="array" ref="J770">_xlfn.IFS(C770&lt;18.5,"Underweight",C770&lt;25,"Normal",C770&lt;30,"Overweight",C770&gt;=30,"Obese")</f>
        <v>Obese</v>
      </c>
      <c r="K770" t="str" cm="1">
        <f t="array" ref="K770">_xlfn.IFS(G770&lt;10000, "Low", G770&lt;=25000, "Medium", G770&gt;25000, "High")</f>
        <v>Medium</v>
      </c>
    </row>
    <row r="771" spans="1:11" x14ac:dyDescent="0.3">
      <c r="A771">
        <v>43</v>
      </c>
      <c r="B771" s="1" t="s">
        <v>8</v>
      </c>
      <c r="C771">
        <v>31.635000000000002</v>
      </c>
      <c r="D771">
        <v>1</v>
      </c>
      <c r="E771" t="s">
        <v>10</v>
      </c>
      <c r="F771" t="s">
        <v>11</v>
      </c>
      <c r="G771" s="2">
        <v>10977.2063</v>
      </c>
      <c r="H771" t="str" cm="1">
        <f t="array" ref="H771">_xlfn.IFS(A771&lt;=30, "Youth", A771&lt;=50, "Adult", A771&gt;50, "Older")</f>
        <v>Adult</v>
      </c>
      <c r="I771" t="str" cm="1">
        <f t="array" ref="I771">_xlfn.IFS(A771&lt;=25,"18-25",A771&lt;=35,"26-35",A771&lt;=45,"36-45",A771&lt;=60,"46-60",A771&gt;60,"60+")</f>
        <v>36-45</v>
      </c>
      <c r="J771" t="str" cm="1">
        <f t="array" ref="J771">_xlfn.IFS(C771&lt;18.5,"Underweight",C771&lt;25,"Normal",C771&lt;30,"Overweight",C771&gt;=30,"Obese")</f>
        <v>Obese</v>
      </c>
      <c r="K771" t="str" cm="1">
        <f t="array" ref="K771">_xlfn.IFS(G771&lt;10000, "Low", G771&lt;=25000, "Medium", G771&gt;25000, "High")</f>
        <v>Medium</v>
      </c>
    </row>
    <row r="772" spans="1:11" x14ac:dyDescent="0.3">
      <c r="A772">
        <v>43</v>
      </c>
      <c r="B772" s="1" t="s">
        <v>7</v>
      </c>
      <c r="C772">
        <v>31.635000000000002</v>
      </c>
      <c r="D772">
        <v>1</v>
      </c>
      <c r="E772" t="s">
        <v>10</v>
      </c>
      <c r="F772" t="s">
        <v>11</v>
      </c>
      <c r="G772" s="2">
        <v>10982.5013</v>
      </c>
      <c r="H772" t="str" cm="1">
        <f t="array" ref="H772">_xlfn.IFS(A772&lt;=30, "Youth", A772&lt;=50, "Adult", A772&gt;50, "Older")</f>
        <v>Adult</v>
      </c>
      <c r="I772" t="str" cm="1">
        <f t="array" ref="I772">_xlfn.IFS(A772&lt;=25,"18-25",A772&lt;=35,"26-35",A772&lt;=45,"36-45",A772&lt;=60,"46-60",A772&gt;60,"60+")</f>
        <v>36-45</v>
      </c>
      <c r="J772" t="str" cm="1">
        <f t="array" ref="J772">_xlfn.IFS(C772&lt;18.5,"Underweight",C772&lt;25,"Normal",C772&lt;30,"Overweight",C772&gt;=30,"Obese")</f>
        <v>Obese</v>
      </c>
      <c r="K772" t="str" cm="1">
        <f t="array" ref="K772">_xlfn.IFS(G772&lt;10000, "Low", G772&lt;=25000, "Medium", G772&gt;25000, "High")</f>
        <v>Medium</v>
      </c>
    </row>
    <row r="773" spans="1:11" x14ac:dyDescent="0.3">
      <c r="A773">
        <v>43</v>
      </c>
      <c r="B773" s="1" t="s">
        <v>7</v>
      </c>
      <c r="C773">
        <v>31.68</v>
      </c>
      <c r="D773">
        <v>1</v>
      </c>
      <c r="E773" t="s">
        <v>10</v>
      </c>
      <c r="F773" t="s">
        <v>14</v>
      </c>
      <c r="G773" s="2">
        <v>11013.7119</v>
      </c>
      <c r="H773" t="str" cm="1">
        <f t="array" ref="H773">_xlfn.IFS(A773&lt;=30, "Youth", A773&lt;=50, "Adult", A773&gt;50, "Older")</f>
        <v>Adult</v>
      </c>
      <c r="I773" t="str" cm="1">
        <f t="array" ref="I773">_xlfn.IFS(A773&lt;=25,"18-25",A773&lt;=35,"26-35",A773&lt;=45,"36-45",A773&lt;=60,"46-60",A773&gt;60,"60+")</f>
        <v>36-45</v>
      </c>
      <c r="J773" t="str" cm="1">
        <f t="array" ref="J773">_xlfn.IFS(C773&lt;18.5,"Underweight",C773&lt;25,"Normal",C773&lt;30,"Overweight",C773&gt;=30,"Obese")</f>
        <v>Obese</v>
      </c>
      <c r="K773" t="str" cm="1">
        <f t="array" ref="K773">_xlfn.IFS(G773&lt;10000, "Low", G773&lt;=25000, "Medium", G773&gt;25000, "High")</f>
        <v>Medium</v>
      </c>
    </row>
    <row r="774" spans="1:11" x14ac:dyDescent="0.3">
      <c r="A774">
        <v>43</v>
      </c>
      <c r="B774" s="1" t="s">
        <v>7</v>
      </c>
      <c r="C774">
        <v>31.68</v>
      </c>
      <c r="D774">
        <v>1</v>
      </c>
      <c r="E774" t="s">
        <v>9</v>
      </c>
      <c r="F774" t="s">
        <v>13</v>
      </c>
      <c r="G774" s="2">
        <v>11015.1747</v>
      </c>
      <c r="H774" t="str" cm="1">
        <f t="array" ref="H774">_xlfn.IFS(A774&lt;=30, "Youth", A774&lt;=50, "Adult", A774&gt;50, "Older")</f>
        <v>Adult</v>
      </c>
      <c r="I774" t="str" cm="1">
        <f t="array" ref="I774">_xlfn.IFS(A774&lt;=25,"18-25",A774&lt;=35,"26-35",A774&lt;=45,"36-45",A774&lt;=60,"46-60",A774&gt;60,"60+")</f>
        <v>36-45</v>
      </c>
      <c r="J774" t="str" cm="1">
        <f t="array" ref="J774">_xlfn.IFS(C774&lt;18.5,"Underweight",C774&lt;25,"Normal",C774&lt;30,"Overweight",C774&gt;=30,"Obese")</f>
        <v>Obese</v>
      </c>
      <c r="K774" t="str" cm="1">
        <f t="array" ref="K774">_xlfn.IFS(G774&lt;10000, "Low", G774&lt;=25000, "Medium", G774&gt;25000, "High")</f>
        <v>Medium</v>
      </c>
    </row>
    <row r="775" spans="1:11" x14ac:dyDescent="0.3">
      <c r="A775">
        <v>43</v>
      </c>
      <c r="B775" s="1" t="s">
        <v>8</v>
      </c>
      <c r="C775">
        <v>31.73</v>
      </c>
      <c r="D775">
        <v>1</v>
      </c>
      <c r="E775" t="s">
        <v>10</v>
      </c>
      <c r="F775" t="s">
        <v>13</v>
      </c>
      <c r="G775" s="2">
        <v>11033.661700000001</v>
      </c>
      <c r="H775" t="str" cm="1">
        <f t="array" ref="H775">_xlfn.IFS(A775&lt;=30, "Youth", A775&lt;=50, "Adult", A775&gt;50, "Older")</f>
        <v>Adult</v>
      </c>
      <c r="I775" t="str" cm="1">
        <f t="array" ref="I775">_xlfn.IFS(A775&lt;=25,"18-25",A775&lt;=35,"26-35",A775&lt;=45,"36-45",A775&lt;=60,"46-60",A775&gt;60,"60+")</f>
        <v>36-45</v>
      </c>
      <c r="J775" t="str" cm="1">
        <f t="array" ref="J775">_xlfn.IFS(C775&lt;18.5,"Underweight",C775&lt;25,"Normal",C775&lt;30,"Overweight",C775&gt;=30,"Obese")</f>
        <v>Obese</v>
      </c>
      <c r="K775" t="str" cm="1">
        <f t="array" ref="K775">_xlfn.IFS(G775&lt;10000, "Low", G775&lt;=25000, "Medium", G775&gt;25000, "High")</f>
        <v>Medium</v>
      </c>
    </row>
    <row r="776" spans="1:11" x14ac:dyDescent="0.3">
      <c r="A776">
        <v>43</v>
      </c>
      <c r="B776" s="1" t="s">
        <v>8</v>
      </c>
      <c r="C776">
        <v>31.73</v>
      </c>
      <c r="D776">
        <v>1</v>
      </c>
      <c r="E776" t="s">
        <v>10</v>
      </c>
      <c r="F776" t="s">
        <v>12</v>
      </c>
      <c r="G776" s="2">
        <v>11070.535</v>
      </c>
      <c r="H776" t="str" cm="1">
        <f t="array" ref="H776">_xlfn.IFS(A776&lt;=30, "Youth", A776&lt;=50, "Adult", A776&gt;50, "Older")</f>
        <v>Adult</v>
      </c>
      <c r="I776" t="str" cm="1">
        <f t="array" ref="I776">_xlfn.IFS(A776&lt;=25,"18-25",A776&lt;=35,"26-35",A776&lt;=45,"36-45",A776&lt;=60,"46-60",A776&gt;60,"60+")</f>
        <v>36-45</v>
      </c>
      <c r="J776" t="str" cm="1">
        <f t="array" ref="J776">_xlfn.IFS(C776&lt;18.5,"Underweight",C776&lt;25,"Normal",C776&lt;30,"Overweight",C776&gt;=30,"Obese")</f>
        <v>Obese</v>
      </c>
      <c r="K776" t="str" cm="1">
        <f t="array" ref="K776">_xlfn.IFS(G776&lt;10000, "Low", G776&lt;=25000, "Medium", G776&gt;25000, "High")</f>
        <v>Medium</v>
      </c>
    </row>
    <row r="777" spans="1:11" x14ac:dyDescent="0.3">
      <c r="A777">
        <v>43</v>
      </c>
      <c r="B777" s="1" t="s">
        <v>8</v>
      </c>
      <c r="C777">
        <v>31.73</v>
      </c>
      <c r="D777">
        <v>1</v>
      </c>
      <c r="E777" t="s">
        <v>10</v>
      </c>
      <c r="F777" t="s">
        <v>13</v>
      </c>
      <c r="G777" s="2">
        <v>11073.175999999999</v>
      </c>
      <c r="H777" t="str" cm="1">
        <f t="array" ref="H777">_xlfn.IFS(A777&lt;=30, "Youth", A777&lt;=50, "Adult", A777&gt;50, "Older")</f>
        <v>Adult</v>
      </c>
      <c r="I777" t="str" cm="1">
        <f t="array" ref="I777">_xlfn.IFS(A777&lt;=25,"18-25",A777&lt;=35,"26-35",A777&lt;=45,"36-45",A777&lt;=60,"46-60",A777&gt;60,"60+")</f>
        <v>36-45</v>
      </c>
      <c r="J777" t="str" cm="1">
        <f t="array" ref="J777">_xlfn.IFS(C777&lt;18.5,"Underweight",C777&lt;25,"Normal",C777&lt;30,"Overweight",C777&gt;=30,"Obese")</f>
        <v>Obese</v>
      </c>
      <c r="K777" t="str" cm="1">
        <f t="array" ref="K777">_xlfn.IFS(G777&lt;10000, "Low", G777&lt;=25000, "Medium", G777&gt;25000, "High")</f>
        <v>Medium</v>
      </c>
    </row>
    <row r="778" spans="1:11" x14ac:dyDescent="0.3">
      <c r="A778">
        <v>43</v>
      </c>
      <c r="B778" s="1" t="s">
        <v>8</v>
      </c>
      <c r="C778">
        <v>31.73</v>
      </c>
      <c r="D778">
        <v>1</v>
      </c>
      <c r="E778" t="s">
        <v>10</v>
      </c>
      <c r="F778" t="s">
        <v>14</v>
      </c>
      <c r="G778" s="2">
        <v>11082.5772</v>
      </c>
      <c r="H778" t="str" cm="1">
        <f t="array" ref="H778">_xlfn.IFS(A778&lt;=30, "Youth", A778&lt;=50, "Adult", A778&gt;50, "Older")</f>
        <v>Adult</v>
      </c>
      <c r="I778" t="str" cm="1">
        <f t="array" ref="I778">_xlfn.IFS(A778&lt;=25,"18-25",A778&lt;=35,"26-35",A778&lt;=45,"36-45",A778&lt;=60,"46-60",A778&gt;60,"60+")</f>
        <v>36-45</v>
      </c>
      <c r="J778" t="str" cm="1">
        <f t="array" ref="J778">_xlfn.IFS(C778&lt;18.5,"Underweight",C778&lt;25,"Normal",C778&lt;30,"Overweight",C778&gt;=30,"Obese")</f>
        <v>Obese</v>
      </c>
      <c r="K778" t="str" cm="1">
        <f t="array" ref="K778">_xlfn.IFS(G778&lt;10000, "Low", G778&lt;=25000, "Medium", G778&gt;25000, "High")</f>
        <v>Medium</v>
      </c>
    </row>
    <row r="779" spans="1:11" x14ac:dyDescent="0.3">
      <c r="A779">
        <v>43</v>
      </c>
      <c r="B779" s="1" t="s">
        <v>8</v>
      </c>
      <c r="C779">
        <v>31.73</v>
      </c>
      <c r="D779">
        <v>1</v>
      </c>
      <c r="E779" t="s">
        <v>10</v>
      </c>
      <c r="F779" t="s">
        <v>12</v>
      </c>
      <c r="G779" s="2">
        <v>11085.586799999999</v>
      </c>
      <c r="H779" t="str" cm="1">
        <f t="array" ref="H779">_xlfn.IFS(A779&lt;=30, "Youth", A779&lt;=50, "Adult", A779&gt;50, "Older")</f>
        <v>Adult</v>
      </c>
      <c r="I779" t="str" cm="1">
        <f t="array" ref="I779">_xlfn.IFS(A779&lt;=25,"18-25",A779&lt;=35,"26-35",A779&lt;=45,"36-45",A779&lt;=60,"46-60",A779&gt;60,"60+")</f>
        <v>36-45</v>
      </c>
      <c r="J779" t="str" cm="1">
        <f t="array" ref="J779">_xlfn.IFS(C779&lt;18.5,"Underweight",C779&lt;25,"Normal",C779&lt;30,"Overweight",C779&gt;=30,"Obese")</f>
        <v>Obese</v>
      </c>
      <c r="K779" t="str" cm="1">
        <f t="array" ref="K779">_xlfn.IFS(G779&lt;10000, "Low", G779&lt;=25000, "Medium", G779&gt;25000, "High")</f>
        <v>Medium</v>
      </c>
    </row>
    <row r="780" spans="1:11" x14ac:dyDescent="0.3">
      <c r="A780">
        <v>43</v>
      </c>
      <c r="B780" s="1" t="s">
        <v>8</v>
      </c>
      <c r="C780">
        <v>31.73</v>
      </c>
      <c r="D780">
        <v>1</v>
      </c>
      <c r="E780" t="s">
        <v>10</v>
      </c>
      <c r="F780" t="s">
        <v>13</v>
      </c>
      <c r="G780" s="2">
        <v>11090.7178</v>
      </c>
      <c r="H780" t="str" cm="1">
        <f t="array" ref="H780">_xlfn.IFS(A780&lt;=30, "Youth", A780&lt;=50, "Adult", A780&gt;50, "Older")</f>
        <v>Adult</v>
      </c>
      <c r="I780" t="str" cm="1">
        <f t="array" ref="I780">_xlfn.IFS(A780&lt;=25,"18-25",A780&lt;=35,"26-35",A780&lt;=45,"36-45",A780&lt;=60,"46-60",A780&gt;60,"60+")</f>
        <v>36-45</v>
      </c>
      <c r="J780" t="str" cm="1">
        <f t="array" ref="J780">_xlfn.IFS(C780&lt;18.5,"Underweight",C780&lt;25,"Normal",C780&lt;30,"Overweight",C780&gt;=30,"Obese")</f>
        <v>Obese</v>
      </c>
      <c r="K780" t="str" cm="1">
        <f t="array" ref="K780">_xlfn.IFS(G780&lt;10000, "Low", G780&lt;=25000, "Medium", G780&gt;25000, "High")</f>
        <v>Medium</v>
      </c>
    </row>
    <row r="781" spans="1:11" x14ac:dyDescent="0.3">
      <c r="A781">
        <v>43</v>
      </c>
      <c r="B781" s="1" t="s">
        <v>8</v>
      </c>
      <c r="C781">
        <v>31.79</v>
      </c>
      <c r="D781">
        <v>1</v>
      </c>
      <c r="E781" t="s">
        <v>9</v>
      </c>
      <c r="F781" t="s">
        <v>11</v>
      </c>
      <c r="G781" s="2">
        <v>11093.6229</v>
      </c>
      <c r="H781" t="str" cm="1">
        <f t="array" ref="H781">_xlfn.IFS(A781&lt;=30, "Youth", A781&lt;=50, "Adult", A781&gt;50, "Older")</f>
        <v>Adult</v>
      </c>
      <c r="I781" t="str" cm="1">
        <f t="array" ref="I781">_xlfn.IFS(A781&lt;=25,"18-25",A781&lt;=35,"26-35",A781&lt;=45,"36-45",A781&lt;=60,"46-60",A781&gt;60,"60+")</f>
        <v>36-45</v>
      </c>
      <c r="J781" t="str" cm="1">
        <f t="array" ref="J781">_xlfn.IFS(C781&lt;18.5,"Underweight",C781&lt;25,"Normal",C781&lt;30,"Overweight",C781&gt;=30,"Obese")</f>
        <v>Obese</v>
      </c>
      <c r="K781" t="str" cm="1">
        <f t="array" ref="K781">_xlfn.IFS(G781&lt;10000, "Low", G781&lt;=25000, "Medium", G781&gt;25000, "High")</f>
        <v>Medium</v>
      </c>
    </row>
    <row r="782" spans="1:11" x14ac:dyDescent="0.3">
      <c r="A782">
        <v>43</v>
      </c>
      <c r="B782" s="1" t="s">
        <v>8</v>
      </c>
      <c r="C782">
        <v>31.79</v>
      </c>
      <c r="D782">
        <v>1</v>
      </c>
      <c r="E782" t="s">
        <v>10</v>
      </c>
      <c r="F782" t="s">
        <v>12</v>
      </c>
      <c r="G782" s="2">
        <v>11150.78</v>
      </c>
      <c r="H782" t="str" cm="1">
        <f t="array" ref="H782">_xlfn.IFS(A782&lt;=30, "Youth", A782&lt;=50, "Adult", A782&gt;50, "Older")</f>
        <v>Adult</v>
      </c>
      <c r="I782" t="str" cm="1">
        <f t="array" ref="I782">_xlfn.IFS(A782&lt;=25,"18-25",A782&lt;=35,"26-35",A782&lt;=45,"36-45",A782&lt;=60,"46-60",A782&gt;60,"60+")</f>
        <v>36-45</v>
      </c>
      <c r="J782" t="str" cm="1">
        <f t="array" ref="J782">_xlfn.IFS(C782&lt;18.5,"Underweight",C782&lt;25,"Normal",C782&lt;30,"Overweight",C782&gt;=30,"Obese")</f>
        <v>Obese</v>
      </c>
      <c r="K782" t="str" cm="1">
        <f t="array" ref="K782">_xlfn.IFS(G782&lt;10000, "Low", G782&lt;=25000, "Medium", G782&gt;25000, "High")</f>
        <v>Medium</v>
      </c>
    </row>
    <row r="783" spans="1:11" x14ac:dyDescent="0.3">
      <c r="A783">
        <v>44</v>
      </c>
      <c r="B783" s="1" t="s">
        <v>8</v>
      </c>
      <c r="C783">
        <v>31.79</v>
      </c>
      <c r="D783">
        <v>1</v>
      </c>
      <c r="E783" t="s">
        <v>10</v>
      </c>
      <c r="F783" t="s">
        <v>12</v>
      </c>
      <c r="G783" s="2">
        <v>11163.567999999999</v>
      </c>
      <c r="H783" t="str" cm="1">
        <f t="array" ref="H783">_xlfn.IFS(A783&lt;=30, "Youth", A783&lt;=50, "Adult", A783&gt;50, "Older")</f>
        <v>Adult</v>
      </c>
      <c r="I783" t="str" cm="1">
        <f t="array" ref="I783">_xlfn.IFS(A783&lt;=25,"18-25",A783&lt;=35,"26-35",A783&lt;=45,"36-45",A783&lt;=60,"46-60",A783&gt;60,"60+")</f>
        <v>36-45</v>
      </c>
      <c r="J783" t="str" cm="1">
        <f t="array" ref="J783">_xlfn.IFS(C783&lt;18.5,"Underweight",C783&lt;25,"Normal",C783&lt;30,"Overweight",C783&gt;=30,"Obese")</f>
        <v>Obese</v>
      </c>
      <c r="K783" t="str" cm="1">
        <f t="array" ref="K783">_xlfn.IFS(G783&lt;10000, "Low", G783&lt;=25000, "Medium", G783&gt;25000, "High")</f>
        <v>Medium</v>
      </c>
    </row>
    <row r="784" spans="1:11" x14ac:dyDescent="0.3">
      <c r="A784">
        <v>44</v>
      </c>
      <c r="B784" s="1" t="s">
        <v>7</v>
      </c>
      <c r="C784">
        <v>31.79</v>
      </c>
      <c r="D784">
        <v>1</v>
      </c>
      <c r="E784" t="s">
        <v>9</v>
      </c>
      <c r="F784" t="s">
        <v>11</v>
      </c>
      <c r="G784" s="2">
        <v>11165.417649999999</v>
      </c>
      <c r="H784" t="str" cm="1">
        <f t="array" ref="H784">_xlfn.IFS(A784&lt;=30, "Youth", A784&lt;=50, "Adult", A784&gt;50, "Older")</f>
        <v>Adult</v>
      </c>
      <c r="I784" t="str" cm="1">
        <f t="array" ref="I784">_xlfn.IFS(A784&lt;=25,"18-25",A784&lt;=35,"26-35",A784&lt;=45,"36-45",A784&lt;=60,"46-60",A784&gt;60,"60+")</f>
        <v>36-45</v>
      </c>
      <c r="J784" t="str" cm="1">
        <f t="array" ref="J784">_xlfn.IFS(C784&lt;18.5,"Underweight",C784&lt;25,"Normal",C784&lt;30,"Overweight",C784&gt;=30,"Obese")</f>
        <v>Obese</v>
      </c>
      <c r="K784" t="str" cm="1">
        <f t="array" ref="K784">_xlfn.IFS(G784&lt;10000, "Low", G784&lt;=25000, "Medium", G784&gt;25000, "High")</f>
        <v>Medium</v>
      </c>
    </row>
    <row r="785" spans="1:11" x14ac:dyDescent="0.3">
      <c r="A785">
        <v>44</v>
      </c>
      <c r="B785" s="1" t="s">
        <v>7</v>
      </c>
      <c r="C785">
        <v>31.8</v>
      </c>
      <c r="D785">
        <v>1</v>
      </c>
      <c r="E785" t="s">
        <v>10</v>
      </c>
      <c r="F785" t="s">
        <v>12</v>
      </c>
      <c r="G785" s="2">
        <v>11187.6567</v>
      </c>
      <c r="H785" t="str" cm="1">
        <f t="array" ref="H785">_xlfn.IFS(A785&lt;=30, "Youth", A785&lt;=50, "Adult", A785&gt;50, "Older")</f>
        <v>Adult</v>
      </c>
      <c r="I785" t="str" cm="1">
        <f t="array" ref="I785">_xlfn.IFS(A785&lt;=25,"18-25",A785&lt;=35,"26-35",A785&lt;=45,"36-45",A785&lt;=60,"46-60",A785&gt;60,"60+")</f>
        <v>36-45</v>
      </c>
      <c r="J785" t="str" cm="1">
        <f t="array" ref="J785">_xlfn.IFS(C785&lt;18.5,"Underweight",C785&lt;25,"Normal",C785&lt;30,"Overweight",C785&gt;=30,"Obese")</f>
        <v>Obese</v>
      </c>
      <c r="K785" t="str" cm="1">
        <f t="array" ref="K785">_xlfn.IFS(G785&lt;10000, "Low", G785&lt;=25000, "Medium", G785&gt;25000, "High")</f>
        <v>Medium</v>
      </c>
    </row>
    <row r="786" spans="1:11" x14ac:dyDescent="0.3">
      <c r="A786">
        <v>44</v>
      </c>
      <c r="B786" s="1" t="s">
        <v>7</v>
      </c>
      <c r="C786">
        <v>31.824999999999999</v>
      </c>
      <c r="D786">
        <v>1</v>
      </c>
      <c r="E786" t="s">
        <v>10</v>
      </c>
      <c r="F786" t="s">
        <v>11</v>
      </c>
      <c r="G786" s="2">
        <v>11244.376899999999</v>
      </c>
      <c r="H786" t="str" cm="1">
        <f t="array" ref="H786">_xlfn.IFS(A786&lt;=30, "Youth", A786&lt;=50, "Adult", A786&gt;50, "Older")</f>
        <v>Adult</v>
      </c>
      <c r="I786" t="str" cm="1">
        <f t="array" ref="I786">_xlfn.IFS(A786&lt;=25,"18-25",A786&lt;=35,"26-35",A786&lt;=45,"36-45",A786&lt;=60,"46-60",A786&gt;60,"60+")</f>
        <v>36-45</v>
      </c>
      <c r="J786" t="str" cm="1">
        <f t="array" ref="J786">_xlfn.IFS(C786&lt;18.5,"Underweight",C786&lt;25,"Normal",C786&lt;30,"Overweight",C786&gt;=30,"Obese")</f>
        <v>Obese</v>
      </c>
      <c r="K786" t="str" cm="1">
        <f t="array" ref="K786">_xlfn.IFS(G786&lt;10000, "Low", G786&lt;=25000, "Medium", G786&gt;25000, "High")</f>
        <v>Medium</v>
      </c>
    </row>
    <row r="787" spans="1:11" x14ac:dyDescent="0.3">
      <c r="A787">
        <v>44</v>
      </c>
      <c r="B787" s="1" t="s">
        <v>8</v>
      </c>
      <c r="C787">
        <v>31.824999999999999</v>
      </c>
      <c r="D787">
        <v>1</v>
      </c>
      <c r="E787" t="s">
        <v>10</v>
      </c>
      <c r="F787" t="s">
        <v>14</v>
      </c>
      <c r="G787" s="2">
        <v>11253.421</v>
      </c>
      <c r="H787" t="str" cm="1">
        <f t="array" ref="H787">_xlfn.IFS(A787&lt;=30, "Youth", A787&lt;=50, "Adult", A787&gt;50, "Older")</f>
        <v>Adult</v>
      </c>
      <c r="I787" t="str" cm="1">
        <f t="array" ref="I787">_xlfn.IFS(A787&lt;=25,"18-25",A787&lt;=35,"26-35",A787&lt;=45,"36-45",A787&lt;=60,"46-60",A787&gt;60,"60+")</f>
        <v>36-45</v>
      </c>
      <c r="J787" t="str" cm="1">
        <f t="array" ref="J787">_xlfn.IFS(C787&lt;18.5,"Underweight",C787&lt;25,"Normal",C787&lt;30,"Overweight",C787&gt;=30,"Obese")</f>
        <v>Obese</v>
      </c>
      <c r="K787" t="str" cm="1">
        <f t="array" ref="K787">_xlfn.IFS(G787&lt;10000, "Low", G787&lt;=25000, "Medium", G787&gt;25000, "High")</f>
        <v>Medium</v>
      </c>
    </row>
    <row r="788" spans="1:11" x14ac:dyDescent="0.3">
      <c r="A788">
        <v>44</v>
      </c>
      <c r="B788" s="1" t="s">
        <v>8</v>
      </c>
      <c r="C788">
        <v>31.824999999999999</v>
      </c>
      <c r="D788">
        <v>1</v>
      </c>
      <c r="E788" t="s">
        <v>10</v>
      </c>
      <c r="F788" t="s">
        <v>13</v>
      </c>
      <c r="G788" s="2">
        <v>11264.540999999999</v>
      </c>
      <c r="H788" t="str" cm="1">
        <f t="array" ref="H788">_xlfn.IFS(A788&lt;=30, "Youth", A788&lt;=50, "Adult", A788&gt;50, "Older")</f>
        <v>Adult</v>
      </c>
      <c r="I788" t="str" cm="1">
        <f t="array" ref="I788">_xlfn.IFS(A788&lt;=25,"18-25",A788&lt;=35,"26-35",A788&lt;=45,"36-45",A788&lt;=60,"46-60",A788&gt;60,"60+")</f>
        <v>36-45</v>
      </c>
      <c r="J788" t="str" cm="1">
        <f t="array" ref="J788">_xlfn.IFS(C788&lt;18.5,"Underweight",C788&lt;25,"Normal",C788&lt;30,"Overweight",C788&gt;=30,"Obese")</f>
        <v>Obese</v>
      </c>
      <c r="K788" t="str" cm="1">
        <f t="array" ref="K788">_xlfn.IFS(G788&lt;10000, "Low", G788&lt;=25000, "Medium", G788&gt;25000, "High")</f>
        <v>Medium</v>
      </c>
    </row>
    <row r="789" spans="1:11" x14ac:dyDescent="0.3">
      <c r="A789">
        <v>44</v>
      </c>
      <c r="B789" s="1" t="s">
        <v>8</v>
      </c>
      <c r="C789">
        <v>31.824999999999999</v>
      </c>
      <c r="D789">
        <v>1</v>
      </c>
      <c r="E789" t="s">
        <v>10</v>
      </c>
      <c r="F789" t="s">
        <v>14</v>
      </c>
      <c r="G789" s="2">
        <v>11272.331389999999</v>
      </c>
      <c r="H789" t="str" cm="1">
        <f t="array" ref="H789">_xlfn.IFS(A789&lt;=30, "Youth", A789&lt;=50, "Adult", A789&gt;50, "Older")</f>
        <v>Adult</v>
      </c>
      <c r="I789" t="str" cm="1">
        <f t="array" ref="I789">_xlfn.IFS(A789&lt;=25,"18-25",A789&lt;=35,"26-35",A789&lt;=45,"36-45",A789&lt;=60,"46-60",A789&gt;60,"60+")</f>
        <v>36-45</v>
      </c>
      <c r="J789" t="str" cm="1">
        <f t="array" ref="J789">_xlfn.IFS(C789&lt;18.5,"Underweight",C789&lt;25,"Normal",C789&lt;30,"Overweight",C789&gt;=30,"Obese")</f>
        <v>Obese</v>
      </c>
      <c r="K789" t="str" cm="1">
        <f t="array" ref="K789">_xlfn.IFS(G789&lt;10000, "Low", G789&lt;=25000, "Medium", G789&gt;25000, "High")</f>
        <v>Medium</v>
      </c>
    </row>
    <row r="790" spans="1:11" x14ac:dyDescent="0.3">
      <c r="A790">
        <v>44</v>
      </c>
      <c r="B790" s="1" t="s">
        <v>7</v>
      </c>
      <c r="C790">
        <v>31.824999999999999</v>
      </c>
      <c r="D790">
        <v>1</v>
      </c>
      <c r="E790" t="s">
        <v>10</v>
      </c>
      <c r="F790" t="s">
        <v>12</v>
      </c>
      <c r="G790" s="2">
        <v>11286.538699999999</v>
      </c>
      <c r="H790" t="str" cm="1">
        <f t="array" ref="H790">_xlfn.IFS(A790&lt;=30, "Youth", A790&lt;=50, "Adult", A790&gt;50, "Older")</f>
        <v>Adult</v>
      </c>
      <c r="I790" t="str" cm="1">
        <f t="array" ref="I790">_xlfn.IFS(A790&lt;=25,"18-25",A790&lt;=35,"26-35",A790&lt;=45,"36-45",A790&lt;=60,"46-60",A790&gt;60,"60+")</f>
        <v>36-45</v>
      </c>
      <c r="J790" t="str" cm="1">
        <f t="array" ref="J790">_xlfn.IFS(C790&lt;18.5,"Underweight",C790&lt;25,"Normal",C790&lt;30,"Overweight",C790&gt;=30,"Obese")</f>
        <v>Obese</v>
      </c>
      <c r="K790" t="str" cm="1">
        <f t="array" ref="K790">_xlfn.IFS(G790&lt;10000, "Low", G790&lt;=25000, "Medium", G790&gt;25000, "High")</f>
        <v>Medium</v>
      </c>
    </row>
    <row r="791" spans="1:11" x14ac:dyDescent="0.3">
      <c r="A791">
        <v>44</v>
      </c>
      <c r="B791" s="1" t="s">
        <v>7</v>
      </c>
      <c r="C791">
        <v>31.9</v>
      </c>
      <c r="D791">
        <v>1</v>
      </c>
      <c r="E791" t="s">
        <v>10</v>
      </c>
      <c r="F791" t="s">
        <v>12</v>
      </c>
      <c r="G791" s="2">
        <v>11289.10925</v>
      </c>
      <c r="H791" t="str" cm="1">
        <f t="array" ref="H791">_xlfn.IFS(A791&lt;=30, "Youth", A791&lt;=50, "Adult", A791&gt;50, "Older")</f>
        <v>Adult</v>
      </c>
      <c r="I791" t="str" cm="1">
        <f t="array" ref="I791">_xlfn.IFS(A791&lt;=25,"18-25",A791&lt;=35,"26-35",A791&lt;=45,"36-45",A791&lt;=60,"46-60",A791&gt;60,"60+")</f>
        <v>36-45</v>
      </c>
      <c r="J791" t="str" cm="1">
        <f t="array" ref="J791">_xlfn.IFS(C791&lt;18.5,"Underweight",C791&lt;25,"Normal",C791&lt;30,"Overweight",C791&gt;=30,"Obese")</f>
        <v>Obese</v>
      </c>
      <c r="K791" t="str" cm="1">
        <f t="array" ref="K791">_xlfn.IFS(G791&lt;10000, "Low", G791&lt;=25000, "Medium", G791&gt;25000, "High")</f>
        <v>Medium</v>
      </c>
    </row>
    <row r="792" spans="1:11" x14ac:dyDescent="0.3">
      <c r="A792">
        <v>44</v>
      </c>
      <c r="B792" s="1" t="s">
        <v>8</v>
      </c>
      <c r="C792">
        <v>31.9</v>
      </c>
      <c r="D792">
        <v>1</v>
      </c>
      <c r="E792" t="s">
        <v>10</v>
      </c>
      <c r="F792" t="s">
        <v>11</v>
      </c>
      <c r="G792" s="2">
        <v>11299.343000000001</v>
      </c>
      <c r="H792" t="str" cm="1">
        <f t="array" ref="H792">_xlfn.IFS(A792&lt;=30, "Youth", A792&lt;=50, "Adult", A792&gt;50, "Older")</f>
        <v>Adult</v>
      </c>
      <c r="I792" t="str" cm="1">
        <f t="array" ref="I792">_xlfn.IFS(A792&lt;=25,"18-25",A792&lt;=35,"26-35",A792&lt;=45,"36-45",A792&lt;=60,"46-60",A792&gt;60,"60+")</f>
        <v>36-45</v>
      </c>
      <c r="J792" t="str" cm="1">
        <f t="array" ref="J792">_xlfn.IFS(C792&lt;18.5,"Underweight",C792&lt;25,"Normal",C792&lt;30,"Overweight",C792&gt;=30,"Obese")</f>
        <v>Obese</v>
      </c>
      <c r="K792" t="str" cm="1">
        <f t="array" ref="K792">_xlfn.IFS(G792&lt;10000, "Low", G792&lt;=25000, "Medium", G792&gt;25000, "High")</f>
        <v>Medium</v>
      </c>
    </row>
    <row r="793" spans="1:11" x14ac:dyDescent="0.3">
      <c r="A793">
        <v>44</v>
      </c>
      <c r="B793" s="1" t="s">
        <v>7</v>
      </c>
      <c r="C793">
        <v>31.9</v>
      </c>
      <c r="D793">
        <v>1</v>
      </c>
      <c r="E793" t="s">
        <v>10</v>
      </c>
      <c r="F793" t="s">
        <v>14</v>
      </c>
      <c r="G793" s="2">
        <v>11305.93455</v>
      </c>
      <c r="H793" t="str" cm="1">
        <f t="array" ref="H793">_xlfn.IFS(A793&lt;=30, "Youth", A793&lt;=50, "Adult", A793&gt;50, "Older")</f>
        <v>Adult</v>
      </c>
      <c r="I793" t="str" cm="1">
        <f t="array" ref="I793">_xlfn.IFS(A793&lt;=25,"18-25",A793&lt;=35,"26-35",A793&lt;=45,"36-45",A793&lt;=60,"46-60",A793&gt;60,"60+")</f>
        <v>36-45</v>
      </c>
      <c r="J793" t="str" cm="1">
        <f t="array" ref="J793">_xlfn.IFS(C793&lt;18.5,"Underweight",C793&lt;25,"Normal",C793&lt;30,"Overweight",C793&gt;=30,"Obese")</f>
        <v>Obese</v>
      </c>
      <c r="K793" t="str" cm="1">
        <f t="array" ref="K793">_xlfn.IFS(G793&lt;10000, "Low", G793&lt;=25000, "Medium", G793&gt;25000, "High")</f>
        <v>Medium</v>
      </c>
    </row>
    <row r="794" spans="1:11" x14ac:dyDescent="0.3">
      <c r="A794">
        <v>44</v>
      </c>
      <c r="B794" s="1" t="s">
        <v>8</v>
      </c>
      <c r="C794">
        <v>31.92</v>
      </c>
      <c r="D794">
        <v>1</v>
      </c>
      <c r="E794" t="s">
        <v>9</v>
      </c>
      <c r="F794" t="s">
        <v>12</v>
      </c>
      <c r="G794" s="2">
        <v>11326.71487</v>
      </c>
      <c r="H794" t="str" cm="1">
        <f t="array" ref="H794">_xlfn.IFS(A794&lt;=30, "Youth", A794&lt;=50, "Adult", A794&gt;50, "Older")</f>
        <v>Adult</v>
      </c>
      <c r="I794" t="str" cm="1">
        <f t="array" ref="I794">_xlfn.IFS(A794&lt;=25,"18-25",A794&lt;=35,"26-35",A794&lt;=45,"36-45",A794&lt;=60,"46-60",A794&gt;60,"60+")</f>
        <v>36-45</v>
      </c>
      <c r="J794" t="str" cm="1">
        <f t="array" ref="J794">_xlfn.IFS(C794&lt;18.5,"Underweight",C794&lt;25,"Normal",C794&lt;30,"Overweight",C794&gt;=30,"Obese")</f>
        <v>Obese</v>
      </c>
      <c r="K794" t="str" cm="1">
        <f t="array" ref="K794">_xlfn.IFS(G794&lt;10000, "Low", G794&lt;=25000, "Medium", G794&gt;25000, "High")</f>
        <v>Medium</v>
      </c>
    </row>
    <row r="795" spans="1:11" x14ac:dyDescent="0.3">
      <c r="A795">
        <v>44</v>
      </c>
      <c r="B795" s="1" t="s">
        <v>7</v>
      </c>
      <c r="C795">
        <v>31.92</v>
      </c>
      <c r="D795">
        <v>1</v>
      </c>
      <c r="E795" t="s">
        <v>10</v>
      </c>
      <c r="F795" t="s">
        <v>13</v>
      </c>
      <c r="G795" s="2">
        <v>11345.519</v>
      </c>
      <c r="H795" t="str" cm="1">
        <f t="array" ref="H795">_xlfn.IFS(A795&lt;=30, "Youth", A795&lt;=50, "Adult", A795&gt;50, "Older")</f>
        <v>Adult</v>
      </c>
      <c r="I795" t="str" cm="1">
        <f t="array" ref="I795">_xlfn.IFS(A795&lt;=25,"18-25",A795&lt;=35,"26-35",A795&lt;=45,"36-45",A795&lt;=60,"46-60",A795&gt;60,"60+")</f>
        <v>36-45</v>
      </c>
      <c r="J795" t="str" cm="1">
        <f t="array" ref="J795">_xlfn.IFS(C795&lt;18.5,"Underweight",C795&lt;25,"Normal",C795&lt;30,"Overweight",C795&gt;=30,"Obese")</f>
        <v>Obese</v>
      </c>
      <c r="K795" t="str" cm="1">
        <f t="array" ref="K795">_xlfn.IFS(G795&lt;10000, "Low", G795&lt;=25000, "Medium", G795&gt;25000, "High")</f>
        <v>Medium</v>
      </c>
    </row>
    <row r="796" spans="1:11" x14ac:dyDescent="0.3">
      <c r="A796">
        <v>44</v>
      </c>
      <c r="B796" s="1" t="s">
        <v>8</v>
      </c>
      <c r="C796">
        <v>31.92</v>
      </c>
      <c r="D796">
        <v>1</v>
      </c>
      <c r="E796" t="s">
        <v>9</v>
      </c>
      <c r="F796" t="s">
        <v>13</v>
      </c>
      <c r="G796" s="2">
        <v>11353.2276</v>
      </c>
      <c r="H796" t="str" cm="1">
        <f t="array" ref="H796">_xlfn.IFS(A796&lt;=30, "Youth", A796&lt;=50, "Adult", A796&gt;50, "Older")</f>
        <v>Adult</v>
      </c>
      <c r="I796" t="str" cm="1">
        <f t="array" ref="I796">_xlfn.IFS(A796&lt;=25,"18-25",A796&lt;=35,"26-35",A796&lt;=45,"36-45",A796&lt;=60,"46-60",A796&gt;60,"60+")</f>
        <v>36-45</v>
      </c>
      <c r="J796" t="str" cm="1">
        <f t="array" ref="J796">_xlfn.IFS(C796&lt;18.5,"Underweight",C796&lt;25,"Normal",C796&lt;30,"Overweight",C796&gt;=30,"Obese")</f>
        <v>Obese</v>
      </c>
      <c r="K796" t="str" cm="1">
        <f t="array" ref="K796">_xlfn.IFS(G796&lt;10000, "Low", G796&lt;=25000, "Medium", G796&gt;25000, "High")</f>
        <v>Medium</v>
      </c>
    </row>
    <row r="797" spans="1:11" x14ac:dyDescent="0.3">
      <c r="A797">
        <v>44</v>
      </c>
      <c r="B797" s="1" t="s">
        <v>8</v>
      </c>
      <c r="C797">
        <v>31.92</v>
      </c>
      <c r="D797">
        <v>1</v>
      </c>
      <c r="E797" t="s">
        <v>10</v>
      </c>
      <c r="F797" t="s">
        <v>12</v>
      </c>
      <c r="G797" s="2">
        <v>11356.660900000001</v>
      </c>
      <c r="H797" t="str" cm="1">
        <f t="array" ref="H797">_xlfn.IFS(A797&lt;=30, "Youth", A797&lt;=50, "Adult", A797&gt;50, "Older")</f>
        <v>Adult</v>
      </c>
      <c r="I797" t="str" cm="1">
        <f t="array" ref="I797">_xlfn.IFS(A797&lt;=25,"18-25",A797&lt;=35,"26-35",A797&lt;=45,"36-45",A797&lt;=60,"46-60",A797&gt;60,"60+")</f>
        <v>36-45</v>
      </c>
      <c r="J797" t="str" cm="1">
        <f t="array" ref="J797">_xlfn.IFS(C797&lt;18.5,"Underweight",C797&lt;25,"Normal",C797&lt;30,"Overweight",C797&gt;=30,"Obese")</f>
        <v>Obese</v>
      </c>
      <c r="K797" t="str" cm="1">
        <f t="array" ref="K797">_xlfn.IFS(G797&lt;10000, "Low", G797&lt;=25000, "Medium", G797&gt;25000, "High")</f>
        <v>Medium</v>
      </c>
    </row>
    <row r="798" spans="1:11" x14ac:dyDescent="0.3">
      <c r="A798">
        <v>44</v>
      </c>
      <c r="B798" s="1" t="s">
        <v>7</v>
      </c>
      <c r="C798">
        <v>31.92</v>
      </c>
      <c r="D798">
        <v>1</v>
      </c>
      <c r="E798" t="s">
        <v>10</v>
      </c>
      <c r="F798" t="s">
        <v>14</v>
      </c>
      <c r="G798" s="2">
        <v>11362.754999999999</v>
      </c>
      <c r="H798" t="str" cm="1">
        <f t="array" ref="H798">_xlfn.IFS(A798&lt;=30, "Youth", A798&lt;=50, "Adult", A798&gt;50, "Older")</f>
        <v>Adult</v>
      </c>
      <c r="I798" t="str" cm="1">
        <f t="array" ref="I798">_xlfn.IFS(A798&lt;=25,"18-25",A798&lt;=35,"26-35",A798&lt;=45,"36-45",A798&lt;=60,"46-60",A798&gt;60,"60+")</f>
        <v>36-45</v>
      </c>
      <c r="J798" t="str" cm="1">
        <f t="array" ref="J798">_xlfn.IFS(C798&lt;18.5,"Underweight",C798&lt;25,"Normal",C798&lt;30,"Overweight",C798&gt;=30,"Obese")</f>
        <v>Obese</v>
      </c>
      <c r="K798" t="str" cm="1">
        <f t="array" ref="K798">_xlfn.IFS(G798&lt;10000, "Low", G798&lt;=25000, "Medium", G798&gt;25000, "High")</f>
        <v>Medium</v>
      </c>
    </row>
    <row r="799" spans="1:11" x14ac:dyDescent="0.3">
      <c r="A799">
        <v>44</v>
      </c>
      <c r="B799" s="1" t="s">
        <v>7</v>
      </c>
      <c r="C799">
        <v>32</v>
      </c>
      <c r="D799">
        <v>1</v>
      </c>
      <c r="E799" t="s">
        <v>10</v>
      </c>
      <c r="F799" t="s">
        <v>11</v>
      </c>
      <c r="G799" s="2">
        <v>11363.2832</v>
      </c>
      <c r="H799" t="str" cm="1">
        <f t="array" ref="H799">_xlfn.IFS(A799&lt;=30, "Youth", A799&lt;=50, "Adult", A799&gt;50, "Older")</f>
        <v>Adult</v>
      </c>
      <c r="I799" t="str" cm="1">
        <f t="array" ref="I799">_xlfn.IFS(A799&lt;=25,"18-25",A799&lt;=35,"26-35",A799&lt;=45,"36-45",A799&lt;=60,"46-60",A799&gt;60,"60+")</f>
        <v>36-45</v>
      </c>
      <c r="J799" t="str" cm="1">
        <f t="array" ref="J799">_xlfn.IFS(C799&lt;18.5,"Underweight",C799&lt;25,"Normal",C799&lt;30,"Overweight",C799&gt;=30,"Obese")</f>
        <v>Obese</v>
      </c>
      <c r="K799" t="str" cm="1">
        <f t="array" ref="K799">_xlfn.IFS(G799&lt;10000, "Low", G799&lt;=25000, "Medium", G799&gt;25000, "High")</f>
        <v>Medium</v>
      </c>
    </row>
    <row r="800" spans="1:11" x14ac:dyDescent="0.3">
      <c r="A800">
        <v>44</v>
      </c>
      <c r="B800" s="1" t="s">
        <v>8</v>
      </c>
      <c r="C800">
        <v>32.01</v>
      </c>
      <c r="D800">
        <v>1</v>
      </c>
      <c r="E800" t="s">
        <v>9</v>
      </c>
      <c r="F800" t="s">
        <v>14</v>
      </c>
      <c r="G800" s="2">
        <v>11365.951999999999</v>
      </c>
      <c r="H800" t="str" cm="1">
        <f t="array" ref="H800">_xlfn.IFS(A800&lt;=30, "Youth", A800&lt;=50, "Adult", A800&gt;50, "Older")</f>
        <v>Adult</v>
      </c>
      <c r="I800" t="str" cm="1">
        <f t="array" ref="I800">_xlfn.IFS(A800&lt;=25,"18-25",A800&lt;=35,"26-35",A800&lt;=45,"36-45",A800&lt;=60,"46-60",A800&gt;60,"60+")</f>
        <v>36-45</v>
      </c>
      <c r="J800" t="str" cm="1">
        <f t="array" ref="J800">_xlfn.IFS(C800&lt;18.5,"Underweight",C800&lt;25,"Normal",C800&lt;30,"Overweight",C800&gt;=30,"Obese")</f>
        <v>Obese</v>
      </c>
      <c r="K800" t="str" cm="1">
        <f t="array" ref="K800">_xlfn.IFS(G800&lt;10000, "Low", G800&lt;=25000, "Medium", G800&gt;25000, "High")</f>
        <v>Medium</v>
      </c>
    </row>
    <row r="801" spans="1:11" x14ac:dyDescent="0.3">
      <c r="A801">
        <v>44</v>
      </c>
      <c r="B801" s="1" t="s">
        <v>7</v>
      </c>
      <c r="C801">
        <v>32.01</v>
      </c>
      <c r="D801">
        <v>1</v>
      </c>
      <c r="E801" t="s">
        <v>10</v>
      </c>
      <c r="F801" t="s">
        <v>12</v>
      </c>
      <c r="G801" s="2">
        <v>11381.3254</v>
      </c>
      <c r="H801" t="str" cm="1">
        <f t="array" ref="H801">_xlfn.IFS(A801&lt;=30, "Youth", A801&lt;=50, "Adult", A801&gt;50, "Older")</f>
        <v>Adult</v>
      </c>
      <c r="I801" t="str" cm="1">
        <f t="array" ref="I801">_xlfn.IFS(A801&lt;=25,"18-25",A801&lt;=35,"26-35",A801&lt;=45,"36-45",A801&lt;=60,"46-60",A801&gt;60,"60+")</f>
        <v>36-45</v>
      </c>
      <c r="J801" t="str" cm="1">
        <f t="array" ref="J801">_xlfn.IFS(C801&lt;18.5,"Underweight",C801&lt;25,"Normal",C801&lt;30,"Overweight",C801&gt;=30,"Obese")</f>
        <v>Obese</v>
      </c>
      <c r="K801" t="str" cm="1">
        <f t="array" ref="K801">_xlfn.IFS(G801&lt;10000, "Low", G801&lt;=25000, "Medium", G801&gt;25000, "High")</f>
        <v>Medium</v>
      </c>
    </row>
    <row r="802" spans="1:11" x14ac:dyDescent="0.3">
      <c r="A802">
        <v>44</v>
      </c>
      <c r="B802" s="1" t="s">
        <v>7</v>
      </c>
      <c r="C802">
        <v>32.015000000000001</v>
      </c>
      <c r="D802">
        <v>1</v>
      </c>
      <c r="E802" t="s">
        <v>10</v>
      </c>
      <c r="F802" t="s">
        <v>12</v>
      </c>
      <c r="G802" s="2">
        <v>11394.065549999999</v>
      </c>
      <c r="H802" t="str" cm="1">
        <f t="array" ref="H802">_xlfn.IFS(A802&lt;=30, "Youth", A802&lt;=50, "Adult", A802&gt;50, "Older")</f>
        <v>Adult</v>
      </c>
      <c r="I802" t="str" cm="1">
        <f t="array" ref="I802">_xlfn.IFS(A802&lt;=25,"18-25",A802&lt;=35,"26-35",A802&lt;=45,"36-45",A802&lt;=60,"46-60",A802&gt;60,"60+")</f>
        <v>36-45</v>
      </c>
      <c r="J802" t="str" cm="1">
        <f t="array" ref="J802">_xlfn.IFS(C802&lt;18.5,"Underweight",C802&lt;25,"Normal",C802&lt;30,"Overweight",C802&gt;=30,"Obese")</f>
        <v>Obese</v>
      </c>
      <c r="K802" t="str" cm="1">
        <f t="array" ref="K802">_xlfn.IFS(G802&lt;10000, "Low", G802&lt;=25000, "Medium", G802&gt;25000, "High")</f>
        <v>Medium</v>
      </c>
    </row>
    <row r="803" spans="1:11" x14ac:dyDescent="0.3">
      <c r="A803">
        <v>44</v>
      </c>
      <c r="B803" s="1" t="s">
        <v>8</v>
      </c>
      <c r="C803">
        <v>32.015000000000001</v>
      </c>
      <c r="D803">
        <v>1</v>
      </c>
      <c r="E803" t="s">
        <v>10</v>
      </c>
      <c r="F803" t="s">
        <v>11</v>
      </c>
      <c r="G803" s="2">
        <v>11396.9002</v>
      </c>
      <c r="H803" t="str" cm="1">
        <f t="array" ref="H803">_xlfn.IFS(A803&lt;=30, "Youth", A803&lt;=50, "Adult", A803&gt;50, "Older")</f>
        <v>Adult</v>
      </c>
      <c r="I803" t="str" cm="1">
        <f t="array" ref="I803">_xlfn.IFS(A803&lt;=25,"18-25",A803&lt;=35,"26-35",A803&lt;=45,"36-45",A803&lt;=60,"46-60",A803&gt;60,"60+")</f>
        <v>36-45</v>
      </c>
      <c r="J803" t="str" cm="1">
        <f t="array" ref="J803">_xlfn.IFS(C803&lt;18.5,"Underweight",C803&lt;25,"Normal",C803&lt;30,"Overweight",C803&gt;=30,"Obese")</f>
        <v>Obese</v>
      </c>
      <c r="K803" t="str" cm="1">
        <f t="array" ref="K803">_xlfn.IFS(G803&lt;10000, "Low", G803&lt;=25000, "Medium", G803&gt;25000, "High")</f>
        <v>Medium</v>
      </c>
    </row>
    <row r="804" spans="1:11" x14ac:dyDescent="0.3">
      <c r="A804">
        <v>44</v>
      </c>
      <c r="B804" s="1" t="s">
        <v>7</v>
      </c>
      <c r="C804">
        <v>32.1</v>
      </c>
      <c r="D804">
        <v>1</v>
      </c>
      <c r="E804" t="s">
        <v>9</v>
      </c>
      <c r="F804" t="s">
        <v>12</v>
      </c>
      <c r="G804" s="2">
        <v>11411.684999999999</v>
      </c>
      <c r="H804" t="str" cm="1">
        <f t="array" ref="H804">_xlfn.IFS(A804&lt;=30, "Youth", A804&lt;=50, "Adult", A804&gt;50, "Older")</f>
        <v>Adult</v>
      </c>
      <c r="I804" t="str" cm="1">
        <f t="array" ref="I804">_xlfn.IFS(A804&lt;=25,"18-25",A804&lt;=35,"26-35",A804&lt;=45,"36-45",A804&lt;=60,"46-60",A804&gt;60,"60+")</f>
        <v>36-45</v>
      </c>
      <c r="J804" t="str" cm="1">
        <f t="array" ref="J804">_xlfn.IFS(C804&lt;18.5,"Underweight",C804&lt;25,"Normal",C804&lt;30,"Overweight",C804&gt;=30,"Obese")</f>
        <v>Obese</v>
      </c>
      <c r="K804" t="str" cm="1">
        <f t="array" ref="K804">_xlfn.IFS(G804&lt;10000, "Low", G804&lt;=25000, "Medium", G804&gt;25000, "High")</f>
        <v>Medium</v>
      </c>
    </row>
    <row r="805" spans="1:11" x14ac:dyDescent="0.3">
      <c r="A805">
        <v>44</v>
      </c>
      <c r="B805" s="1" t="s">
        <v>8</v>
      </c>
      <c r="C805">
        <v>32.11</v>
      </c>
      <c r="D805">
        <v>1</v>
      </c>
      <c r="E805" t="s">
        <v>10</v>
      </c>
      <c r="F805" t="s">
        <v>12</v>
      </c>
      <c r="G805" s="2">
        <v>11436.738149999999</v>
      </c>
      <c r="H805" t="str" cm="1">
        <f t="array" ref="H805">_xlfn.IFS(A805&lt;=30, "Youth", A805&lt;=50, "Adult", A805&gt;50, "Older")</f>
        <v>Adult</v>
      </c>
      <c r="I805" t="str" cm="1">
        <f t="array" ref="I805">_xlfn.IFS(A805&lt;=25,"18-25",A805&lt;=35,"26-35",A805&lt;=45,"36-45",A805&lt;=60,"46-60",A805&gt;60,"60+")</f>
        <v>36-45</v>
      </c>
      <c r="J805" t="str" cm="1">
        <f t="array" ref="J805">_xlfn.IFS(C805&lt;18.5,"Underweight",C805&lt;25,"Normal",C805&lt;30,"Overweight",C805&gt;=30,"Obese")</f>
        <v>Obese</v>
      </c>
      <c r="K805" t="str" cm="1">
        <f t="array" ref="K805">_xlfn.IFS(G805&lt;10000, "Low", G805&lt;=25000, "Medium", G805&gt;25000, "High")</f>
        <v>Medium</v>
      </c>
    </row>
    <row r="806" spans="1:11" x14ac:dyDescent="0.3">
      <c r="A806">
        <v>44</v>
      </c>
      <c r="B806" s="1" t="s">
        <v>7</v>
      </c>
      <c r="C806">
        <v>32.11</v>
      </c>
      <c r="D806">
        <v>1</v>
      </c>
      <c r="E806" t="s">
        <v>10</v>
      </c>
      <c r="F806" t="s">
        <v>13</v>
      </c>
      <c r="G806" s="2">
        <v>11454.021500000001</v>
      </c>
      <c r="H806" t="str" cm="1">
        <f t="array" ref="H806">_xlfn.IFS(A806&lt;=30, "Youth", A806&lt;=50, "Adult", A806&gt;50, "Older")</f>
        <v>Adult</v>
      </c>
      <c r="I806" t="str" cm="1">
        <f t="array" ref="I806">_xlfn.IFS(A806&lt;=25,"18-25",A806&lt;=35,"26-35",A806&lt;=45,"36-45",A806&lt;=60,"46-60",A806&gt;60,"60+")</f>
        <v>36-45</v>
      </c>
      <c r="J806" t="str" cm="1">
        <f t="array" ref="J806">_xlfn.IFS(C806&lt;18.5,"Underweight",C806&lt;25,"Normal",C806&lt;30,"Overweight",C806&gt;=30,"Obese")</f>
        <v>Obese</v>
      </c>
      <c r="K806" t="str" cm="1">
        <f t="array" ref="K806">_xlfn.IFS(G806&lt;10000, "Low", G806&lt;=25000, "Medium", G806&gt;25000, "High")</f>
        <v>Medium</v>
      </c>
    </row>
    <row r="807" spans="1:11" x14ac:dyDescent="0.3">
      <c r="A807">
        <v>44</v>
      </c>
      <c r="B807" s="1" t="s">
        <v>7</v>
      </c>
      <c r="C807">
        <v>32.11</v>
      </c>
      <c r="D807">
        <v>1</v>
      </c>
      <c r="E807" t="s">
        <v>10</v>
      </c>
      <c r="F807" t="s">
        <v>13</v>
      </c>
      <c r="G807" s="2">
        <v>11455.28</v>
      </c>
      <c r="H807" t="str" cm="1">
        <f t="array" ref="H807">_xlfn.IFS(A807&lt;=30, "Youth", A807&lt;=50, "Adult", A807&gt;50, "Older")</f>
        <v>Adult</v>
      </c>
      <c r="I807" t="str" cm="1">
        <f t="array" ref="I807">_xlfn.IFS(A807&lt;=25,"18-25",A807&lt;=35,"26-35",A807&lt;=45,"36-45",A807&lt;=60,"46-60",A807&gt;60,"60+")</f>
        <v>36-45</v>
      </c>
      <c r="J807" t="str" cm="1">
        <f t="array" ref="J807">_xlfn.IFS(C807&lt;18.5,"Underweight",C807&lt;25,"Normal",C807&lt;30,"Overweight",C807&gt;=30,"Obese")</f>
        <v>Obese</v>
      </c>
      <c r="K807" t="str" cm="1">
        <f t="array" ref="K807">_xlfn.IFS(G807&lt;10000, "Low", G807&lt;=25000, "Medium", G807&gt;25000, "High")</f>
        <v>Medium</v>
      </c>
    </row>
    <row r="808" spans="1:11" x14ac:dyDescent="0.3">
      <c r="A808">
        <v>44</v>
      </c>
      <c r="B808" s="1" t="s">
        <v>7</v>
      </c>
      <c r="C808">
        <v>32.11</v>
      </c>
      <c r="D808">
        <v>1</v>
      </c>
      <c r="E808" t="s">
        <v>10</v>
      </c>
      <c r="F808" t="s">
        <v>13</v>
      </c>
      <c r="G808" s="2">
        <v>11482.63485</v>
      </c>
      <c r="H808" t="str" cm="1">
        <f t="array" ref="H808">_xlfn.IFS(A808&lt;=30, "Youth", A808&lt;=50, "Adult", A808&gt;50, "Older")</f>
        <v>Adult</v>
      </c>
      <c r="I808" t="str" cm="1">
        <f t="array" ref="I808">_xlfn.IFS(A808&lt;=25,"18-25",A808&lt;=35,"26-35",A808&lt;=45,"36-45",A808&lt;=60,"46-60",A808&gt;60,"60+")</f>
        <v>36-45</v>
      </c>
      <c r="J808" t="str" cm="1">
        <f t="array" ref="J808">_xlfn.IFS(C808&lt;18.5,"Underweight",C808&lt;25,"Normal",C808&lt;30,"Overweight",C808&gt;=30,"Obese")</f>
        <v>Obese</v>
      </c>
      <c r="K808" t="str" cm="1">
        <f t="array" ref="K808">_xlfn.IFS(G808&lt;10000, "Low", G808&lt;=25000, "Medium", G808&gt;25000, "High")</f>
        <v>Medium</v>
      </c>
    </row>
    <row r="809" spans="1:11" x14ac:dyDescent="0.3">
      <c r="A809">
        <v>44</v>
      </c>
      <c r="B809" s="1" t="s">
        <v>8</v>
      </c>
      <c r="C809">
        <v>32.11</v>
      </c>
      <c r="D809">
        <v>1</v>
      </c>
      <c r="E809" t="s">
        <v>10</v>
      </c>
      <c r="F809" t="s">
        <v>12</v>
      </c>
      <c r="G809" s="2">
        <v>11488.31695</v>
      </c>
      <c r="H809" t="str" cm="1">
        <f t="array" ref="H809">_xlfn.IFS(A809&lt;=30, "Youth", A809&lt;=50, "Adult", A809&gt;50, "Older")</f>
        <v>Adult</v>
      </c>
      <c r="I809" t="str" cm="1">
        <f t="array" ref="I809">_xlfn.IFS(A809&lt;=25,"18-25",A809&lt;=35,"26-35",A809&lt;=45,"36-45",A809&lt;=60,"46-60",A809&gt;60,"60+")</f>
        <v>36-45</v>
      </c>
      <c r="J809" t="str" cm="1">
        <f t="array" ref="J809">_xlfn.IFS(C809&lt;18.5,"Underweight",C809&lt;25,"Normal",C809&lt;30,"Overweight",C809&gt;=30,"Obese")</f>
        <v>Obese</v>
      </c>
      <c r="K809" t="str" cm="1">
        <f t="array" ref="K809">_xlfn.IFS(G809&lt;10000, "Low", G809&lt;=25000, "Medium", G809&gt;25000, "High")</f>
        <v>Medium</v>
      </c>
    </row>
    <row r="810" spans="1:11" x14ac:dyDescent="0.3">
      <c r="A810">
        <v>45</v>
      </c>
      <c r="B810" s="1" t="s">
        <v>8</v>
      </c>
      <c r="C810">
        <v>32.11</v>
      </c>
      <c r="D810">
        <v>1</v>
      </c>
      <c r="E810" t="s">
        <v>10</v>
      </c>
      <c r="F810" t="s">
        <v>14</v>
      </c>
      <c r="G810" s="2">
        <v>11512.405000000001</v>
      </c>
      <c r="H810" t="str" cm="1">
        <f t="array" ref="H810">_xlfn.IFS(A810&lt;=30, "Youth", A810&lt;=50, "Adult", A810&gt;50, "Older")</f>
        <v>Adult</v>
      </c>
      <c r="I810" t="str" cm="1">
        <f t="array" ref="I810">_xlfn.IFS(A810&lt;=25,"18-25",A810&lt;=35,"26-35",A810&lt;=45,"36-45",A810&lt;=60,"46-60",A810&gt;60,"60+")</f>
        <v>36-45</v>
      </c>
      <c r="J810" t="str" cm="1">
        <f t="array" ref="J810">_xlfn.IFS(C810&lt;18.5,"Underweight",C810&lt;25,"Normal",C810&lt;30,"Overweight",C810&gt;=30,"Obese")</f>
        <v>Obese</v>
      </c>
      <c r="K810" t="str" cm="1">
        <f t="array" ref="K810">_xlfn.IFS(G810&lt;10000, "Low", G810&lt;=25000, "Medium", G810&gt;25000, "High")</f>
        <v>Medium</v>
      </c>
    </row>
    <row r="811" spans="1:11" x14ac:dyDescent="0.3">
      <c r="A811">
        <v>45</v>
      </c>
      <c r="B811" s="1" t="s">
        <v>7</v>
      </c>
      <c r="C811">
        <v>32.11</v>
      </c>
      <c r="D811">
        <v>1</v>
      </c>
      <c r="E811" t="s">
        <v>10</v>
      </c>
      <c r="F811" t="s">
        <v>11</v>
      </c>
      <c r="G811" s="2">
        <v>11520.099850000001</v>
      </c>
      <c r="H811" t="str" cm="1">
        <f t="array" ref="H811">_xlfn.IFS(A811&lt;=30, "Youth", A811&lt;=50, "Adult", A811&gt;50, "Older")</f>
        <v>Adult</v>
      </c>
      <c r="I811" t="str" cm="1">
        <f t="array" ref="I811">_xlfn.IFS(A811&lt;=25,"18-25",A811&lt;=35,"26-35",A811&lt;=45,"36-45",A811&lt;=60,"46-60",A811&gt;60,"60+")</f>
        <v>36-45</v>
      </c>
      <c r="J811" t="str" cm="1">
        <f t="array" ref="J811">_xlfn.IFS(C811&lt;18.5,"Underweight",C811&lt;25,"Normal",C811&lt;30,"Overweight",C811&gt;=30,"Obese")</f>
        <v>Obese</v>
      </c>
      <c r="K811" t="str" cm="1">
        <f t="array" ref="K811">_xlfn.IFS(G811&lt;10000, "Low", G811&lt;=25000, "Medium", G811&gt;25000, "High")</f>
        <v>Medium</v>
      </c>
    </row>
    <row r="812" spans="1:11" x14ac:dyDescent="0.3">
      <c r="A812">
        <v>45</v>
      </c>
      <c r="B812" s="1" t="s">
        <v>7</v>
      </c>
      <c r="C812">
        <v>32.119999999999997</v>
      </c>
      <c r="D812">
        <v>1</v>
      </c>
      <c r="E812" t="s">
        <v>10</v>
      </c>
      <c r="F812" t="s">
        <v>13</v>
      </c>
      <c r="G812" s="2">
        <v>11534.872649999999</v>
      </c>
      <c r="H812" t="str" cm="1">
        <f t="array" ref="H812">_xlfn.IFS(A812&lt;=30, "Youth", A812&lt;=50, "Adult", A812&gt;50, "Older")</f>
        <v>Adult</v>
      </c>
      <c r="I812" t="str" cm="1">
        <f t="array" ref="I812">_xlfn.IFS(A812&lt;=25,"18-25",A812&lt;=35,"26-35",A812&lt;=45,"36-45",A812&lt;=60,"46-60",A812&gt;60,"60+")</f>
        <v>36-45</v>
      </c>
      <c r="J812" t="str" cm="1">
        <f t="array" ref="J812">_xlfn.IFS(C812&lt;18.5,"Underweight",C812&lt;25,"Normal",C812&lt;30,"Overweight",C812&gt;=30,"Obese")</f>
        <v>Obese</v>
      </c>
      <c r="K812" t="str" cm="1">
        <f t="array" ref="K812">_xlfn.IFS(G812&lt;10000, "Low", G812&lt;=25000, "Medium", G812&gt;25000, "High")</f>
        <v>Medium</v>
      </c>
    </row>
    <row r="813" spans="1:11" x14ac:dyDescent="0.3">
      <c r="A813">
        <v>45</v>
      </c>
      <c r="B813" s="1" t="s">
        <v>8</v>
      </c>
      <c r="C813">
        <v>32.200000000000003</v>
      </c>
      <c r="D813">
        <v>1</v>
      </c>
      <c r="E813" t="s">
        <v>10</v>
      </c>
      <c r="F813" t="s">
        <v>12</v>
      </c>
      <c r="G813" s="2">
        <v>11538.421</v>
      </c>
      <c r="H813" t="str" cm="1">
        <f t="array" ref="H813">_xlfn.IFS(A813&lt;=30, "Youth", A813&lt;=50, "Adult", A813&gt;50, "Older")</f>
        <v>Adult</v>
      </c>
      <c r="I813" t="str" cm="1">
        <f t="array" ref="I813">_xlfn.IFS(A813&lt;=25,"18-25",A813&lt;=35,"26-35",A813&lt;=45,"36-45",A813&lt;=60,"46-60",A813&gt;60,"60+")</f>
        <v>36-45</v>
      </c>
      <c r="J813" t="str" cm="1">
        <f t="array" ref="J813">_xlfn.IFS(C813&lt;18.5,"Underweight",C813&lt;25,"Normal",C813&lt;30,"Overweight",C813&gt;=30,"Obese")</f>
        <v>Obese</v>
      </c>
      <c r="K813" t="str" cm="1">
        <f t="array" ref="K813">_xlfn.IFS(G813&lt;10000, "Low", G813&lt;=25000, "Medium", G813&gt;25000, "High")</f>
        <v>Medium</v>
      </c>
    </row>
    <row r="814" spans="1:11" x14ac:dyDescent="0.3">
      <c r="A814">
        <v>45</v>
      </c>
      <c r="B814" s="1" t="s">
        <v>8</v>
      </c>
      <c r="C814">
        <v>32.200000000000003</v>
      </c>
      <c r="D814">
        <v>1</v>
      </c>
      <c r="E814" t="s">
        <v>10</v>
      </c>
      <c r="F814" t="s">
        <v>14</v>
      </c>
      <c r="G814" s="2">
        <v>11552.904</v>
      </c>
      <c r="H814" t="str" cm="1">
        <f t="array" ref="H814">_xlfn.IFS(A814&lt;=30, "Youth", A814&lt;=50, "Adult", A814&gt;50, "Older")</f>
        <v>Adult</v>
      </c>
      <c r="I814" t="str" cm="1">
        <f t="array" ref="I814">_xlfn.IFS(A814&lt;=25,"18-25",A814&lt;=35,"26-35",A814&lt;=45,"36-45",A814&lt;=60,"46-60",A814&gt;60,"60+")</f>
        <v>36-45</v>
      </c>
      <c r="J814" t="str" cm="1">
        <f t="array" ref="J814">_xlfn.IFS(C814&lt;18.5,"Underweight",C814&lt;25,"Normal",C814&lt;30,"Overweight",C814&gt;=30,"Obese")</f>
        <v>Obese</v>
      </c>
      <c r="K814" t="str" cm="1">
        <f t="array" ref="K814">_xlfn.IFS(G814&lt;10000, "Low", G814&lt;=25000, "Medium", G814&gt;25000, "High")</f>
        <v>Medium</v>
      </c>
    </row>
    <row r="815" spans="1:11" x14ac:dyDescent="0.3">
      <c r="A815">
        <v>45</v>
      </c>
      <c r="B815" s="1" t="s">
        <v>8</v>
      </c>
      <c r="C815">
        <v>32.200000000000003</v>
      </c>
      <c r="D815">
        <v>1</v>
      </c>
      <c r="E815" t="s">
        <v>10</v>
      </c>
      <c r="F815" t="s">
        <v>12</v>
      </c>
      <c r="G815" s="2">
        <v>11554.223599999999</v>
      </c>
      <c r="H815" t="str" cm="1">
        <f t="array" ref="H815">_xlfn.IFS(A815&lt;=30, "Youth", A815&lt;=50, "Adult", A815&gt;50, "Older")</f>
        <v>Adult</v>
      </c>
      <c r="I815" t="str" cm="1">
        <f t="array" ref="I815">_xlfn.IFS(A815&lt;=25,"18-25",A815&lt;=35,"26-35",A815&lt;=45,"36-45",A815&lt;=60,"46-60",A815&gt;60,"60+")</f>
        <v>36-45</v>
      </c>
      <c r="J815" t="str" cm="1">
        <f t="array" ref="J815">_xlfn.IFS(C815&lt;18.5,"Underweight",C815&lt;25,"Normal",C815&lt;30,"Overweight",C815&gt;=30,"Obese")</f>
        <v>Obese</v>
      </c>
      <c r="K815" t="str" cm="1">
        <f t="array" ref="K815">_xlfn.IFS(G815&lt;10000, "Low", G815&lt;=25000, "Medium", G815&gt;25000, "High")</f>
        <v>Medium</v>
      </c>
    </row>
    <row r="816" spans="1:11" x14ac:dyDescent="0.3">
      <c r="A816">
        <v>45</v>
      </c>
      <c r="B816" s="1" t="s">
        <v>7</v>
      </c>
      <c r="C816">
        <v>32.204999999999998</v>
      </c>
      <c r="D816">
        <v>1</v>
      </c>
      <c r="E816" t="s">
        <v>10</v>
      </c>
      <c r="F816" t="s">
        <v>12</v>
      </c>
      <c r="G816" s="2">
        <v>11566.30055</v>
      </c>
      <c r="H816" t="str" cm="1">
        <f t="array" ref="H816">_xlfn.IFS(A816&lt;=30, "Youth", A816&lt;=50, "Adult", A816&gt;50, "Older")</f>
        <v>Adult</v>
      </c>
      <c r="I816" t="str" cm="1">
        <f t="array" ref="I816">_xlfn.IFS(A816&lt;=25,"18-25",A816&lt;=35,"26-35",A816&lt;=45,"36-45",A816&lt;=60,"46-60",A816&gt;60,"60+")</f>
        <v>36-45</v>
      </c>
      <c r="J816" t="str" cm="1">
        <f t="array" ref="J816">_xlfn.IFS(C816&lt;18.5,"Underweight",C816&lt;25,"Normal",C816&lt;30,"Overweight",C816&gt;=30,"Obese")</f>
        <v>Obese</v>
      </c>
      <c r="K816" t="str" cm="1">
        <f t="array" ref="K816">_xlfn.IFS(G816&lt;10000, "Low", G816&lt;=25000, "Medium", G816&gt;25000, "High")</f>
        <v>Medium</v>
      </c>
    </row>
    <row r="817" spans="1:11" x14ac:dyDescent="0.3">
      <c r="A817">
        <v>45</v>
      </c>
      <c r="B817" s="1" t="s">
        <v>7</v>
      </c>
      <c r="C817">
        <v>32.204999999999998</v>
      </c>
      <c r="D817">
        <v>1</v>
      </c>
      <c r="E817" t="s">
        <v>10</v>
      </c>
      <c r="F817" t="s">
        <v>13</v>
      </c>
      <c r="G817" s="2">
        <v>11576.13</v>
      </c>
      <c r="H817" t="str" cm="1">
        <f t="array" ref="H817">_xlfn.IFS(A817&lt;=30, "Youth", A817&lt;=50, "Adult", A817&gt;50, "Older")</f>
        <v>Adult</v>
      </c>
      <c r="I817" t="str" cm="1">
        <f t="array" ref="I817">_xlfn.IFS(A817&lt;=25,"18-25",A817&lt;=35,"26-35",A817&lt;=45,"36-45",A817&lt;=60,"46-60",A817&gt;60,"60+")</f>
        <v>36-45</v>
      </c>
      <c r="J817" t="str" cm="1">
        <f t="array" ref="J817">_xlfn.IFS(C817&lt;18.5,"Underweight",C817&lt;25,"Normal",C817&lt;30,"Overweight",C817&gt;=30,"Obese")</f>
        <v>Obese</v>
      </c>
      <c r="K817" t="str" cm="1">
        <f t="array" ref="K817">_xlfn.IFS(G817&lt;10000, "Low", G817&lt;=25000, "Medium", G817&gt;25000, "High")</f>
        <v>Medium</v>
      </c>
    </row>
    <row r="818" spans="1:11" x14ac:dyDescent="0.3">
      <c r="A818">
        <v>45</v>
      </c>
      <c r="B818" s="1" t="s">
        <v>8</v>
      </c>
      <c r="C818">
        <v>32.229999999999997</v>
      </c>
      <c r="D818">
        <v>1</v>
      </c>
      <c r="E818" t="s">
        <v>10</v>
      </c>
      <c r="F818" t="s">
        <v>11</v>
      </c>
      <c r="G818" s="2">
        <v>11657.7189</v>
      </c>
      <c r="H818" t="str" cm="1">
        <f t="array" ref="H818">_xlfn.IFS(A818&lt;=30, "Youth", A818&lt;=50, "Adult", A818&gt;50, "Older")</f>
        <v>Adult</v>
      </c>
      <c r="I818" t="str" cm="1">
        <f t="array" ref="I818">_xlfn.IFS(A818&lt;=25,"18-25",A818&lt;=35,"26-35",A818&lt;=45,"36-45",A818&lt;=60,"46-60",A818&gt;60,"60+")</f>
        <v>36-45</v>
      </c>
      <c r="J818" t="str" cm="1">
        <f t="array" ref="J818">_xlfn.IFS(C818&lt;18.5,"Underweight",C818&lt;25,"Normal",C818&lt;30,"Overweight",C818&gt;=30,"Obese")</f>
        <v>Obese</v>
      </c>
      <c r="K818" t="str" cm="1">
        <f t="array" ref="K818">_xlfn.IFS(G818&lt;10000, "Low", G818&lt;=25000, "Medium", G818&gt;25000, "High")</f>
        <v>Medium</v>
      </c>
    </row>
    <row r="819" spans="1:11" x14ac:dyDescent="0.3">
      <c r="A819">
        <v>45</v>
      </c>
      <c r="B819" s="1" t="s">
        <v>7</v>
      </c>
      <c r="C819">
        <v>32.229999999999997</v>
      </c>
      <c r="D819">
        <v>1</v>
      </c>
      <c r="E819" t="s">
        <v>9</v>
      </c>
      <c r="F819" t="s">
        <v>14</v>
      </c>
      <c r="G819" s="2">
        <v>11658.11505</v>
      </c>
      <c r="H819" t="str" cm="1">
        <f t="array" ref="H819">_xlfn.IFS(A819&lt;=30, "Youth", A819&lt;=50, "Adult", A819&gt;50, "Older")</f>
        <v>Adult</v>
      </c>
      <c r="I819" t="str" cm="1">
        <f t="array" ref="I819">_xlfn.IFS(A819&lt;=25,"18-25",A819&lt;=35,"26-35",A819&lt;=45,"36-45",A819&lt;=60,"46-60",A819&gt;60,"60+")</f>
        <v>36-45</v>
      </c>
      <c r="J819" t="str" cm="1">
        <f t="array" ref="J819">_xlfn.IFS(C819&lt;18.5,"Underweight",C819&lt;25,"Normal",C819&lt;30,"Overweight",C819&gt;=30,"Obese")</f>
        <v>Obese</v>
      </c>
      <c r="K819" t="str" cm="1">
        <f t="array" ref="K819">_xlfn.IFS(G819&lt;10000, "Low", G819&lt;=25000, "Medium", G819&gt;25000, "High")</f>
        <v>Medium</v>
      </c>
    </row>
    <row r="820" spans="1:11" x14ac:dyDescent="0.3">
      <c r="A820">
        <v>45</v>
      </c>
      <c r="B820" s="1" t="s">
        <v>7</v>
      </c>
      <c r="C820">
        <v>32.299999999999997</v>
      </c>
      <c r="D820">
        <v>1</v>
      </c>
      <c r="E820" t="s">
        <v>9</v>
      </c>
      <c r="F820" t="s">
        <v>13</v>
      </c>
      <c r="G820" s="2">
        <v>11658.379150000001</v>
      </c>
      <c r="H820" t="str" cm="1">
        <f t="array" ref="H820">_xlfn.IFS(A820&lt;=30, "Youth", A820&lt;=50, "Adult", A820&gt;50, "Older")</f>
        <v>Adult</v>
      </c>
      <c r="I820" t="str" cm="1">
        <f t="array" ref="I820">_xlfn.IFS(A820&lt;=25,"18-25",A820&lt;=35,"26-35",A820&lt;=45,"36-45",A820&lt;=60,"46-60",A820&gt;60,"60+")</f>
        <v>36-45</v>
      </c>
      <c r="J820" t="str" cm="1">
        <f t="array" ref="J820">_xlfn.IFS(C820&lt;18.5,"Underweight",C820&lt;25,"Normal",C820&lt;30,"Overweight",C820&gt;=30,"Obese")</f>
        <v>Obese</v>
      </c>
      <c r="K820" t="str" cm="1">
        <f t="array" ref="K820">_xlfn.IFS(G820&lt;10000, "Low", G820&lt;=25000, "Medium", G820&gt;25000, "High")</f>
        <v>Medium</v>
      </c>
    </row>
    <row r="821" spans="1:11" x14ac:dyDescent="0.3">
      <c r="A821">
        <v>45</v>
      </c>
      <c r="B821" s="1" t="s">
        <v>8</v>
      </c>
      <c r="C821">
        <v>32.299999999999997</v>
      </c>
      <c r="D821">
        <v>1</v>
      </c>
      <c r="E821" t="s">
        <v>10</v>
      </c>
      <c r="F821" t="s">
        <v>11</v>
      </c>
      <c r="G821" s="2">
        <v>11674.13</v>
      </c>
      <c r="H821" t="str" cm="1">
        <f t="array" ref="H821">_xlfn.IFS(A821&lt;=30, "Youth", A821&lt;=50, "Adult", A821&gt;50, "Older")</f>
        <v>Adult</v>
      </c>
      <c r="I821" t="str" cm="1">
        <f t="array" ref="I821">_xlfn.IFS(A821&lt;=25,"18-25",A821&lt;=35,"26-35",A821&lt;=45,"36-45",A821&lt;=60,"46-60",A821&gt;60,"60+")</f>
        <v>36-45</v>
      </c>
      <c r="J821" t="str" cm="1">
        <f t="array" ref="J821">_xlfn.IFS(C821&lt;18.5,"Underweight",C821&lt;25,"Normal",C821&lt;30,"Overweight",C821&gt;=30,"Obese")</f>
        <v>Obese</v>
      </c>
      <c r="K821" t="str" cm="1">
        <f t="array" ref="K821">_xlfn.IFS(G821&lt;10000, "Low", G821&lt;=25000, "Medium", G821&gt;25000, "High")</f>
        <v>Medium</v>
      </c>
    </row>
    <row r="822" spans="1:11" x14ac:dyDescent="0.3">
      <c r="A822">
        <v>45</v>
      </c>
      <c r="B822" s="1" t="s">
        <v>8</v>
      </c>
      <c r="C822">
        <v>32.299999999999997</v>
      </c>
      <c r="D822">
        <v>1</v>
      </c>
      <c r="E822" t="s">
        <v>10</v>
      </c>
      <c r="F822" t="s">
        <v>13</v>
      </c>
      <c r="G822" s="2">
        <v>11729.6795</v>
      </c>
      <c r="H822" t="str" cm="1">
        <f t="array" ref="H822">_xlfn.IFS(A822&lt;=30, "Youth", A822&lt;=50, "Adult", A822&gt;50, "Older")</f>
        <v>Adult</v>
      </c>
      <c r="I822" t="str" cm="1">
        <f t="array" ref="I822">_xlfn.IFS(A822&lt;=25,"18-25",A822&lt;=35,"26-35",A822&lt;=45,"36-45",A822&lt;=60,"46-60",A822&gt;60,"60+")</f>
        <v>36-45</v>
      </c>
      <c r="J822" t="str" cm="1">
        <f t="array" ref="J822">_xlfn.IFS(C822&lt;18.5,"Underweight",C822&lt;25,"Normal",C822&lt;30,"Overweight",C822&gt;=30,"Obese")</f>
        <v>Obese</v>
      </c>
      <c r="K822" t="str" cm="1">
        <f t="array" ref="K822">_xlfn.IFS(G822&lt;10000, "Low", G822&lt;=25000, "Medium", G822&gt;25000, "High")</f>
        <v>Medium</v>
      </c>
    </row>
    <row r="823" spans="1:11" x14ac:dyDescent="0.3">
      <c r="A823">
        <v>45</v>
      </c>
      <c r="B823" s="1" t="s">
        <v>7</v>
      </c>
      <c r="C823">
        <v>32.299999999999997</v>
      </c>
      <c r="D823">
        <v>1</v>
      </c>
      <c r="E823" t="s">
        <v>10</v>
      </c>
      <c r="F823" t="s">
        <v>12</v>
      </c>
      <c r="G823" s="2">
        <v>11735.87905</v>
      </c>
      <c r="H823" t="str" cm="1">
        <f t="array" ref="H823">_xlfn.IFS(A823&lt;=30, "Youth", A823&lt;=50, "Adult", A823&gt;50, "Older")</f>
        <v>Adult</v>
      </c>
      <c r="I823" t="str" cm="1">
        <f t="array" ref="I823">_xlfn.IFS(A823&lt;=25,"18-25",A823&lt;=35,"26-35",A823&lt;=45,"36-45",A823&lt;=60,"46-60",A823&gt;60,"60+")</f>
        <v>36-45</v>
      </c>
      <c r="J823" t="str" cm="1">
        <f t="array" ref="J823">_xlfn.IFS(C823&lt;18.5,"Underweight",C823&lt;25,"Normal",C823&lt;30,"Overweight",C823&gt;=30,"Obese")</f>
        <v>Obese</v>
      </c>
      <c r="K823" t="str" cm="1">
        <f t="array" ref="K823">_xlfn.IFS(G823&lt;10000, "Low", G823&lt;=25000, "Medium", G823&gt;25000, "High")</f>
        <v>Medium</v>
      </c>
    </row>
    <row r="824" spans="1:11" x14ac:dyDescent="0.3">
      <c r="A824">
        <v>45</v>
      </c>
      <c r="B824" s="1" t="s">
        <v>7</v>
      </c>
      <c r="C824">
        <v>32.299999999999997</v>
      </c>
      <c r="D824">
        <v>1</v>
      </c>
      <c r="E824" t="s">
        <v>10</v>
      </c>
      <c r="F824" t="s">
        <v>12</v>
      </c>
      <c r="G824" s="2">
        <v>11737.848840000001</v>
      </c>
      <c r="H824" t="str" cm="1">
        <f t="array" ref="H824">_xlfn.IFS(A824&lt;=30, "Youth", A824&lt;=50, "Adult", A824&gt;50, "Older")</f>
        <v>Adult</v>
      </c>
      <c r="I824" t="str" cm="1">
        <f t="array" ref="I824">_xlfn.IFS(A824&lt;=25,"18-25",A824&lt;=35,"26-35",A824&lt;=45,"36-45",A824&lt;=60,"46-60",A824&gt;60,"60+")</f>
        <v>36-45</v>
      </c>
      <c r="J824" t="str" cm="1">
        <f t="array" ref="J824">_xlfn.IFS(C824&lt;18.5,"Underweight",C824&lt;25,"Normal",C824&lt;30,"Overweight",C824&gt;=30,"Obese")</f>
        <v>Obese</v>
      </c>
      <c r="K824" t="str" cm="1">
        <f t="array" ref="K824">_xlfn.IFS(G824&lt;10000, "Low", G824&lt;=25000, "Medium", G824&gt;25000, "High")</f>
        <v>Medium</v>
      </c>
    </row>
    <row r="825" spans="1:11" x14ac:dyDescent="0.3">
      <c r="A825">
        <v>45</v>
      </c>
      <c r="B825" s="1" t="s">
        <v>8</v>
      </c>
      <c r="C825">
        <v>32.299999999999997</v>
      </c>
      <c r="D825">
        <v>1</v>
      </c>
      <c r="E825" t="s">
        <v>10</v>
      </c>
      <c r="F825" t="s">
        <v>13</v>
      </c>
      <c r="G825" s="2">
        <v>11741.726000000001</v>
      </c>
      <c r="H825" t="str" cm="1">
        <f t="array" ref="H825">_xlfn.IFS(A825&lt;=30, "Youth", A825&lt;=50, "Adult", A825&gt;50, "Older")</f>
        <v>Adult</v>
      </c>
      <c r="I825" t="str" cm="1">
        <f t="array" ref="I825">_xlfn.IFS(A825&lt;=25,"18-25",A825&lt;=35,"26-35",A825&lt;=45,"36-45",A825&lt;=60,"46-60",A825&gt;60,"60+")</f>
        <v>36-45</v>
      </c>
      <c r="J825" t="str" cm="1">
        <f t="array" ref="J825">_xlfn.IFS(C825&lt;18.5,"Underweight",C825&lt;25,"Normal",C825&lt;30,"Overweight",C825&gt;=30,"Obese")</f>
        <v>Obese</v>
      </c>
      <c r="K825" t="str" cm="1">
        <f t="array" ref="K825">_xlfn.IFS(G825&lt;10000, "Low", G825&lt;=25000, "Medium", G825&gt;25000, "High")</f>
        <v>Medium</v>
      </c>
    </row>
    <row r="826" spans="1:11" x14ac:dyDescent="0.3">
      <c r="A826">
        <v>45</v>
      </c>
      <c r="B826" s="1" t="s">
        <v>7</v>
      </c>
      <c r="C826">
        <v>32.299999999999997</v>
      </c>
      <c r="D826">
        <v>1</v>
      </c>
      <c r="E826" t="s">
        <v>10</v>
      </c>
      <c r="F826" t="s">
        <v>14</v>
      </c>
      <c r="G826" s="2">
        <v>11743.299000000001</v>
      </c>
      <c r="H826" t="str" cm="1">
        <f t="array" ref="H826">_xlfn.IFS(A826&lt;=30, "Youth", A826&lt;=50, "Adult", A826&gt;50, "Older")</f>
        <v>Adult</v>
      </c>
      <c r="I826" t="str" cm="1">
        <f t="array" ref="I826">_xlfn.IFS(A826&lt;=25,"18-25",A826&lt;=35,"26-35",A826&lt;=45,"36-45",A826&lt;=60,"46-60",A826&gt;60,"60+")</f>
        <v>36-45</v>
      </c>
      <c r="J826" t="str" cm="1">
        <f t="array" ref="J826">_xlfn.IFS(C826&lt;18.5,"Underweight",C826&lt;25,"Normal",C826&lt;30,"Overweight",C826&gt;=30,"Obese")</f>
        <v>Obese</v>
      </c>
      <c r="K826" t="str" cm="1">
        <f t="array" ref="K826">_xlfn.IFS(G826&lt;10000, "Low", G826&lt;=25000, "Medium", G826&gt;25000, "High")</f>
        <v>Medium</v>
      </c>
    </row>
    <row r="827" spans="1:11" x14ac:dyDescent="0.3">
      <c r="A827">
        <v>45</v>
      </c>
      <c r="B827" s="1" t="s">
        <v>8</v>
      </c>
      <c r="C827">
        <v>32.299999999999997</v>
      </c>
      <c r="D827">
        <v>1</v>
      </c>
      <c r="E827" t="s">
        <v>9</v>
      </c>
      <c r="F827" t="s">
        <v>12</v>
      </c>
      <c r="G827" s="2">
        <v>11743.9341</v>
      </c>
      <c r="H827" t="str" cm="1">
        <f t="array" ref="H827">_xlfn.IFS(A827&lt;=30, "Youth", A827&lt;=50, "Adult", A827&gt;50, "Older")</f>
        <v>Adult</v>
      </c>
      <c r="I827" t="str" cm="1">
        <f t="array" ref="I827">_xlfn.IFS(A827&lt;=25,"18-25",A827&lt;=35,"26-35",A827&lt;=45,"36-45",A827&lt;=60,"46-60",A827&gt;60,"60+")</f>
        <v>36-45</v>
      </c>
      <c r="J827" t="str" cm="1">
        <f t="array" ref="J827">_xlfn.IFS(C827&lt;18.5,"Underweight",C827&lt;25,"Normal",C827&lt;30,"Overweight",C827&gt;=30,"Obese")</f>
        <v>Obese</v>
      </c>
      <c r="K827" t="str" cm="1">
        <f t="array" ref="K827">_xlfn.IFS(G827&lt;10000, "Low", G827&lt;=25000, "Medium", G827&gt;25000, "High")</f>
        <v>Medium</v>
      </c>
    </row>
    <row r="828" spans="1:11" x14ac:dyDescent="0.3">
      <c r="A828">
        <v>45</v>
      </c>
      <c r="B828" s="1" t="s">
        <v>8</v>
      </c>
      <c r="C828">
        <v>32.299999999999997</v>
      </c>
      <c r="D828">
        <v>1</v>
      </c>
      <c r="E828" t="s">
        <v>9</v>
      </c>
      <c r="F828" t="s">
        <v>14</v>
      </c>
      <c r="G828" s="2">
        <v>11763.000899999999</v>
      </c>
      <c r="H828" t="str" cm="1">
        <f t="array" ref="H828">_xlfn.IFS(A828&lt;=30, "Youth", A828&lt;=50, "Adult", A828&gt;50, "Older")</f>
        <v>Adult</v>
      </c>
      <c r="I828" t="str" cm="1">
        <f t="array" ref="I828">_xlfn.IFS(A828&lt;=25,"18-25",A828&lt;=35,"26-35",A828&lt;=45,"36-45",A828&lt;=60,"46-60",A828&gt;60,"60+")</f>
        <v>36-45</v>
      </c>
      <c r="J828" t="str" cm="1">
        <f t="array" ref="J828">_xlfn.IFS(C828&lt;18.5,"Underweight",C828&lt;25,"Normal",C828&lt;30,"Overweight",C828&gt;=30,"Obese")</f>
        <v>Obese</v>
      </c>
      <c r="K828" t="str" cm="1">
        <f t="array" ref="K828">_xlfn.IFS(G828&lt;10000, "Low", G828&lt;=25000, "Medium", G828&gt;25000, "High")</f>
        <v>Medium</v>
      </c>
    </row>
    <row r="829" spans="1:11" x14ac:dyDescent="0.3">
      <c r="A829">
        <v>45</v>
      </c>
      <c r="B829" s="1" t="s">
        <v>8</v>
      </c>
      <c r="C829">
        <v>32.299999999999997</v>
      </c>
      <c r="D829">
        <v>1</v>
      </c>
      <c r="E829" t="s">
        <v>9</v>
      </c>
      <c r="F829" t="s">
        <v>14</v>
      </c>
      <c r="G829" s="2">
        <v>11830.6072</v>
      </c>
      <c r="H829" t="str" cm="1">
        <f t="array" ref="H829">_xlfn.IFS(A829&lt;=30, "Youth", A829&lt;=50, "Adult", A829&gt;50, "Older")</f>
        <v>Adult</v>
      </c>
      <c r="I829" t="str" cm="1">
        <f t="array" ref="I829">_xlfn.IFS(A829&lt;=25,"18-25",A829&lt;=35,"26-35",A829&lt;=45,"36-45",A829&lt;=60,"46-60",A829&gt;60,"60+")</f>
        <v>36-45</v>
      </c>
      <c r="J829" t="str" cm="1">
        <f t="array" ref="J829">_xlfn.IFS(C829&lt;18.5,"Underweight",C829&lt;25,"Normal",C829&lt;30,"Overweight",C829&gt;=30,"Obese")</f>
        <v>Obese</v>
      </c>
      <c r="K829" t="str" cm="1">
        <f t="array" ref="K829">_xlfn.IFS(G829&lt;10000, "Low", G829&lt;=25000, "Medium", G829&gt;25000, "High")</f>
        <v>Medium</v>
      </c>
    </row>
    <row r="830" spans="1:11" x14ac:dyDescent="0.3">
      <c r="A830">
        <v>45</v>
      </c>
      <c r="B830" s="1" t="s">
        <v>8</v>
      </c>
      <c r="C830">
        <v>32.299999999999997</v>
      </c>
      <c r="D830">
        <v>1</v>
      </c>
      <c r="E830" t="s">
        <v>10</v>
      </c>
      <c r="F830" t="s">
        <v>13</v>
      </c>
      <c r="G830" s="2">
        <v>11833.782300000001</v>
      </c>
      <c r="H830" t="str" cm="1">
        <f t="array" ref="H830">_xlfn.IFS(A830&lt;=30, "Youth", A830&lt;=50, "Adult", A830&gt;50, "Older")</f>
        <v>Adult</v>
      </c>
      <c r="I830" t="str" cm="1">
        <f t="array" ref="I830">_xlfn.IFS(A830&lt;=25,"18-25",A830&lt;=35,"26-35",A830&lt;=45,"36-45",A830&lt;=60,"46-60",A830&gt;60,"60+")</f>
        <v>36-45</v>
      </c>
      <c r="J830" t="str" cm="1">
        <f t="array" ref="J830">_xlfn.IFS(C830&lt;18.5,"Underweight",C830&lt;25,"Normal",C830&lt;30,"Overweight",C830&gt;=30,"Obese")</f>
        <v>Obese</v>
      </c>
      <c r="K830" t="str" cm="1">
        <f t="array" ref="K830">_xlfn.IFS(G830&lt;10000, "Low", G830&lt;=25000, "Medium", G830&gt;25000, "High")</f>
        <v>Medium</v>
      </c>
    </row>
    <row r="831" spans="1:11" x14ac:dyDescent="0.3">
      <c r="A831">
        <v>45</v>
      </c>
      <c r="B831" s="1" t="s">
        <v>8</v>
      </c>
      <c r="C831">
        <v>32.299999999999997</v>
      </c>
      <c r="D831">
        <v>1</v>
      </c>
      <c r="E831" t="s">
        <v>10</v>
      </c>
      <c r="F831" t="s">
        <v>11</v>
      </c>
      <c r="G831" s="2">
        <v>11837.16</v>
      </c>
      <c r="H831" t="str" cm="1">
        <f t="array" ref="H831">_xlfn.IFS(A831&lt;=30, "Youth", A831&lt;=50, "Adult", A831&gt;50, "Older")</f>
        <v>Adult</v>
      </c>
      <c r="I831" t="str" cm="1">
        <f t="array" ref="I831">_xlfn.IFS(A831&lt;=25,"18-25",A831&lt;=35,"26-35",A831&lt;=45,"36-45",A831&lt;=60,"46-60",A831&gt;60,"60+")</f>
        <v>36-45</v>
      </c>
      <c r="J831" t="str" cm="1">
        <f t="array" ref="J831">_xlfn.IFS(C831&lt;18.5,"Underweight",C831&lt;25,"Normal",C831&lt;30,"Overweight",C831&gt;=30,"Obese")</f>
        <v>Obese</v>
      </c>
      <c r="K831" t="str" cm="1">
        <f t="array" ref="K831">_xlfn.IFS(G831&lt;10000, "Low", G831&lt;=25000, "Medium", G831&gt;25000, "High")</f>
        <v>Medium</v>
      </c>
    </row>
    <row r="832" spans="1:11" x14ac:dyDescent="0.3">
      <c r="A832">
        <v>45</v>
      </c>
      <c r="B832" s="1" t="s">
        <v>7</v>
      </c>
      <c r="C832">
        <v>32.299999999999997</v>
      </c>
      <c r="D832">
        <v>1</v>
      </c>
      <c r="E832" t="s">
        <v>10</v>
      </c>
      <c r="F832" t="s">
        <v>13</v>
      </c>
      <c r="G832" s="2">
        <v>11840.77505</v>
      </c>
      <c r="H832" t="str" cm="1">
        <f t="array" ref="H832">_xlfn.IFS(A832&lt;=30, "Youth", A832&lt;=50, "Adult", A832&gt;50, "Older")</f>
        <v>Adult</v>
      </c>
      <c r="I832" t="str" cm="1">
        <f t="array" ref="I832">_xlfn.IFS(A832&lt;=25,"18-25",A832&lt;=35,"26-35",A832&lt;=45,"36-45",A832&lt;=60,"46-60",A832&gt;60,"60+")</f>
        <v>36-45</v>
      </c>
      <c r="J832" t="str" cm="1">
        <f t="array" ref="J832">_xlfn.IFS(C832&lt;18.5,"Underweight",C832&lt;25,"Normal",C832&lt;30,"Overweight",C832&gt;=30,"Obese")</f>
        <v>Obese</v>
      </c>
      <c r="K832" t="str" cm="1">
        <f t="array" ref="K832">_xlfn.IFS(G832&lt;10000, "Low", G832&lt;=25000, "Medium", G832&gt;25000, "High")</f>
        <v>Medium</v>
      </c>
    </row>
    <row r="833" spans="1:11" x14ac:dyDescent="0.3">
      <c r="A833">
        <v>45</v>
      </c>
      <c r="B833" s="1" t="s">
        <v>7</v>
      </c>
      <c r="C833">
        <v>32.340000000000003</v>
      </c>
      <c r="D833">
        <v>1</v>
      </c>
      <c r="E833" t="s">
        <v>10</v>
      </c>
      <c r="F833" t="s">
        <v>13</v>
      </c>
      <c r="G833" s="2">
        <v>11842.441999999999</v>
      </c>
      <c r="H833" t="str" cm="1">
        <f t="array" ref="H833">_xlfn.IFS(A833&lt;=30, "Youth", A833&lt;=50, "Adult", A833&gt;50, "Older")</f>
        <v>Adult</v>
      </c>
      <c r="I833" t="str" cm="1">
        <f t="array" ref="I833">_xlfn.IFS(A833&lt;=25,"18-25",A833&lt;=35,"26-35",A833&lt;=45,"36-45",A833&lt;=60,"46-60",A833&gt;60,"60+")</f>
        <v>36-45</v>
      </c>
      <c r="J833" t="str" cm="1">
        <f t="array" ref="J833">_xlfn.IFS(C833&lt;18.5,"Underweight",C833&lt;25,"Normal",C833&lt;30,"Overweight",C833&gt;=30,"Obese")</f>
        <v>Obese</v>
      </c>
      <c r="K833" t="str" cm="1">
        <f t="array" ref="K833">_xlfn.IFS(G833&lt;10000, "Low", G833&lt;=25000, "Medium", G833&gt;25000, "High")</f>
        <v>Medium</v>
      </c>
    </row>
    <row r="834" spans="1:11" x14ac:dyDescent="0.3">
      <c r="A834">
        <v>45</v>
      </c>
      <c r="B834" s="1" t="s">
        <v>8</v>
      </c>
      <c r="C834">
        <v>32.340000000000003</v>
      </c>
      <c r="D834">
        <v>1</v>
      </c>
      <c r="E834" t="s">
        <v>10</v>
      </c>
      <c r="F834" t="s">
        <v>13</v>
      </c>
      <c r="G834" s="2">
        <v>11842.623750000001</v>
      </c>
      <c r="H834" t="str" cm="1">
        <f t="array" ref="H834">_xlfn.IFS(A834&lt;=30, "Youth", A834&lt;=50, "Adult", A834&gt;50, "Older")</f>
        <v>Adult</v>
      </c>
      <c r="I834" t="str" cm="1">
        <f t="array" ref="I834">_xlfn.IFS(A834&lt;=25,"18-25",A834&lt;=35,"26-35",A834&lt;=45,"36-45",A834&lt;=60,"46-60",A834&gt;60,"60+")</f>
        <v>36-45</v>
      </c>
      <c r="J834" t="str" cm="1">
        <f t="array" ref="J834">_xlfn.IFS(C834&lt;18.5,"Underweight",C834&lt;25,"Normal",C834&lt;30,"Overweight",C834&gt;=30,"Obese")</f>
        <v>Obese</v>
      </c>
      <c r="K834" t="str" cm="1">
        <f t="array" ref="K834">_xlfn.IFS(G834&lt;10000, "Low", G834&lt;=25000, "Medium", G834&gt;25000, "High")</f>
        <v>Medium</v>
      </c>
    </row>
    <row r="835" spans="1:11" x14ac:dyDescent="0.3">
      <c r="A835">
        <v>45</v>
      </c>
      <c r="B835" s="1" t="s">
        <v>8</v>
      </c>
      <c r="C835">
        <v>32.395000000000003</v>
      </c>
      <c r="D835">
        <v>1</v>
      </c>
      <c r="E835" t="s">
        <v>10</v>
      </c>
      <c r="F835" t="s">
        <v>13</v>
      </c>
      <c r="G835" s="2">
        <v>11848.141</v>
      </c>
      <c r="H835" t="str" cm="1">
        <f t="array" ref="H835">_xlfn.IFS(A835&lt;=30, "Youth", A835&lt;=50, "Adult", A835&gt;50, "Older")</f>
        <v>Adult</v>
      </c>
      <c r="I835" t="str" cm="1">
        <f t="array" ref="I835">_xlfn.IFS(A835&lt;=25,"18-25",A835&lt;=35,"26-35",A835&lt;=45,"36-45",A835&lt;=60,"46-60",A835&gt;60,"60+")</f>
        <v>36-45</v>
      </c>
      <c r="J835" t="str" cm="1">
        <f t="array" ref="J835">_xlfn.IFS(C835&lt;18.5,"Underweight",C835&lt;25,"Normal",C835&lt;30,"Overweight",C835&gt;=30,"Obese")</f>
        <v>Obese</v>
      </c>
      <c r="K835" t="str" cm="1">
        <f t="array" ref="K835">_xlfn.IFS(G835&lt;10000, "Low", G835&lt;=25000, "Medium", G835&gt;25000, "High")</f>
        <v>Medium</v>
      </c>
    </row>
    <row r="836" spans="1:11" x14ac:dyDescent="0.3">
      <c r="A836">
        <v>45</v>
      </c>
      <c r="B836" s="1" t="s">
        <v>8</v>
      </c>
      <c r="C836">
        <v>32.395000000000003</v>
      </c>
      <c r="D836">
        <v>1</v>
      </c>
      <c r="E836" t="s">
        <v>10</v>
      </c>
      <c r="F836" t="s">
        <v>12</v>
      </c>
      <c r="G836" s="2">
        <v>11856.4115</v>
      </c>
      <c r="H836" t="str" cm="1">
        <f t="array" ref="H836">_xlfn.IFS(A836&lt;=30, "Youth", A836&lt;=50, "Adult", A836&gt;50, "Older")</f>
        <v>Adult</v>
      </c>
      <c r="I836" t="str" cm="1">
        <f t="array" ref="I836">_xlfn.IFS(A836&lt;=25,"18-25",A836&lt;=35,"26-35",A836&lt;=45,"36-45",A836&lt;=60,"46-60",A836&gt;60,"60+")</f>
        <v>36-45</v>
      </c>
      <c r="J836" t="str" cm="1">
        <f t="array" ref="J836">_xlfn.IFS(C836&lt;18.5,"Underweight",C836&lt;25,"Normal",C836&lt;30,"Overweight",C836&gt;=30,"Obese")</f>
        <v>Obese</v>
      </c>
      <c r="K836" t="str" cm="1">
        <f t="array" ref="K836">_xlfn.IFS(G836&lt;10000, "Low", G836&lt;=25000, "Medium", G836&gt;25000, "High")</f>
        <v>Medium</v>
      </c>
    </row>
    <row r="837" spans="1:11" x14ac:dyDescent="0.3">
      <c r="A837">
        <v>45</v>
      </c>
      <c r="B837" s="1" t="s">
        <v>8</v>
      </c>
      <c r="C837">
        <v>32.395000000000003</v>
      </c>
      <c r="D837">
        <v>1</v>
      </c>
      <c r="E837" t="s">
        <v>10</v>
      </c>
      <c r="F837" t="s">
        <v>11</v>
      </c>
      <c r="G837" s="2">
        <v>11879.10405</v>
      </c>
      <c r="H837" t="str" cm="1">
        <f t="array" ref="H837">_xlfn.IFS(A837&lt;=30, "Youth", A837&lt;=50, "Adult", A837&gt;50, "Older")</f>
        <v>Adult</v>
      </c>
      <c r="I837" t="str" cm="1">
        <f t="array" ref="I837">_xlfn.IFS(A837&lt;=25,"18-25",A837&lt;=35,"26-35",A837&lt;=45,"36-45",A837&lt;=60,"46-60",A837&gt;60,"60+")</f>
        <v>36-45</v>
      </c>
      <c r="J837" t="str" cm="1">
        <f t="array" ref="J837">_xlfn.IFS(C837&lt;18.5,"Underweight",C837&lt;25,"Normal",C837&lt;30,"Overweight",C837&gt;=30,"Obese")</f>
        <v>Obese</v>
      </c>
      <c r="K837" t="str" cm="1">
        <f t="array" ref="K837">_xlfn.IFS(G837&lt;10000, "Low", G837&lt;=25000, "Medium", G837&gt;25000, "High")</f>
        <v>Medium</v>
      </c>
    </row>
    <row r="838" spans="1:11" x14ac:dyDescent="0.3">
      <c r="A838">
        <v>45</v>
      </c>
      <c r="B838" s="1" t="s">
        <v>7</v>
      </c>
      <c r="C838">
        <v>32.395000000000003</v>
      </c>
      <c r="D838">
        <v>1</v>
      </c>
      <c r="E838" t="s">
        <v>10</v>
      </c>
      <c r="F838" t="s">
        <v>14</v>
      </c>
      <c r="G838" s="2">
        <v>11881.358</v>
      </c>
      <c r="H838" t="str" cm="1">
        <f t="array" ref="H838">_xlfn.IFS(A838&lt;=30, "Youth", A838&lt;=50, "Adult", A838&gt;50, "Older")</f>
        <v>Adult</v>
      </c>
      <c r="I838" t="str" cm="1">
        <f t="array" ref="I838">_xlfn.IFS(A838&lt;=25,"18-25",A838&lt;=35,"26-35",A838&lt;=45,"36-45",A838&lt;=60,"46-60",A838&gt;60,"60+")</f>
        <v>36-45</v>
      </c>
      <c r="J838" t="str" cm="1">
        <f t="array" ref="J838">_xlfn.IFS(C838&lt;18.5,"Underweight",C838&lt;25,"Normal",C838&lt;30,"Overweight",C838&gt;=30,"Obese")</f>
        <v>Obese</v>
      </c>
      <c r="K838" t="str" cm="1">
        <f t="array" ref="K838">_xlfn.IFS(G838&lt;10000, "Low", G838&lt;=25000, "Medium", G838&gt;25000, "High")</f>
        <v>Medium</v>
      </c>
    </row>
    <row r="839" spans="1:11" x14ac:dyDescent="0.3">
      <c r="A839">
        <v>46</v>
      </c>
      <c r="B839" s="1" t="s">
        <v>7</v>
      </c>
      <c r="C839">
        <v>32.395000000000003</v>
      </c>
      <c r="D839">
        <v>1</v>
      </c>
      <c r="E839" t="s">
        <v>10</v>
      </c>
      <c r="F839" t="s">
        <v>14</v>
      </c>
      <c r="G839" s="2">
        <v>11881.9696</v>
      </c>
      <c r="H839" t="str" cm="1">
        <f t="array" ref="H839">_xlfn.IFS(A839&lt;=30, "Youth", A839&lt;=50, "Adult", A839&gt;50, "Older")</f>
        <v>Adult</v>
      </c>
      <c r="I839" t="str" cm="1">
        <f t="array" ref="I839">_xlfn.IFS(A839&lt;=25,"18-25",A839&lt;=35,"26-35",A839&lt;=45,"36-45",A839&lt;=60,"46-60",A839&gt;60,"60+")</f>
        <v>46-60</v>
      </c>
      <c r="J839" t="str" cm="1">
        <f t="array" ref="J839">_xlfn.IFS(C839&lt;18.5,"Underweight",C839&lt;25,"Normal",C839&lt;30,"Overweight",C839&gt;=30,"Obese")</f>
        <v>Obese</v>
      </c>
      <c r="K839" t="str" cm="1">
        <f t="array" ref="K839">_xlfn.IFS(G839&lt;10000, "Low", G839&lt;=25000, "Medium", G839&gt;25000, "High")</f>
        <v>Medium</v>
      </c>
    </row>
    <row r="840" spans="1:11" x14ac:dyDescent="0.3">
      <c r="A840">
        <v>46</v>
      </c>
      <c r="B840" s="1" t="s">
        <v>7</v>
      </c>
      <c r="C840">
        <v>32.4</v>
      </c>
      <c r="D840">
        <v>1</v>
      </c>
      <c r="E840" t="s">
        <v>10</v>
      </c>
      <c r="F840" t="s">
        <v>13</v>
      </c>
      <c r="G840" s="2">
        <v>11884.048580000001</v>
      </c>
      <c r="H840" t="str" cm="1">
        <f t="array" ref="H840">_xlfn.IFS(A840&lt;=30, "Youth", A840&lt;=50, "Adult", A840&gt;50, "Older")</f>
        <v>Adult</v>
      </c>
      <c r="I840" t="str" cm="1">
        <f t="array" ref="I840">_xlfn.IFS(A840&lt;=25,"18-25",A840&lt;=35,"26-35",A840&lt;=45,"36-45",A840&lt;=60,"46-60",A840&gt;60,"60+")</f>
        <v>46-60</v>
      </c>
      <c r="J840" t="str" cm="1">
        <f t="array" ref="J840">_xlfn.IFS(C840&lt;18.5,"Underweight",C840&lt;25,"Normal",C840&lt;30,"Overweight",C840&gt;=30,"Obese")</f>
        <v>Obese</v>
      </c>
      <c r="K840" t="str" cm="1">
        <f t="array" ref="K840">_xlfn.IFS(G840&lt;10000, "Low", G840&lt;=25000, "Medium", G840&gt;25000, "High")</f>
        <v>Medium</v>
      </c>
    </row>
    <row r="841" spans="1:11" x14ac:dyDescent="0.3">
      <c r="A841">
        <v>46</v>
      </c>
      <c r="B841" s="1" t="s">
        <v>8</v>
      </c>
      <c r="C841">
        <v>32.450000000000003</v>
      </c>
      <c r="D841">
        <v>1</v>
      </c>
      <c r="E841" t="s">
        <v>10</v>
      </c>
      <c r="F841" t="s">
        <v>11</v>
      </c>
      <c r="G841" s="2">
        <v>11931.125249999999</v>
      </c>
      <c r="H841" t="str" cm="1">
        <f t="array" ref="H841">_xlfn.IFS(A841&lt;=30, "Youth", A841&lt;=50, "Adult", A841&gt;50, "Older")</f>
        <v>Adult</v>
      </c>
      <c r="I841" t="str" cm="1">
        <f t="array" ref="I841">_xlfn.IFS(A841&lt;=25,"18-25",A841&lt;=35,"26-35",A841&lt;=45,"36-45",A841&lt;=60,"46-60",A841&gt;60,"60+")</f>
        <v>46-60</v>
      </c>
      <c r="J841" t="str" cm="1">
        <f t="array" ref="J841">_xlfn.IFS(C841&lt;18.5,"Underweight",C841&lt;25,"Normal",C841&lt;30,"Overweight",C841&gt;=30,"Obese")</f>
        <v>Obese</v>
      </c>
      <c r="K841" t="str" cm="1">
        <f t="array" ref="K841">_xlfn.IFS(G841&lt;10000, "Low", G841&lt;=25000, "Medium", G841&gt;25000, "High")</f>
        <v>Medium</v>
      </c>
    </row>
    <row r="842" spans="1:11" x14ac:dyDescent="0.3">
      <c r="A842">
        <v>46</v>
      </c>
      <c r="B842" s="1" t="s">
        <v>8</v>
      </c>
      <c r="C842">
        <v>32.49</v>
      </c>
      <c r="D842">
        <v>1</v>
      </c>
      <c r="E842" t="s">
        <v>10</v>
      </c>
      <c r="F842" t="s">
        <v>14</v>
      </c>
      <c r="G842" s="2">
        <v>11938.255950000001</v>
      </c>
      <c r="H842" t="str" cm="1">
        <f t="array" ref="H842">_xlfn.IFS(A842&lt;=30, "Youth", A842&lt;=50, "Adult", A842&gt;50, "Older")</f>
        <v>Adult</v>
      </c>
      <c r="I842" t="str" cm="1">
        <f t="array" ref="I842">_xlfn.IFS(A842&lt;=25,"18-25",A842&lt;=35,"26-35",A842&lt;=45,"36-45",A842&lt;=60,"46-60",A842&gt;60,"60+")</f>
        <v>46-60</v>
      </c>
      <c r="J842" t="str" cm="1">
        <f t="array" ref="J842">_xlfn.IFS(C842&lt;18.5,"Underweight",C842&lt;25,"Normal",C842&lt;30,"Overweight",C842&gt;=30,"Obese")</f>
        <v>Obese</v>
      </c>
      <c r="K842" t="str" cm="1">
        <f t="array" ref="K842">_xlfn.IFS(G842&lt;10000, "Low", G842&lt;=25000, "Medium", G842&gt;25000, "High")</f>
        <v>Medium</v>
      </c>
    </row>
    <row r="843" spans="1:11" x14ac:dyDescent="0.3">
      <c r="A843">
        <v>46</v>
      </c>
      <c r="B843" s="1" t="s">
        <v>7</v>
      </c>
      <c r="C843">
        <v>32.49</v>
      </c>
      <c r="D843">
        <v>1</v>
      </c>
      <c r="E843" t="s">
        <v>9</v>
      </c>
      <c r="F843" t="s">
        <v>12</v>
      </c>
      <c r="G843" s="2">
        <v>11944.594349999999</v>
      </c>
      <c r="H843" t="str" cm="1">
        <f t="array" ref="H843">_xlfn.IFS(A843&lt;=30, "Youth", A843&lt;=50, "Adult", A843&gt;50, "Older")</f>
        <v>Adult</v>
      </c>
      <c r="I843" t="str" cm="1">
        <f t="array" ref="I843">_xlfn.IFS(A843&lt;=25,"18-25",A843&lt;=35,"26-35",A843&lt;=45,"36-45",A843&lt;=60,"46-60",A843&gt;60,"60+")</f>
        <v>46-60</v>
      </c>
      <c r="J843" t="str" cm="1">
        <f t="array" ref="J843">_xlfn.IFS(C843&lt;18.5,"Underweight",C843&lt;25,"Normal",C843&lt;30,"Overweight",C843&gt;=30,"Obese")</f>
        <v>Obese</v>
      </c>
      <c r="K843" t="str" cm="1">
        <f t="array" ref="K843">_xlfn.IFS(G843&lt;10000, "Low", G843&lt;=25000, "Medium", G843&gt;25000, "High")</f>
        <v>Medium</v>
      </c>
    </row>
    <row r="844" spans="1:11" x14ac:dyDescent="0.3">
      <c r="A844">
        <v>46</v>
      </c>
      <c r="B844" s="1" t="s">
        <v>7</v>
      </c>
      <c r="C844">
        <v>32.5</v>
      </c>
      <c r="D844">
        <v>1</v>
      </c>
      <c r="E844" t="s">
        <v>9</v>
      </c>
      <c r="F844" t="s">
        <v>12</v>
      </c>
      <c r="G844" s="2">
        <v>11945.1327</v>
      </c>
      <c r="H844" t="str" cm="1">
        <f t="array" ref="H844">_xlfn.IFS(A844&lt;=30, "Youth", A844&lt;=50, "Adult", A844&gt;50, "Older")</f>
        <v>Adult</v>
      </c>
      <c r="I844" t="str" cm="1">
        <f t="array" ref="I844">_xlfn.IFS(A844&lt;=25,"18-25",A844&lt;=35,"26-35",A844&lt;=45,"36-45",A844&lt;=60,"46-60",A844&gt;60,"60+")</f>
        <v>46-60</v>
      </c>
      <c r="J844" t="str" cm="1">
        <f t="array" ref="J844">_xlfn.IFS(C844&lt;18.5,"Underweight",C844&lt;25,"Normal",C844&lt;30,"Overweight",C844&gt;=30,"Obese")</f>
        <v>Obese</v>
      </c>
      <c r="K844" t="str" cm="1">
        <f t="array" ref="K844">_xlfn.IFS(G844&lt;10000, "Low", G844&lt;=25000, "Medium", G844&gt;25000, "High")</f>
        <v>Medium</v>
      </c>
    </row>
    <row r="845" spans="1:11" x14ac:dyDescent="0.3">
      <c r="A845">
        <v>46</v>
      </c>
      <c r="B845" s="1" t="s">
        <v>8</v>
      </c>
      <c r="C845">
        <v>32.56</v>
      </c>
      <c r="D845">
        <v>1</v>
      </c>
      <c r="E845" t="s">
        <v>10</v>
      </c>
      <c r="F845" t="s">
        <v>14</v>
      </c>
      <c r="G845" s="2">
        <v>11946.625899999999</v>
      </c>
      <c r="H845" t="str" cm="1">
        <f t="array" ref="H845">_xlfn.IFS(A845&lt;=30, "Youth", A845&lt;=50, "Adult", A845&gt;50, "Older")</f>
        <v>Adult</v>
      </c>
      <c r="I845" t="str" cm="1">
        <f t="array" ref="I845">_xlfn.IFS(A845&lt;=25,"18-25",A845&lt;=35,"26-35",A845&lt;=45,"36-45",A845&lt;=60,"46-60",A845&gt;60,"60+")</f>
        <v>46-60</v>
      </c>
      <c r="J845" t="str" cm="1">
        <f t="array" ref="J845">_xlfn.IFS(C845&lt;18.5,"Underweight",C845&lt;25,"Normal",C845&lt;30,"Overweight",C845&gt;=30,"Obese")</f>
        <v>Obese</v>
      </c>
      <c r="K845" t="str" cm="1">
        <f t="array" ref="K845">_xlfn.IFS(G845&lt;10000, "Low", G845&lt;=25000, "Medium", G845&gt;25000, "High")</f>
        <v>Medium</v>
      </c>
    </row>
    <row r="846" spans="1:11" x14ac:dyDescent="0.3">
      <c r="A846">
        <v>46</v>
      </c>
      <c r="B846" s="1" t="s">
        <v>7</v>
      </c>
      <c r="C846">
        <v>32.56</v>
      </c>
      <c r="D846">
        <v>1</v>
      </c>
      <c r="E846" t="s">
        <v>9</v>
      </c>
      <c r="F846" t="s">
        <v>12</v>
      </c>
      <c r="G846" s="2">
        <v>11987.1682</v>
      </c>
      <c r="H846" t="str" cm="1">
        <f t="array" ref="H846">_xlfn.IFS(A846&lt;=30, "Youth", A846&lt;=50, "Adult", A846&gt;50, "Older")</f>
        <v>Adult</v>
      </c>
      <c r="I846" t="str" cm="1">
        <f t="array" ref="I846">_xlfn.IFS(A846&lt;=25,"18-25",A846&lt;=35,"26-35",A846&lt;=45,"36-45",A846&lt;=60,"46-60",A846&gt;60,"60+")</f>
        <v>46-60</v>
      </c>
      <c r="J846" t="str" cm="1">
        <f t="array" ref="J846">_xlfn.IFS(C846&lt;18.5,"Underweight",C846&lt;25,"Normal",C846&lt;30,"Overweight",C846&gt;=30,"Obese")</f>
        <v>Obese</v>
      </c>
      <c r="K846" t="str" cm="1">
        <f t="array" ref="K846">_xlfn.IFS(G846&lt;10000, "Low", G846&lt;=25000, "Medium", G846&gt;25000, "High")</f>
        <v>Medium</v>
      </c>
    </row>
    <row r="847" spans="1:11" x14ac:dyDescent="0.3">
      <c r="A847">
        <v>46</v>
      </c>
      <c r="B847" s="1" t="s">
        <v>7</v>
      </c>
      <c r="C847">
        <v>32.585000000000001</v>
      </c>
      <c r="D847">
        <v>1</v>
      </c>
      <c r="E847" t="s">
        <v>10</v>
      </c>
      <c r="F847" t="s">
        <v>11</v>
      </c>
      <c r="G847" s="2">
        <v>12029.286700000001</v>
      </c>
      <c r="H847" t="str" cm="1">
        <f t="array" ref="H847">_xlfn.IFS(A847&lt;=30, "Youth", A847&lt;=50, "Adult", A847&gt;50, "Older")</f>
        <v>Adult</v>
      </c>
      <c r="I847" t="str" cm="1">
        <f t="array" ref="I847">_xlfn.IFS(A847&lt;=25,"18-25",A847&lt;=35,"26-35",A847&lt;=45,"36-45",A847&lt;=60,"46-60",A847&gt;60,"60+")</f>
        <v>46-60</v>
      </c>
      <c r="J847" t="str" cm="1">
        <f t="array" ref="J847">_xlfn.IFS(C847&lt;18.5,"Underweight",C847&lt;25,"Normal",C847&lt;30,"Overweight",C847&gt;=30,"Obese")</f>
        <v>Obese</v>
      </c>
      <c r="K847" t="str" cm="1">
        <f t="array" ref="K847">_xlfn.IFS(G847&lt;10000, "Low", G847&lt;=25000, "Medium", G847&gt;25000, "High")</f>
        <v>Medium</v>
      </c>
    </row>
    <row r="848" spans="1:11" x14ac:dyDescent="0.3">
      <c r="A848">
        <v>46</v>
      </c>
      <c r="B848" s="1" t="s">
        <v>8</v>
      </c>
      <c r="C848">
        <v>32.6</v>
      </c>
      <c r="D848">
        <v>1</v>
      </c>
      <c r="E848" t="s">
        <v>10</v>
      </c>
      <c r="F848" t="s">
        <v>12</v>
      </c>
      <c r="G848" s="2">
        <v>12032.325999999999</v>
      </c>
      <c r="H848" t="str" cm="1">
        <f t="array" ref="H848">_xlfn.IFS(A848&lt;=30, "Youth", A848&lt;=50, "Adult", A848&gt;50, "Older")</f>
        <v>Adult</v>
      </c>
      <c r="I848" t="str" cm="1">
        <f t="array" ref="I848">_xlfn.IFS(A848&lt;=25,"18-25",A848&lt;=35,"26-35",A848&lt;=45,"36-45",A848&lt;=60,"46-60",A848&gt;60,"60+")</f>
        <v>46-60</v>
      </c>
      <c r="J848" t="str" cm="1">
        <f t="array" ref="J848">_xlfn.IFS(C848&lt;18.5,"Underweight",C848&lt;25,"Normal",C848&lt;30,"Overweight",C848&gt;=30,"Obese")</f>
        <v>Obese</v>
      </c>
      <c r="K848" t="str" cm="1">
        <f t="array" ref="K848">_xlfn.IFS(G848&lt;10000, "Low", G848&lt;=25000, "Medium", G848&gt;25000, "High")</f>
        <v>Medium</v>
      </c>
    </row>
    <row r="849" spans="1:11" x14ac:dyDescent="0.3">
      <c r="A849">
        <v>46</v>
      </c>
      <c r="B849" s="1" t="s">
        <v>7</v>
      </c>
      <c r="C849">
        <v>32.6</v>
      </c>
      <c r="D849">
        <v>1</v>
      </c>
      <c r="E849" t="s">
        <v>10</v>
      </c>
      <c r="F849" t="s">
        <v>11</v>
      </c>
      <c r="G849" s="2">
        <v>12044.342000000001</v>
      </c>
      <c r="H849" t="str" cm="1">
        <f t="array" ref="H849">_xlfn.IFS(A849&lt;=30, "Youth", A849&lt;=50, "Adult", A849&gt;50, "Older")</f>
        <v>Adult</v>
      </c>
      <c r="I849" t="str" cm="1">
        <f t="array" ref="I849">_xlfn.IFS(A849&lt;=25,"18-25",A849&lt;=35,"26-35",A849&lt;=45,"36-45",A849&lt;=60,"46-60",A849&gt;60,"60+")</f>
        <v>46-60</v>
      </c>
      <c r="J849" t="str" cm="1">
        <f t="array" ref="J849">_xlfn.IFS(C849&lt;18.5,"Underweight",C849&lt;25,"Normal",C849&lt;30,"Overweight",C849&gt;=30,"Obese")</f>
        <v>Obese</v>
      </c>
      <c r="K849" t="str" cm="1">
        <f t="array" ref="K849">_xlfn.IFS(G849&lt;10000, "Low", G849&lt;=25000, "Medium", G849&gt;25000, "High")</f>
        <v>Medium</v>
      </c>
    </row>
    <row r="850" spans="1:11" x14ac:dyDescent="0.3">
      <c r="A850">
        <v>46</v>
      </c>
      <c r="B850" s="1" t="s">
        <v>8</v>
      </c>
      <c r="C850">
        <v>32.67</v>
      </c>
      <c r="D850">
        <v>1</v>
      </c>
      <c r="E850" t="s">
        <v>10</v>
      </c>
      <c r="F850" t="s">
        <v>13</v>
      </c>
      <c r="G850" s="2">
        <v>12094.477999999999</v>
      </c>
      <c r="H850" t="str" cm="1">
        <f t="array" ref="H850">_xlfn.IFS(A850&lt;=30, "Youth", A850&lt;=50, "Adult", A850&gt;50, "Older")</f>
        <v>Adult</v>
      </c>
      <c r="I850" t="str" cm="1">
        <f t="array" ref="I850">_xlfn.IFS(A850&lt;=25,"18-25",A850&lt;=35,"26-35",A850&lt;=45,"36-45",A850&lt;=60,"46-60",A850&gt;60,"60+")</f>
        <v>46-60</v>
      </c>
      <c r="J850" t="str" cm="1">
        <f t="array" ref="J850">_xlfn.IFS(C850&lt;18.5,"Underweight",C850&lt;25,"Normal",C850&lt;30,"Overweight",C850&gt;=30,"Obese")</f>
        <v>Obese</v>
      </c>
      <c r="K850" t="str" cm="1">
        <f t="array" ref="K850">_xlfn.IFS(G850&lt;10000, "Low", G850&lt;=25000, "Medium", G850&gt;25000, "High")</f>
        <v>Medium</v>
      </c>
    </row>
    <row r="851" spans="1:11" x14ac:dyDescent="0.3">
      <c r="A851">
        <v>46</v>
      </c>
      <c r="B851" s="1" t="s">
        <v>7</v>
      </c>
      <c r="C851">
        <v>32.67</v>
      </c>
      <c r="D851">
        <v>1</v>
      </c>
      <c r="E851" t="s">
        <v>9</v>
      </c>
      <c r="F851" t="s">
        <v>14</v>
      </c>
      <c r="G851" s="2">
        <v>12096.6512</v>
      </c>
      <c r="H851" t="str" cm="1">
        <f t="array" ref="H851">_xlfn.IFS(A851&lt;=30, "Youth", A851&lt;=50, "Adult", A851&gt;50, "Older")</f>
        <v>Adult</v>
      </c>
      <c r="I851" t="str" cm="1">
        <f t="array" ref="I851">_xlfn.IFS(A851&lt;=25,"18-25",A851&lt;=35,"26-35",A851&lt;=45,"36-45",A851&lt;=60,"46-60",A851&gt;60,"60+")</f>
        <v>46-60</v>
      </c>
      <c r="J851" t="str" cm="1">
        <f t="array" ref="J851">_xlfn.IFS(C851&lt;18.5,"Underweight",C851&lt;25,"Normal",C851&lt;30,"Overweight",C851&gt;=30,"Obese")</f>
        <v>Obese</v>
      </c>
      <c r="K851" t="str" cm="1">
        <f t="array" ref="K851">_xlfn.IFS(G851&lt;10000, "Low", G851&lt;=25000, "Medium", G851&gt;25000, "High")</f>
        <v>Medium</v>
      </c>
    </row>
    <row r="852" spans="1:11" x14ac:dyDescent="0.3">
      <c r="A852">
        <v>46</v>
      </c>
      <c r="B852" s="1" t="s">
        <v>8</v>
      </c>
      <c r="C852">
        <v>32.68</v>
      </c>
      <c r="D852">
        <v>1</v>
      </c>
      <c r="E852" t="s">
        <v>10</v>
      </c>
      <c r="F852" t="s">
        <v>13</v>
      </c>
      <c r="G852" s="2">
        <v>12105.32</v>
      </c>
      <c r="H852" t="str" cm="1">
        <f t="array" ref="H852">_xlfn.IFS(A852&lt;=30, "Youth", A852&lt;=50, "Adult", A852&gt;50, "Older")</f>
        <v>Adult</v>
      </c>
      <c r="I852" t="str" cm="1">
        <f t="array" ref="I852">_xlfn.IFS(A852&lt;=25,"18-25",A852&lt;=35,"26-35",A852&lt;=45,"36-45",A852&lt;=60,"46-60",A852&gt;60,"60+")</f>
        <v>46-60</v>
      </c>
      <c r="J852" t="str" cm="1">
        <f t="array" ref="J852">_xlfn.IFS(C852&lt;18.5,"Underweight",C852&lt;25,"Normal",C852&lt;30,"Overweight",C852&gt;=30,"Obese")</f>
        <v>Obese</v>
      </c>
      <c r="K852" t="str" cm="1">
        <f t="array" ref="K852">_xlfn.IFS(G852&lt;10000, "Low", G852&lt;=25000, "Medium", G852&gt;25000, "High")</f>
        <v>Medium</v>
      </c>
    </row>
    <row r="853" spans="1:11" x14ac:dyDescent="0.3">
      <c r="A853">
        <v>46</v>
      </c>
      <c r="B853" s="1" t="s">
        <v>7</v>
      </c>
      <c r="C853">
        <v>32.68</v>
      </c>
      <c r="D853">
        <v>1</v>
      </c>
      <c r="E853" t="s">
        <v>9</v>
      </c>
      <c r="F853" t="s">
        <v>14</v>
      </c>
      <c r="G853" s="2">
        <v>12124.992399999999</v>
      </c>
      <c r="H853" t="str" cm="1">
        <f t="array" ref="H853">_xlfn.IFS(A853&lt;=30, "Youth", A853&lt;=50, "Adult", A853&gt;50, "Older")</f>
        <v>Adult</v>
      </c>
      <c r="I853" t="str" cm="1">
        <f t="array" ref="I853">_xlfn.IFS(A853&lt;=25,"18-25",A853&lt;=35,"26-35",A853&lt;=45,"36-45",A853&lt;=60,"46-60",A853&gt;60,"60+")</f>
        <v>46-60</v>
      </c>
      <c r="J853" t="str" cm="1">
        <f t="array" ref="J853">_xlfn.IFS(C853&lt;18.5,"Underweight",C853&lt;25,"Normal",C853&lt;30,"Overweight",C853&gt;=30,"Obese")</f>
        <v>Obese</v>
      </c>
      <c r="K853" t="str" cm="1">
        <f t="array" ref="K853">_xlfn.IFS(G853&lt;10000, "Low", G853&lt;=25000, "Medium", G853&gt;25000, "High")</f>
        <v>Medium</v>
      </c>
    </row>
    <row r="854" spans="1:11" x14ac:dyDescent="0.3">
      <c r="A854">
        <v>46</v>
      </c>
      <c r="B854" s="1" t="s">
        <v>7</v>
      </c>
      <c r="C854">
        <v>32.68</v>
      </c>
      <c r="D854">
        <v>1</v>
      </c>
      <c r="E854" t="s">
        <v>10</v>
      </c>
      <c r="F854" t="s">
        <v>14</v>
      </c>
      <c r="G854" s="2">
        <v>12129.614149999999</v>
      </c>
      <c r="H854" t="str" cm="1">
        <f t="array" ref="H854">_xlfn.IFS(A854&lt;=30, "Youth", A854&lt;=50, "Adult", A854&gt;50, "Older")</f>
        <v>Adult</v>
      </c>
      <c r="I854" t="str" cm="1">
        <f t="array" ref="I854">_xlfn.IFS(A854&lt;=25,"18-25",A854&lt;=35,"26-35",A854&lt;=45,"36-45",A854&lt;=60,"46-60",A854&gt;60,"60+")</f>
        <v>46-60</v>
      </c>
      <c r="J854" t="str" cm="1">
        <f t="array" ref="J854">_xlfn.IFS(C854&lt;18.5,"Underweight",C854&lt;25,"Normal",C854&lt;30,"Overweight",C854&gt;=30,"Obese")</f>
        <v>Obese</v>
      </c>
      <c r="K854" t="str" cm="1">
        <f t="array" ref="K854">_xlfn.IFS(G854&lt;10000, "Low", G854&lt;=25000, "Medium", G854&gt;25000, "High")</f>
        <v>Medium</v>
      </c>
    </row>
    <row r="855" spans="1:11" x14ac:dyDescent="0.3">
      <c r="A855">
        <v>46</v>
      </c>
      <c r="B855" s="1" t="s">
        <v>7</v>
      </c>
      <c r="C855">
        <v>32.68</v>
      </c>
      <c r="D855">
        <v>1</v>
      </c>
      <c r="E855" t="s">
        <v>9</v>
      </c>
      <c r="F855" t="s">
        <v>14</v>
      </c>
      <c r="G855" s="2">
        <v>12142.578600000001</v>
      </c>
      <c r="H855" t="str" cm="1">
        <f t="array" ref="H855">_xlfn.IFS(A855&lt;=30, "Youth", A855&lt;=50, "Adult", A855&gt;50, "Older")</f>
        <v>Adult</v>
      </c>
      <c r="I855" t="str" cm="1">
        <f t="array" ref="I855">_xlfn.IFS(A855&lt;=25,"18-25",A855&lt;=35,"26-35",A855&lt;=45,"36-45",A855&lt;=60,"46-60",A855&gt;60,"60+")</f>
        <v>46-60</v>
      </c>
      <c r="J855" t="str" cm="1">
        <f t="array" ref="J855">_xlfn.IFS(C855&lt;18.5,"Underweight",C855&lt;25,"Normal",C855&lt;30,"Overweight",C855&gt;=30,"Obese")</f>
        <v>Obese</v>
      </c>
      <c r="K855" t="str" cm="1">
        <f t="array" ref="K855">_xlfn.IFS(G855&lt;10000, "Low", G855&lt;=25000, "Medium", G855&gt;25000, "High")</f>
        <v>Medium</v>
      </c>
    </row>
    <row r="856" spans="1:11" x14ac:dyDescent="0.3">
      <c r="A856">
        <v>46</v>
      </c>
      <c r="B856" s="1" t="s">
        <v>7</v>
      </c>
      <c r="C856">
        <v>32.700000000000003</v>
      </c>
      <c r="D856">
        <v>1</v>
      </c>
      <c r="E856" t="s">
        <v>10</v>
      </c>
      <c r="F856" t="s">
        <v>11</v>
      </c>
      <c r="G856" s="2">
        <v>12146.971</v>
      </c>
      <c r="H856" t="str" cm="1">
        <f t="array" ref="H856">_xlfn.IFS(A856&lt;=30, "Youth", A856&lt;=50, "Adult", A856&gt;50, "Older")</f>
        <v>Adult</v>
      </c>
      <c r="I856" t="str" cm="1">
        <f t="array" ref="I856">_xlfn.IFS(A856&lt;=25,"18-25",A856&lt;=35,"26-35",A856&lt;=45,"36-45",A856&lt;=60,"46-60",A856&gt;60,"60+")</f>
        <v>46-60</v>
      </c>
      <c r="J856" t="str" cm="1">
        <f t="array" ref="J856">_xlfn.IFS(C856&lt;18.5,"Underweight",C856&lt;25,"Normal",C856&lt;30,"Overweight",C856&gt;=30,"Obese")</f>
        <v>Obese</v>
      </c>
      <c r="K856" t="str" cm="1">
        <f t="array" ref="K856">_xlfn.IFS(G856&lt;10000, "Low", G856&lt;=25000, "Medium", G856&gt;25000, "High")</f>
        <v>Medium</v>
      </c>
    </row>
    <row r="857" spans="1:11" x14ac:dyDescent="0.3">
      <c r="A857">
        <v>46</v>
      </c>
      <c r="B857" s="1" t="s">
        <v>7</v>
      </c>
      <c r="C857">
        <v>32.700000000000003</v>
      </c>
      <c r="D857">
        <v>1</v>
      </c>
      <c r="E857" t="s">
        <v>9</v>
      </c>
      <c r="F857" t="s">
        <v>12</v>
      </c>
      <c r="G857" s="2">
        <v>12222.898300000001</v>
      </c>
      <c r="H857" t="str" cm="1">
        <f t="array" ref="H857">_xlfn.IFS(A857&lt;=30, "Youth", A857&lt;=50, "Adult", A857&gt;50, "Older")</f>
        <v>Adult</v>
      </c>
      <c r="I857" t="str" cm="1">
        <f t="array" ref="I857">_xlfn.IFS(A857&lt;=25,"18-25",A857&lt;=35,"26-35",A857&lt;=45,"36-45",A857&lt;=60,"46-60",A857&gt;60,"60+")</f>
        <v>46-60</v>
      </c>
      <c r="J857" t="str" cm="1">
        <f t="array" ref="J857">_xlfn.IFS(C857&lt;18.5,"Underweight",C857&lt;25,"Normal",C857&lt;30,"Overweight",C857&gt;=30,"Obese")</f>
        <v>Obese</v>
      </c>
      <c r="K857" t="str" cm="1">
        <f t="array" ref="K857">_xlfn.IFS(G857&lt;10000, "Low", G857&lt;=25000, "Medium", G857&gt;25000, "High")</f>
        <v>Medium</v>
      </c>
    </row>
    <row r="858" spans="1:11" x14ac:dyDescent="0.3">
      <c r="A858">
        <v>46</v>
      </c>
      <c r="B858" s="1" t="s">
        <v>8</v>
      </c>
      <c r="C858">
        <v>32.774999999999999</v>
      </c>
      <c r="D858">
        <v>1</v>
      </c>
      <c r="E858" t="s">
        <v>9</v>
      </c>
      <c r="F858" t="s">
        <v>13</v>
      </c>
      <c r="G858" s="2">
        <v>12224.350850000001</v>
      </c>
      <c r="H858" t="str" cm="1">
        <f t="array" ref="H858">_xlfn.IFS(A858&lt;=30, "Youth", A858&lt;=50, "Adult", A858&gt;50, "Older")</f>
        <v>Adult</v>
      </c>
      <c r="I858" t="str" cm="1">
        <f t="array" ref="I858">_xlfn.IFS(A858&lt;=25,"18-25",A858&lt;=35,"26-35",A858&lt;=45,"36-45",A858&lt;=60,"46-60",A858&gt;60,"60+")</f>
        <v>46-60</v>
      </c>
      <c r="J858" t="str" cm="1">
        <f t="array" ref="J858">_xlfn.IFS(C858&lt;18.5,"Underweight",C858&lt;25,"Normal",C858&lt;30,"Overweight",C858&gt;=30,"Obese")</f>
        <v>Obese</v>
      </c>
      <c r="K858" t="str" cm="1">
        <f t="array" ref="K858">_xlfn.IFS(G858&lt;10000, "Low", G858&lt;=25000, "Medium", G858&gt;25000, "High")</f>
        <v>Medium</v>
      </c>
    </row>
    <row r="859" spans="1:11" x14ac:dyDescent="0.3">
      <c r="A859">
        <v>46</v>
      </c>
      <c r="B859" s="1" t="s">
        <v>7</v>
      </c>
      <c r="C859">
        <v>32.774999999999999</v>
      </c>
      <c r="D859">
        <v>1</v>
      </c>
      <c r="E859" t="s">
        <v>10</v>
      </c>
      <c r="F859" t="s">
        <v>12</v>
      </c>
      <c r="G859" s="2">
        <v>12231.613600000001</v>
      </c>
      <c r="H859" t="str" cm="1">
        <f t="array" ref="H859">_xlfn.IFS(A859&lt;=30, "Youth", A859&lt;=50, "Adult", A859&gt;50, "Older")</f>
        <v>Adult</v>
      </c>
      <c r="I859" t="str" cm="1">
        <f t="array" ref="I859">_xlfn.IFS(A859&lt;=25,"18-25",A859&lt;=35,"26-35",A859&lt;=45,"36-45",A859&lt;=60,"46-60",A859&gt;60,"60+")</f>
        <v>46-60</v>
      </c>
      <c r="J859" t="str" cm="1">
        <f t="array" ref="J859">_xlfn.IFS(C859&lt;18.5,"Underweight",C859&lt;25,"Normal",C859&lt;30,"Overweight",C859&gt;=30,"Obese")</f>
        <v>Obese</v>
      </c>
      <c r="K859" t="str" cm="1">
        <f t="array" ref="K859">_xlfn.IFS(G859&lt;10000, "Low", G859&lt;=25000, "Medium", G859&gt;25000, "High")</f>
        <v>Medium</v>
      </c>
    </row>
    <row r="860" spans="1:11" x14ac:dyDescent="0.3">
      <c r="A860">
        <v>46</v>
      </c>
      <c r="B860" s="1" t="s">
        <v>8</v>
      </c>
      <c r="C860">
        <v>32.774999999999999</v>
      </c>
      <c r="D860">
        <v>1</v>
      </c>
      <c r="E860" t="s">
        <v>10</v>
      </c>
      <c r="F860" t="s">
        <v>11</v>
      </c>
      <c r="G860" s="2">
        <v>12233.828</v>
      </c>
      <c r="H860" t="str" cm="1">
        <f t="array" ref="H860">_xlfn.IFS(A860&lt;=30, "Youth", A860&lt;=50, "Adult", A860&gt;50, "Older")</f>
        <v>Adult</v>
      </c>
      <c r="I860" t="str" cm="1">
        <f t="array" ref="I860">_xlfn.IFS(A860&lt;=25,"18-25",A860&lt;=35,"26-35",A860&lt;=45,"36-45",A860&lt;=60,"46-60",A860&gt;60,"60+")</f>
        <v>46-60</v>
      </c>
      <c r="J860" t="str" cm="1">
        <f t="array" ref="J860">_xlfn.IFS(C860&lt;18.5,"Underweight",C860&lt;25,"Normal",C860&lt;30,"Overweight",C860&gt;=30,"Obese")</f>
        <v>Obese</v>
      </c>
      <c r="K860" t="str" cm="1">
        <f t="array" ref="K860">_xlfn.IFS(G860&lt;10000, "Low", G860&lt;=25000, "Medium", G860&gt;25000, "High")</f>
        <v>Medium</v>
      </c>
    </row>
    <row r="861" spans="1:11" x14ac:dyDescent="0.3">
      <c r="A861">
        <v>46</v>
      </c>
      <c r="B861" s="1" t="s">
        <v>7</v>
      </c>
      <c r="C861">
        <v>32.774999999999999</v>
      </c>
      <c r="D861">
        <v>1</v>
      </c>
      <c r="E861" t="s">
        <v>9</v>
      </c>
      <c r="F861" t="s">
        <v>11</v>
      </c>
      <c r="G861" s="2">
        <v>12235.8392</v>
      </c>
      <c r="H861" t="str" cm="1">
        <f t="array" ref="H861">_xlfn.IFS(A861&lt;=30, "Youth", A861&lt;=50, "Adult", A861&gt;50, "Older")</f>
        <v>Adult</v>
      </c>
      <c r="I861" t="str" cm="1">
        <f t="array" ref="I861">_xlfn.IFS(A861&lt;=25,"18-25",A861&lt;=35,"26-35",A861&lt;=45,"36-45",A861&lt;=60,"46-60",A861&gt;60,"60+")</f>
        <v>46-60</v>
      </c>
      <c r="J861" t="str" cm="1">
        <f t="array" ref="J861">_xlfn.IFS(C861&lt;18.5,"Underweight",C861&lt;25,"Normal",C861&lt;30,"Overweight",C861&gt;=30,"Obese")</f>
        <v>Obese</v>
      </c>
      <c r="K861" t="str" cm="1">
        <f t="array" ref="K861">_xlfn.IFS(G861&lt;10000, "Low", G861&lt;=25000, "Medium", G861&gt;25000, "High")</f>
        <v>Medium</v>
      </c>
    </row>
    <row r="862" spans="1:11" x14ac:dyDescent="0.3">
      <c r="A862">
        <v>46</v>
      </c>
      <c r="B862" s="1" t="s">
        <v>7</v>
      </c>
      <c r="C862">
        <v>32.774999999999999</v>
      </c>
      <c r="D862">
        <v>1</v>
      </c>
      <c r="E862" t="s">
        <v>10</v>
      </c>
      <c r="F862" t="s">
        <v>11</v>
      </c>
      <c r="G862" s="2">
        <v>12244.531000000001</v>
      </c>
      <c r="H862" t="str" cm="1">
        <f t="array" ref="H862">_xlfn.IFS(A862&lt;=30, "Youth", A862&lt;=50, "Adult", A862&gt;50, "Older")</f>
        <v>Adult</v>
      </c>
      <c r="I862" t="str" cm="1">
        <f t="array" ref="I862">_xlfn.IFS(A862&lt;=25,"18-25",A862&lt;=35,"26-35",A862&lt;=45,"36-45",A862&lt;=60,"46-60",A862&gt;60,"60+")</f>
        <v>46-60</v>
      </c>
      <c r="J862" t="str" cm="1">
        <f t="array" ref="J862">_xlfn.IFS(C862&lt;18.5,"Underweight",C862&lt;25,"Normal",C862&lt;30,"Overweight",C862&gt;=30,"Obese")</f>
        <v>Obese</v>
      </c>
      <c r="K862" t="str" cm="1">
        <f t="array" ref="K862">_xlfn.IFS(G862&lt;10000, "Low", G862&lt;=25000, "Medium", G862&gt;25000, "High")</f>
        <v>Medium</v>
      </c>
    </row>
    <row r="863" spans="1:11" x14ac:dyDescent="0.3">
      <c r="A863">
        <v>46</v>
      </c>
      <c r="B863" s="1" t="s">
        <v>7</v>
      </c>
      <c r="C863">
        <v>32.774999999999999</v>
      </c>
      <c r="D863">
        <v>1</v>
      </c>
      <c r="E863" t="s">
        <v>10</v>
      </c>
      <c r="F863" t="s">
        <v>13</v>
      </c>
      <c r="G863" s="2">
        <v>12265.5069</v>
      </c>
      <c r="H863" t="str" cm="1">
        <f t="array" ref="H863">_xlfn.IFS(A863&lt;=30, "Youth", A863&lt;=50, "Adult", A863&gt;50, "Older")</f>
        <v>Adult</v>
      </c>
      <c r="I863" t="str" cm="1">
        <f t="array" ref="I863">_xlfn.IFS(A863&lt;=25,"18-25",A863&lt;=35,"26-35",A863&lt;=45,"36-45",A863&lt;=60,"46-60",A863&gt;60,"60+")</f>
        <v>46-60</v>
      </c>
      <c r="J863" t="str" cm="1">
        <f t="array" ref="J863">_xlfn.IFS(C863&lt;18.5,"Underweight",C863&lt;25,"Normal",C863&lt;30,"Overweight",C863&gt;=30,"Obese")</f>
        <v>Obese</v>
      </c>
      <c r="K863" t="str" cm="1">
        <f t="array" ref="K863">_xlfn.IFS(G863&lt;10000, "Low", G863&lt;=25000, "Medium", G863&gt;25000, "High")</f>
        <v>Medium</v>
      </c>
    </row>
    <row r="864" spans="1:11" x14ac:dyDescent="0.3">
      <c r="A864">
        <v>46</v>
      </c>
      <c r="B864" s="1" t="s">
        <v>7</v>
      </c>
      <c r="C864">
        <v>32.774999999999999</v>
      </c>
      <c r="D864">
        <v>1</v>
      </c>
      <c r="E864" t="s">
        <v>10</v>
      </c>
      <c r="F864" t="s">
        <v>14</v>
      </c>
      <c r="G864" s="2">
        <v>12268.632250000001</v>
      </c>
      <c r="H864" t="str" cm="1">
        <f t="array" ref="H864">_xlfn.IFS(A864&lt;=30, "Youth", A864&lt;=50, "Adult", A864&gt;50, "Older")</f>
        <v>Adult</v>
      </c>
      <c r="I864" t="str" cm="1">
        <f t="array" ref="I864">_xlfn.IFS(A864&lt;=25,"18-25",A864&lt;=35,"26-35",A864&lt;=45,"36-45",A864&lt;=60,"46-60",A864&gt;60,"60+")</f>
        <v>46-60</v>
      </c>
      <c r="J864" t="str" cm="1">
        <f t="array" ref="J864">_xlfn.IFS(C864&lt;18.5,"Underweight",C864&lt;25,"Normal",C864&lt;30,"Overweight",C864&gt;=30,"Obese")</f>
        <v>Obese</v>
      </c>
      <c r="K864" t="str" cm="1">
        <f t="array" ref="K864">_xlfn.IFS(G864&lt;10000, "Low", G864&lt;=25000, "Medium", G864&gt;25000, "High")</f>
        <v>Medium</v>
      </c>
    </row>
    <row r="865" spans="1:11" x14ac:dyDescent="0.3">
      <c r="A865">
        <v>46</v>
      </c>
      <c r="B865" s="1" t="s">
        <v>8</v>
      </c>
      <c r="C865">
        <v>32.78</v>
      </c>
      <c r="D865">
        <v>1</v>
      </c>
      <c r="E865" t="s">
        <v>10</v>
      </c>
      <c r="F865" t="s">
        <v>11</v>
      </c>
      <c r="G865" s="2">
        <v>12269.68865</v>
      </c>
      <c r="H865" t="str" cm="1">
        <f t="array" ref="H865">_xlfn.IFS(A865&lt;=30, "Youth", A865&lt;=50, "Adult", A865&gt;50, "Older")</f>
        <v>Adult</v>
      </c>
      <c r="I865" t="str" cm="1">
        <f t="array" ref="I865">_xlfn.IFS(A865&lt;=25,"18-25",A865&lt;=35,"26-35",A865&lt;=45,"36-45",A865&lt;=60,"46-60",A865&gt;60,"60+")</f>
        <v>46-60</v>
      </c>
      <c r="J865" t="str" cm="1">
        <f t="array" ref="J865">_xlfn.IFS(C865&lt;18.5,"Underweight",C865&lt;25,"Normal",C865&lt;30,"Overweight",C865&gt;=30,"Obese")</f>
        <v>Obese</v>
      </c>
      <c r="K865" t="str" cm="1">
        <f t="array" ref="K865">_xlfn.IFS(G865&lt;10000, "Low", G865&lt;=25000, "Medium", G865&gt;25000, "High")</f>
        <v>Medium</v>
      </c>
    </row>
    <row r="866" spans="1:11" x14ac:dyDescent="0.3">
      <c r="A866">
        <v>46</v>
      </c>
      <c r="B866" s="1" t="s">
        <v>8</v>
      </c>
      <c r="C866">
        <v>32.799999999999997</v>
      </c>
      <c r="D866">
        <v>1</v>
      </c>
      <c r="E866" t="s">
        <v>10</v>
      </c>
      <c r="F866" t="s">
        <v>11</v>
      </c>
      <c r="G866" s="2">
        <v>12323.936</v>
      </c>
      <c r="H866" t="str" cm="1">
        <f t="array" ref="H866">_xlfn.IFS(A866&lt;=30, "Youth", A866&lt;=50, "Adult", A866&gt;50, "Older")</f>
        <v>Adult</v>
      </c>
      <c r="I866" t="str" cm="1">
        <f t="array" ref="I866">_xlfn.IFS(A866&lt;=25,"18-25",A866&lt;=35,"26-35",A866&lt;=45,"36-45",A866&lt;=60,"46-60",A866&gt;60,"60+")</f>
        <v>46-60</v>
      </c>
      <c r="J866" t="str" cm="1">
        <f t="array" ref="J866">_xlfn.IFS(C866&lt;18.5,"Underweight",C866&lt;25,"Normal",C866&lt;30,"Overweight",C866&gt;=30,"Obese")</f>
        <v>Obese</v>
      </c>
      <c r="K866" t="str" cm="1">
        <f t="array" ref="K866">_xlfn.IFS(G866&lt;10000, "Low", G866&lt;=25000, "Medium", G866&gt;25000, "High")</f>
        <v>Medium</v>
      </c>
    </row>
    <row r="867" spans="1:11" x14ac:dyDescent="0.3">
      <c r="A867">
        <v>46</v>
      </c>
      <c r="B867" s="1" t="s">
        <v>8</v>
      </c>
      <c r="C867">
        <v>32.799999999999997</v>
      </c>
      <c r="D867">
        <v>1</v>
      </c>
      <c r="E867" t="s">
        <v>10</v>
      </c>
      <c r="F867" t="s">
        <v>12</v>
      </c>
      <c r="G867" s="2">
        <v>12333.828</v>
      </c>
      <c r="H867" t="str" cm="1">
        <f t="array" ref="H867">_xlfn.IFS(A867&lt;=30, "Youth", A867&lt;=50, "Adult", A867&gt;50, "Older")</f>
        <v>Adult</v>
      </c>
      <c r="I867" t="str" cm="1">
        <f t="array" ref="I867">_xlfn.IFS(A867&lt;=25,"18-25",A867&lt;=35,"26-35",A867&lt;=45,"36-45",A867&lt;=60,"46-60",A867&gt;60,"60+")</f>
        <v>46-60</v>
      </c>
      <c r="J867" t="str" cm="1">
        <f t="array" ref="J867">_xlfn.IFS(C867&lt;18.5,"Underweight",C867&lt;25,"Normal",C867&lt;30,"Overweight",C867&gt;=30,"Obese")</f>
        <v>Obese</v>
      </c>
      <c r="K867" t="str" cm="1">
        <f t="array" ref="K867">_xlfn.IFS(G867&lt;10000, "Low", G867&lt;=25000, "Medium", G867&gt;25000, "High")</f>
        <v>Medium</v>
      </c>
    </row>
    <row r="868" spans="1:11" x14ac:dyDescent="0.3">
      <c r="A868">
        <v>47</v>
      </c>
      <c r="B868" s="1" t="s">
        <v>8</v>
      </c>
      <c r="C868">
        <v>32.799999999999997</v>
      </c>
      <c r="D868">
        <v>1</v>
      </c>
      <c r="E868" t="s">
        <v>10</v>
      </c>
      <c r="F868" t="s">
        <v>11</v>
      </c>
      <c r="G868" s="2">
        <v>12347.172</v>
      </c>
      <c r="H868" t="str" cm="1">
        <f t="array" ref="H868">_xlfn.IFS(A868&lt;=30, "Youth", A868&lt;=50, "Adult", A868&gt;50, "Older")</f>
        <v>Adult</v>
      </c>
      <c r="I868" t="str" cm="1">
        <f t="array" ref="I868">_xlfn.IFS(A868&lt;=25,"18-25",A868&lt;=35,"26-35",A868&lt;=45,"36-45",A868&lt;=60,"46-60",A868&gt;60,"60+")</f>
        <v>46-60</v>
      </c>
      <c r="J868" t="str" cm="1">
        <f t="array" ref="J868">_xlfn.IFS(C868&lt;18.5,"Underweight",C868&lt;25,"Normal",C868&lt;30,"Overweight",C868&gt;=30,"Obese")</f>
        <v>Obese</v>
      </c>
      <c r="K868" t="str" cm="1">
        <f t="array" ref="K868">_xlfn.IFS(G868&lt;10000, "Low", G868&lt;=25000, "Medium", G868&gt;25000, "High")</f>
        <v>Medium</v>
      </c>
    </row>
    <row r="869" spans="1:11" x14ac:dyDescent="0.3">
      <c r="A869">
        <v>47</v>
      </c>
      <c r="B869" s="1" t="s">
        <v>8</v>
      </c>
      <c r="C869">
        <v>32.869999999999997</v>
      </c>
      <c r="D869">
        <v>1</v>
      </c>
      <c r="E869" t="s">
        <v>10</v>
      </c>
      <c r="F869" t="s">
        <v>14</v>
      </c>
      <c r="G869" s="2">
        <v>12363.547</v>
      </c>
      <c r="H869" t="str" cm="1">
        <f t="array" ref="H869">_xlfn.IFS(A869&lt;=30, "Youth", A869&lt;=50, "Adult", A869&gt;50, "Older")</f>
        <v>Adult</v>
      </c>
      <c r="I869" t="str" cm="1">
        <f t="array" ref="I869">_xlfn.IFS(A869&lt;=25,"18-25",A869&lt;=35,"26-35",A869&lt;=45,"36-45",A869&lt;=60,"46-60",A869&gt;60,"60+")</f>
        <v>46-60</v>
      </c>
      <c r="J869" t="str" cm="1">
        <f t="array" ref="J869">_xlfn.IFS(C869&lt;18.5,"Underweight",C869&lt;25,"Normal",C869&lt;30,"Overweight",C869&gt;=30,"Obese")</f>
        <v>Obese</v>
      </c>
      <c r="K869" t="str" cm="1">
        <f t="array" ref="K869">_xlfn.IFS(G869&lt;10000, "Low", G869&lt;=25000, "Medium", G869&gt;25000, "High")</f>
        <v>Medium</v>
      </c>
    </row>
    <row r="870" spans="1:11" x14ac:dyDescent="0.3">
      <c r="A870">
        <v>47</v>
      </c>
      <c r="B870" s="1" t="s">
        <v>7</v>
      </c>
      <c r="C870">
        <v>32.9</v>
      </c>
      <c r="D870">
        <v>1</v>
      </c>
      <c r="E870" t="s">
        <v>10</v>
      </c>
      <c r="F870" t="s">
        <v>11</v>
      </c>
      <c r="G870" s="2">
        <v>12404.8791</v>
      </c>
      <c r="H870" t="str" cm="1">
        <f t="array" ref="H870">_xlfn.IFS(A870&lt;=30, "Youth", A870&lt;=50, "Adult", A870&gt;50, "Older")</f>
        <v>Adult</v>
      </c>
      <c r="I870" t="str" cm="1">
        <f t="array" ref="I870">_xlfn.IFS(A870&lt;=25,"18-25",A870&lt;=35,"26-35",A870&lt;=45,"36-45",A870&lt;=60,"46-60",A870&gt;60,"60+")</f>
        <v>46-60</v>
      </c>
      <c r="J870" t="str" cm="1">
        <f t="array" ref="J870">_xlfn.IFS(C870&lt;18.5,"Underweight",C870&lt;25,"Normal",C870&lt;30,"Overweight",C870&gt;=30,"Obese")</f>
        <v>Obese</v>
      </c>
      <c r="K870" t="str" cm="1">
        <f t="array" ref="K870">_xlfn.IFS(G870&lt;10000, "Low", G870&lt;=25000, "Medium", G870&gt;25000, "High")</f>
        <v>Medium</v>
      </c>
    </row>
    <row r="871" spans="1:11" x14ac:dyDescent="0.3">
      <c r="A871">
        <v>47</v>
      </c>
      <c r="B871" s="1" t="s">
        <v>8</v>
      </c>
      <c r="C871">
        <v>32.9</v>
      </c>
      <c r="D871">
        <v>1</v>
      </c>
      <c r="E871" t="s">
        <v>10</v>
      </c>
      <c r="F871" t="s">
        <v>11</v>
      </c>
      <c r="G871" s="2">
        <v>12430.95335</v>
      </c>
      <c r="H871" t="str" cm="1">
        <f t="array" ref="H871">_xlfn.IFS(A871&lt;=30, "Youth", A871&lt;=50, "Adult", A871&gt;50, "Older")</f>
        <v>Adult</v>
      </c>
      <c r="I871" t="str" cm="1">
        <f t="array" ref="I871">_xlfn.IFS(A871&lt;=25,"18-25",A871&lt;=35,"26-35",A871&lt;=45,"36-45",A871&lt;=60,"46-60",A871&gt;60,"60+")</f>
        <v>46-60</v>
      </c>
      <c r="J871" t="str" cm="1">
        <f t="array" ref="J871">_xlfn.IFS(C871&lt;18.5,"Underweight",C871&lt;25,"Normal",C871&lt;30,"Overweight",C871&gt;=30,"Obese")</f>
        <v>Obese</v>
      </c>
      <c r="K871" t="str" cm="1">
        <f t="array" ref="K871">_xlfn.IFS(G871&lt;10000, "Low", G871&lt;=25000, "Medium", G871&gt;25000, "High")</f>
        <v>Medium</v>
      </c>
    </row>
    <row r="872" spans="1:11" x14ac:dyDescent="0.3">
      <c r="A872">
        <v>47</v>
      </c>
      <c r="B872" s="1" t="s">
        <v>7</v>
      </c>
      <c r="C872">
        <v>32.9</v>
      </c>
      <c r="D872">
        <v>1</v>
      </c>
      <c r="E872" t="s">
        <v>10</v>
      </c>
      <c r="F872" t="s">
        <v>12</v>
      </c>
      <c r="G872" s="2">
        <v>12475.3513</v>
      </c>
      <c r="H872" t="str" cm="1">
        <f t="array" ref="H872">_xlfn.IFS(A872&lt;=30, "Youth", A872&lt;=50, "Adult", A872&gt;50, "Older")</f>
        <v>Adult</v>
      </c>
      <c r="I872" t="str" cm="1">
        <f t="array" ref="I872">_xlfn.IFS(A872&lt;=25,"18-25",A872&lt;=35,"26-35",A872&lt;=45,"36-45",A872&lt;=60,"46-60",A872&gt;60,"60+")</f>
        <v>46-60</v>
      </c>
      <c r="J872" t="str" cm="1">
        <f t="array" ref="J872">_xlfn.IFS(C872&lt;18.5,"Underweight",C872&lt;25,"Normal",C872&lt;30,"Overweight",C872&gt;=30,"Obese")</f>
        <v>Obese</v>
      </c>
      <c r="K872" t="str" cm="1">
        <f t="array" ref="K872">_xlfn.IFS(G872&lt;10000, "Low", G872&lt;=25000, "Medium", G872&gt;25000, "High")</f>
        <v>Medium</v>
      </c>
    </row>
    <row r="873" spans="1:11" x14ac:dyDescent="0.3">
      <c r="A873">
        <v>47</v>
      </c>
      <c r="B873" s="1" t="s">
        <v>8</v>
      </c>
      <c r="C873">
        <v>32.965000000000003</v>
      </c>
      <c r="D873">
        <v>1</v>
      </c>
      <c r="E873" t="s">
        <v>10</v>
      </c>
      <c r="F873" t="s">
        <v>12</v>
      </c>
      <c r="G873" s="2">
        <v>12479.70895</v>
      </c>
      <c r="H873" t="str" cm="1">
        <f t="array" ref="H873">_xlfn.IFS(A873&lt;=30, "Youth", A873&lt;=50, "Adult", A873&gt;50, "Older")</f>
        <v>Adult</v>
      </c>
      <c r="I873" t="str" cm="1">
        <f t="array" ref="I873">_xlfn.IFS(A873&lt;=25,"18-25",A873&lt;=35,"26-35",A873&lt;=45,"36-45",A873&lt;=60,"46-60",A873&gt;60,"60+")</f>
        <v>46-60</v>
      </c>
      <c r="J873" t="str" cm="1">
        <f t="array" ref="J873">_xlfn.IFS(C873&lt;18.5,"Underweight",C873&lt;25,"Normal",C873&lt;30,"Overweight",C873&gt;=30,"Obese")</f>
        <v>Obese</v>
      </c>
      <c r="K873" t="str" cm="1">
        <f t="array" ref="K873">_xlfn.IFS(G873&lt;10000, "Low", G873&lt;=25000, "Medium", G873&gt;25000, "High")</f>
        <v>Medium</v>
      </c>
    </row>
    <row r="874" spans="1:11" x14ac:dyDescent="0.3">
      <c r="A874">
        <v>47</v>
      </c>
      <c r="B874" s="1" t="s">
        <v>8</v>
      </c>
      <c r="C874">
        <v>32.965000000000003</v>
      </c>
      <c r="D874">
        <v>1</v>
      </c>
      <c r="E874" t="s">
        <v>10</v>
      </c>
      <c r="F874" t="s">
        <v>11</v>
      </c>
      <c r="G874" s="2">
        <v>12485.8009</v>
      </c>
      <c r="H874" t="str" cm="1">
        <f t="array" ref="H874">_xlfn.IFS(A874&lt;=30, "Youth", A874&lt;=50, "Adult", A874&gt;50, "Older")</f>
        <v>Adult</v>
      </c>
      <c r="I874" t="str" cm="1">
        <f t="array" ref="I874">_xlfn.IFS(A874&lt;=25,"18-25",A874&lt;=35,"26-35",A874&lt;=45,"36-45",A874&lt;=60,"46-60",A874&gt;60,"60+")</f>
        <v>46-60</v>
      </c>
      <c r="J874" t="str" cm="1">
        <f t="array" ref="J874">_xlfn.IFS(C874&lt;18.5,"Underweight",C874&lt;25,"Normal",C874&lt;30,"Overweight",C874&gt;=30,"Obese")</f>
        <v>Obese</v>
      </c>
      <c r="K874" t="str" cm="1">
        <f t="array" ref="K874">_xlfn.IFS(G874&lt;10000, "Low", G874&lt;=25000, "Medium", G874&gt;25000, "High")</f>
        <v>Medium</v>
      </c>
    </row>
    <row r="875" spans="1:11" x14ac:dyDescent="0.3">
      <c r="A875">
        <v>47</v>
      </c>
      <c r="B875" s="1" t="s">
        <v>8</v>
      </c>
      <c r="C875">
        <v>32.965000000000003</v>
      </c>
      <c r="D875">
        <v>1</v>
      </c>
      <c r="E875" t="s">
        <v>10</v>
      </c>
      <c r="F875" t="s">
        <v>14</v>
      </c>
      <c r="G875" s="2">
        <v>12495.290849999999</v>
      </c>
      <c r="H875" t="str" cm="1">
        <f t="array" ref="H875">_xlfn.IFS(A875&lt;=30, "Youth", A875&lt;=50, "Adult", A875&gt;50, "Older")</f>
        <v>Adult</v>
      </c>
      <c r="I875" t="str" cm="1">
        <f t="array" ref="I875">_xlfn.IFS(A875&lt;=25,"18-25",A875&lt;=35,"26-35",A875&lt;=45,"36-45",A875&lt;=60,"46-60",A875&gt;60,"60+")</f>
        <v>46-60</v>
      </c>
      <c r="J875" t="str" cm="1">
        <f t="array" ref="J875">_xlfn.IFS(C875&lt;18.5,"Underweight",C875&lt;25,"Normal",C875&lt;30,"Overweight",C875&gt;=30,"Obese")</f>
        <v>Obese</v>
      </c>
      <c r="K875" t="str" cm="1">
        <f t="array" ref="K875">_xlfn.IFS(G875&lt;10000, "Low", G875&lt;=25000, "Medium", G875&gt;25000, "High")</f>
        <v>Medium</v>
      </c>
    </row>
    <row r="876" spans="1:11" x14ac:dyDescent="0.3">
      <c r="A876">
        <v>47</v>
      </c>
      <c r="B876" s="1" t="s">
        <v>7</v>
      </c>
      <c r="C876">
        <v>32.965000000000003</v>
      </c>
      <c r="D876">
        <v>1</v>
      </c>
      <c r="E876" t="s">
        <v>10</v>
      </c>
      <c r="F876" t="s">
        <v>13</v>
      </c>
      <c r="G876" s="2">
        <v>12523.604799999999</v>
      </c>
      <c r="H876" t="str" cm="1">
        <f t="array" ref="H876">_xlfn.IFS(A876&lt;=30, "Youth", A876&lt;=50, "Adult", A876&gt;50, "Older")</f>
        <v>Adult</v>
      </c>
      <c r="I876" t="str" cm="1">
        <f t="array" ref="I876">_xlfn.IFS(A876&lt;=25,"18-25",A876&lt;=35,"26-35",A876&lt;=45,"36-45",A876&lt;=60,"46-60",A876&gt;60,"60+")</f>
        <v>46-60</v>
      </c>
      <c r="J876" t="str" cm="1">
        <f t="array" ref="J876">_xlfn.IFS(C876&lt;18.5,"Underweight",C876&lt;25,"Normal",C876&lt;30,"Overweight",C876&gt;=30,"Obese")</f>
        <v>Obese</v>
      </c>
      <c r="K876" t="str" cm="1">
        <f t="array" ref="K876">_xlfn.IFS(G876&lt;10000, "Low", G876&lt;=25000, "Medium", G876&gt;25000, "High")</f>
        <v>Medium</v>
      </c>
    </row>
    <row r="877" spans="1:11" x14ac:dyDescent="0.3">
      <c r="A877">
        <v>47</v>
      </c>
      <c r="B877" s="1" t="s">
        <v>7</v>
      </c>
      <c r="C877">
        <v>33</v>
      </c>
      <c r="D877">
        <v>1</v>
      </c>
      <c r="E877" t="s">
        <v>10</v>
      </c>
      <c r="F877" t="s">
        <v>11</v>
      </c>
      <c r="G877" s="2">
        <v>12557.605299999999</v>
      </c>
      <c r="H877" t="str" cm="1">
        <f t="array" ref="H877">_xlfn.IFS(A877&lt;=30, "Youth", A877&lt;=50, "Adult", A877&gt;50, "Older")</f>
        <v>Adult</v>
      </c>
      <c r="I877" t="str" cm="1">
        <f t="array" ref="I877">_xlfn.IFS(A877&lt;=25,"18-25",A877&lt;=35,"26-35",A877&lt;=45,"36-45",A877&lt;=60,"46-60",A877&gt;60,"60+")</f>
        <v>46-60</v>
      </c>
      <c r="J877" t="str" cm="1">
        <f t="array" ref="J877">_xlfn.IFS(C877&lt;18.5,"Underweight",C877&lt;25,"Normal",C877&lt;30,"Overweight",C877&gt;=30,"Obese")</f>
        <v>Obese</v>
      </c>
      <c r="K877" t="str" cm="1">
        <f t="array" ref="K877">_xlfn.IFS(G877&lt;10000, "Low", G877&lt;=25000, "Medium", G877&gt;25000, "High")</f>
        <v>Medium</v>
      </c>
    </row>
    <row r="878" spans="1:11" x14ac:dyDescent="0.3">
      <c r="A878">
        <v>47</v>
      </c>
      <c r="B878" s="1" t="s">
        <v>8</v>
      </c>
      <c r="C878">
        <v>33</v>
      </c>
      <c r="D878">
        <v>1</v>
      </c>
      <c r="E878" t="s">
        <v>10</v>
      </c>
      <c r="F878" t="s">
        <v>12</v>
      </c>
      <c r="G878" s="2">
        <v>12574.049000000001</v>
      </c>
      <c r="H878" t="str" cm="1">
        <f t="array" ref="H878">_xlfn.IFS(A878&lt;=30, "Youth", A878&lt;=50, "Adult", A878&gt;50, "Older")</f>
        <v>Adult</v>
      </c>
      <c r="I878" t="str" cm="1">
        <f t="array" ref="I878">_xlfn.IFS(A878&lt;=25,"18-25",A878&lt;=35,"26-35",A878&lt;=45,"36-45",A878&lt;=60,"46-60",A878&gt;60,"60+")</f>
        <v>46-60</v>
      </c>
      <c r="J878" t="str" cm="1">
        <f t="array" ref="J878">_xlfn.IFS(C878&lt;18.5,"Underweight",C878&lt;25,"Normal",C878&lt;30,"Overweight",C878&gt;=30,"Obese")</f>
        <v>Obese</v>
      </c>
      <c r="K878" t="str" cm="1">
        <f t="array" ref="K878">_xlfn.IFS(G878&lt;10000, "Low", G878&lt;=25000, "Medium", G878&gt;25000, "High")</f>
        <v>Medium</v>
      </c>
    </row>
    <row r="879" spans="1:11" x14ac:dyDescent="0.3">
      <c r="A879">
        <v>47</v>
      </c>
      <c r="B879" s="1" t="s">
        <v>8</v>
      </c>
      <c r="C879">
        <v>33</v>
      </c>
      <c r="D879">
        <v>1</v>
      </c>
      <c r="E879" t="s">
        <v>10</v>
      </c>
      <c r="F879" t="s">
        <v>11</v>
      </c>
      <c r="G879" s="2">
        <v>12592.5345</v>
      </c>
      <c r="H879" t="str" cm="1">
        <f t="array" ref="H879">_xlfn.IFS(A879&lt;=30, "Youth", A879&lt;=50, "Adult", A879&gt;50, "Older")</f>
        <v>Adult</v>
      </c>
      <c r="I879" t="str" cm="1">
        <f t="array" ref="I879">_xlfn.IFS(A879&lt;=25,"18-25",A879&lt;=35,"26-35",A879&lt;=45,"36-45",A879&lt;=60,"46-60",A879&gt;60,"60+")</f>
        <v>46-60</v>
      </c>
      <c r="J879" t="str" cm="1">
        <f t="array" ref="J879">_xlfn.IFS(C879&lt;18.5,"Underweight",C879&lt;25,"Normal",C879&lt;30,"Overweight",C879&gt;=30,"Obese")</f>
        <v>Obese</v>
      </c>
      <c r="K879" t="str" cm="1">
        <f t="array" ref="K879">_xlfn.IFS(G879&lt;10000, "Low", G879&lt;=25000, "Medium", G879&gt;25000, "High")</f>
        <v>Medium</v>
      </c>
    </row>
    <row r="880" spans="1:11" x14ac:dyDescent="0.3">
      <c r="A880">
        <v>47</v>
      </c>
      <c r="B880" s="1" t="s">
        <v>7</v>
      </c>
      <c r="C880">
        <v>33</v>
      </c>
      <c r="D880">
        <v>1</v>
      </c>
      <c r="E880" t="s">
        <v>10</v>
      </c>
      <c r="F880" t="s">
        <v>11</v>
      </c>
      <c r="G880" s="2">
        <v>12609.88702</v>
      </c>
      <c r="H880" t="str" cm="1">
        <f t="array" ref="H880">_xlfn.IFS(A880&lt;=30, "Youth", A880&lt;=50, "Adult", A880&gt;50, "Older")</f>
        <v>Adult</v>
      </c>
      <c r="I880" t="str" cm="1">
        <f t="array" ref="I880">_xlfn.IFS(A880&lt;=25,"18-25",A880&lt;=35,"26-35",A880&lt;=45,"36-45",A880&lt;=60,"46-60",A880&gt;60,"60+")</f>
        <v>46-60</v>
      </c>
      <c r="J880" t="str" cm="1">
        <f t="array" ref="J880">_xlfn.IFS(C880&lt;18.5,"Underweight",C880&lt;25,"Normal",C880&lt;30,"Overweight",C880&gt;=30,"Obese")</f>
        <v>Obese</v>
      </c>
      <c r="K880" t="str" cm="1">
        <f t="array" ref="K880">_xlfn.IFS(G880&lt;10000, "Low", G880&lt;=25000, "Medium", G880&gt;25000, "High")</f>
        <v>Medium</v>
      </c>
    </row>
    <row r="881" spans="1:11" x14ac:dyDescent="0.3">
      <c r="A881">
        <v>47</v>
      </c>
      <c r="B881" s="1" t="s">
        <v>8</v>
      </c>
      <c r="C881">
        <v>33</v>
      </c>
      <c r="D881">
        <v>1</v>
      </c>
      <c r="E881" t="s">
        <v>10</v>
      </c>
      <c r="F881" t="s">
        <v>11</v>
      </c>
      <c r="G881" s="2">
        <v>12622.1795</v>
      </c>
      <c r="H881" t="str" cm="1">
        <f t="array" ref="H881">_xlfn.IFS(A881&lt;=30, "Youth", A881&lt;=50, "Adult", A881&gt;50, "Older")</f>
        <v>Adult</v>
      </c>
      <c r="I881" t="str" cm="1">
        <f t="array" ref="I881">_xlfn.IFS(A881&lt;=25,"18-25",A881&lt;=35,"26-35",A881&lt;=45,"36-45",A881&lt;=60,"46-60",A881&gt;60,"60+")</f>
        <v>46-60</v>
      </c>
      <c r="J881" t="str" cm="1">
        <f t="array" ref="J881">_xlfn.IFS(C881&lt;18.5,"Underweight",C881&lt;25,"Normal",C881&lt;30,"Overweight",C881&gt;=30,"Obese")</f>
        <v>Obese</v>
      </c>
      <c r="K881" t="str" cm="1">
        <f t="array" ref="K881">_xlfn.IFS(G881&lt;10000, "Low", G881&lt;=25000, "Medium", G881&gt;25000, "High")</f>
        <v>Medium</v>
      </c>
    </row>
    <row r="882" spans="1:11" x14ac:dyDescent="0.3">
      <c r="A882">
        <v>47</v>
      </c>
      <c r="B882" s="1" t="s">
        <v>8</v>
      </c>
      <c r="C882">
        <v>33</v>
      </c>
      <c r="D882">
        <v>1</v>
      </c>
      <c r="E882" t="s">
        <v>10</v>
      </c>
      <c r="F882" t="s">
        <v>13</v>
      </c>
      <c r="G882" s="2">
        <v>12629.1656</v>
      </c>
      <c r="H882" t="str" cm="1">
        <f t="array" ref="H882">_xlfn.IFS(A882&lt;=30, "Youth", A882&lt;=50, "Adult", A882&gt;50, "Older")</f>
        <v>Adult</v>
      </c>
      <c r="I882" t="str" cm="1">
        <f t="array" ref="I882">_xlfn.IFS(A882&lt;=25,"18-25",A882&lt;=35,"26-35",A882&lt;=45,"36-45",A882&lt;=60,"46-60",A882&gt;60,"60+")</f>
        <v>46-60</v>
      </c>
      <c r="J882" t="str" cm="1">
        <f t="array" ref="J882">_xlfn.IFS(C882&lt;18.5,"Underweight",C882&lt;25,"Normal",C882&lt;30,"Overweight",C882&gt;=30,"Obese")</f>
        <v>Obese</v>
      </c>
      <c r="K882" t="str" cm="1">
        <f t="array" ref="K882">_xlfn.IFS(G882&lt;10000, "Low", G882&lt;=25000, "Medium", G882&gt;25000, "High")</f>
        <v>Medium</v>
      </c>
    </row>
    <row r="883" spans="1:11" x14ac:dyDescent="0.3">
      <c r="A883">
        <v>47</v>
      </c>
      <c r="B883" s="1" t="s">
        <v>7</v>
      </c>
      <c r="C883">
        <v>33.06</v>
      </c>
      <c r="D883">
        <v>1</v>
      </c>
      <c r="E883" t="s">
        <v>10</v>
      </c>
      <c r="F883" t="s">
        <v>14</v>
      </c>
      <c r="G883" s="2">
        <v>12629.896699999999</v>
      </c>
      <c r="H883" t="str" cm="1">
        <f t="array" ref="H883">_xlfn.IFS(A883&lt;=30, "Youth", A883&lt;=50, "Adult", A883&gt;50, "Older")</f>
        <v>Adult</v>
      </c>
      <c r="I883" t="str" cm="1">
        <f t="array" ref="I883">_xlfn.IFS(A883&lt;=25,"18-25",A883&lt;=35,"26-35",A883&lt;=45,"36-45",A883&lt;=60,"46-60",A883&gt;60,"60+")</f>
        <v>46-60</v>
      </c>
      <c r="J883" t="str" cm="1">
        <f t="array" ref="J883">_xlfn.IFS(C883&lt;18.5,"Underweight",C883&lt;25,"Normal",C883&lt;30,"Overweight",C883&gt;=30,"Obese")</f>
        <v>Obese</v>
      </c>
      <c r="K883" t="str" cm="1">
        <f t="array" ref="K883">_xlfn.IFS(G883&lt;10000, "Low", G883&lt;=25000, "Medium", G883&gt;25000, "High")</f>
        <v>Medium</v>
      </c>
    </row>
    <row r="884" spans="1:11" x14ac:dyDescent="0.3">
      <c r="A884">
        <v>47</v>
      </c>
      <c r="B884" s="1" t="s">
        <v>7</v>
      </c>
      <c r="C884">
        <v>33.1</v>
      </c>
      <c r="D884">
        <v>1</v>
      </c>
      <c r="E884" t="s">
        <v>9</v>
      </c>
      <c r="F884" t="s">
        <v>14</v>
      </c>
      <c r="G884" s="2">
        <v>12638.195</v>
      </c>
      <c r="H884" t="str" cm="1">
        <f t="array" ref="H884">_xlfn.IFS(A884&lt;=30, "Youth", A884&lt;=50, "Adult", A884&gt;50, "Older")</f>
        <v>Adult</v>
      </c>
      <c r="I884" t="str" cm="1">
        <f t="array" ref="I884">_xlfn.IFS(A884&lt;=25,"18-25",A884&lt;=35,"26-35",A884&lt;=45,"36-45",A884&lt;=60,"46-60",A884&gt;60,"60+")</f>
        <v>46-60</v>
      </c>
      <c r="J884" t="str" cm="1">
        <f t="array" ref="J884">_xlfn.IFS(C884&lt;18.5,"Underweight",C884&lt;25,"Normal",C884&lt;30,"Overweight",C884&gt;=30,"Obese")</f>
        <v>Obese</v>
      </c>
      <c r="K884" t="str" cm="1">
        <f t="array" ref="K884">_xlfn.IFS(G884&lt;10000, "Low", G884&lt;=25000, "Medium", G884&gt;25000, "High")</f>
        <v>Medium</v>
      </c>
    </row>
    <row r="885" spans="1:11" x14ac:dyDescent="0.3">
      <c r="A885">
        <v>47</v>
      </c>
      <c r="B885" s="1" t="s">
        <v>8</v>
      </c>
      <c r="C885">
        <v>33.1</v>
      </c>
      <c r="D885">
        <v>1</v>
      </c>
      <c r="E885" t="s">
        <v>10</v>
      </c>
      <c r="F885" t="s">
        <v>13</v>
      </c>
      <c r="G885" s="2">
        <v>12643.3778</v>
      </c>
      <c r="H885" t="str" cm="1">
        <f t="array" ref="H885">_xlfn.IFS(A885&lt;=30, "Youth", A885&lt;=50, "Adult", A885&gt;50, "Older")</f>
        <v>Adult</v>
      </c>
      <c r="I885" t="str" cm="1">
        <f t="array" ref="I885">_xlfn.IFS(A885&lt;=25,"18-25",A885&lt;=35,"26-35",A885&lt;=45,"36-45",A885&lt;=60,"46-60",A885&gt;60,"60+")</f>
        <v>46-60</v>
      </c>
      <c r="J885" t="str" cm="1">
        <f t="array" ref="J885">_xlfn.IFS(C885&lt;18.5,"Underweight",C885&lt;25,"Normal",C885&lt;30,"Overweight",C885&gt;=30,"Obese")</f>
        <v>Obese</v>
      </c>
      <c r="K885" t="str" cm="1">
        <f t="array" ref="K885">_xlfn.IFS(G885&lt;10000, "Low", G885&lt;=25000, "Medium", G885&gt;25000, "High")</f>
        <v>Medium</v>
      </c>
    </row>
    <row r="886" spans="1:11" x14ac:dyDescent="0.3">
      <c r="A886">
        <v>47</v>
      </c>
      <c r="B886" s="1" t="s">
        <v>8</v>
      </c>
      <c r="C886">
        <v>33.1</v>
      </c>
      <c r="D886">
        <v>1</v>
      </c>
      <c r="E886" t="s">
        <v>9</v>
      </c>
      <c r="F886" t="s">
        <v>12</v>
      </c>
      <c r="G886" s="2">
        <v>12644.589</v>
      </c>
      <c r="H886" t="str" cm="1">
        <f t="array" ref="H886">_xlfn.IFS(A886&lt;=30, "Youth", A886&lt;=50, "Adult", A886&gt;50, "Older")</f>
        <v>Adult</v>
      </c>
      <c r="I886" t="str" cm="1">
        <f t="array" ref="I886">_xlfn.IFS(A886&lt;=25,"18-25",A886&lt;=35,"26-35",A886&lt;=45,"36-45",A886&lt;=60,"46-60",A886&gt;60,"60+")</f>
        <v>46-60</v>
      </c>
      <c r="J886" t="str" cm="1">
        <f t="array" ref="J886">_xlfn.IFS(C886&lt;18.5,"Underweight",C886&lt;25,"Normal",C886&lt;30,"Overweight",C886&gt;=30,"Obese")</f>
        <v>Obese</v>
      </c>
      <c r="K886" t="str" cm="1">
        <f t="array" ref="K886">_xlfn.IFS(G886&lt;10000, "Low", G886&lt;=25000, "Medium", G886&gt;25000, "High")</f>
        <v>Medium</v>
      </c>
    </row>
    <row r="887" spans="1:11" x14ac:dyDescent="0.3">
      <c r="A887">
        <v>47</v>
      </c>
      <c r="B887" s="1" t="s">
        <v>8</v>
      </c>
      <c r="C887">
        <v>33.1</v>
      </c>
      <c r="D887">
        <v>1</v>
      </c>
      <c r="E887" t="s">
        <v>9</v>
      </c>
      <c r="F887" t="s">
        <v>14</v>
      </c>
      <c r="G887" s="2">
        <v>12646.207</v>
      </c>
      <c r="H887" t="str" cm="1">
        <f t="array" ref="H887">_xlfn.IFS(A887&lt;=30, "Youth", A887&lt;=50, "Adult", A887&gt;50, "Older")</f>
        <v>Adult</v>
      </c>
      <c r="I887" t="str" cm="1">
        <f t="array" ref="I887">_xlfn.IFS(A887&lt;=25,"18-25",A887&lt;=35,"26-35",A887&lt;=45,"36-45",A887&lt;=60,"46-60",A887&gt;60,"60+")</f>
        <v>46-60</v>
      </c>
      <c r="J887" t="str" cm="1">
        <f t="array" ref="J887">_xlfn.IFS(C887&lt;18.5,"Underweight",C887&lt;25,"Normal",C887&lt;30,"Overweight",C887&gt;=30,"Obese")</f>
        <v>Obese</v>
      </c>
      <c r="K887" t="str" cm="1">
        <f t="array" ref="K887">_xlfn.IFS(G887&lt;10000, "Low", G887&lt;=25000, "Medium", G887&gt;25000, "High")</f>
        <v>Medium</v>
      </c>
    </row>
    <row r="888" spans="1:11" x14ac:dyDescent="0.3">
      <c r="A888">
        <v>47</v>
      </c>
      <c r="B888" s="1" t="s">
        <v>7</v>
      </c>
      <c r="C888">
        <v>33.11</v>
      </c>
      <c r="D888">
        <v>1</v>
      </c>
      <c r="E888" t="s">
        <v>10</v>
      </c>
      <c r="F888" t="s">
        <v>13</v>
      </c>
      <c r="G888" s="2">
        <v>12648.7034</v>
      </c>
      <c r="H888" t="str" cm="1">
        <f t="array" ref="H888">_xlfn.IFS(A888&lt;=30, "Youth", A888&lt;=50, "Adult", A888&gt;50, "Older")</f>
        <v>Adult</v>
      </c>
      <c r="I888" t="str" cm="1">
        <f t="array" ref="I888">_xlfn.IFS(A888&lt;=25,"18-25",A888&lt;=35,"26-35",A888&lt;=45,"36-45",A888&lt;=60,"46-60",A888&gt;60,"60+")</f>
        <v>46-60</v>
      </c>
      <c r="J888" t="str" cm="1">
        <f t="array" ref="J888">_xlfn.IFS(C888&lt;18.5,"Underweight",C888&lt;25,"Normal",C888&lt;30,"Overweight",C888&gt;=30,"Obese")</f>
        <v>Obese</v>
      </c>
      <c r="K888" t="str" cm="1">
        <f t="array" ref="K888">_xlfn.IFS(G888&lt;10000, "Low", G888&lt;=25000, "Medium", G888&gt;25000, "High")</f>
        <v>Medium</v>
      </c>
    </row>
    <row r="889" spans="1:11" x14ac:dyDescent="0.3">
      <c r="A889">
        <v>47</v>
      </c>
      <c r="B889" s="1" t="s">
        <v>8</v>
      </c>
      <c r="C889">
        <v>33.11</v>
      </c>
      <c r="D889">
        <v>1</v>
      </c>
      <c r="E889" t="s">
        <v>10</v>
      </c>
      <c r="F889" t="s">
        <v>11</v>
      </c>
      <c r="G889" s="2">
        <v>12730.999599999999</v>
      </c>
      <c r="H889" t="str" cm="1">
        <f t="array" ref="H889">_xlfn.IFS(A889&lt;=30, "Youth", A889&lt;=50, "Adult", A889&gt;50, "Older")</f>
        <v>Adult</v>
      </c>
      <c r="I889" t="str" cm="1">
        <f t="array" ref="I889">_xlfn.IFS(A889&lt;=25,"18-25",A889&lt;=35,"26-35",A889&lt;=45,"36-45",A889&lt;=60,"46-60",A889&gt;60,"60+")</f>
        <v>46-60</v>
      </c>
      <c r="J889" t="str" cm="1">
        <f t="array" ref="J889">_xlfn.IFS(C889&lt;18.5,"Underweight",C889&lt;25,"Normal",C889&lt;30,"Overweight",C889&gt;=30,"Obese")</f>
        <v>Obese</v>
      </c>
      <c r="K889" t="str" cm="1">
        <f t="array" ref="K889">_xlfn.IFS(G889&lt;10000, "Low", G889&lt;=25000, "Medium", G889&gt;25000, "High")</f>
        <v>Medium</v>
      </c>
    </row>
    <row r="890" spans="1:11" x14ac:dyDescent="0.3">
      <c r="A890">
        <v>47</v>
      </c>
      <c r="B890" s="1" t="s">
        <v>8</v>
      </c>
      <c r="C890">
        <v>33.11</v>
      </c>
      <c r="D890">
        <v>1</v>
      </c>
      <c r="E890" t="s">
        <v>10</v>
      </c>
      <c r="F890" t="s">
        <v>13</v>
      </c>
      <c r="G890" s="2">
        <v>12741.167450000001</v>
      </c>
      <c r="H890" t="str" cm="1">
        <f t="array" ref="H890">_xlfn.IFS(A890&lt;=30, "Youth", A890&lt;=50, "Adult", A890&gt;50, "Older")</f>
        <v>Adult</v>
      </c>
      <c r="I890" t="str" cm="1">
        <f t="array" ref="I890">_xlfn.IFS(A890&lt;=25,"18-25",A890&lt;=35,"26-35",A890&lt;=45,"36-45",A890&lt;=60,"46-60",A890&gt;60,"60+")</f>
        <v>46-60</v>
      </c>
      <c r="J890" t="str" cm="1">
        <f t="array" ref="J890">_xlfn.IFS(C890&lt;18.5,"Underweight",C890&lt;25,"Normal",C890&lt;30,"Overweight",C890&gt;=30,"Obese")</f>
        <v>Obese</v>
      </c>
      <c r="K890" t="str" cm="1">
        <f t="array" ref="K890">_xlfn.IFS(G890&lt;10000, "Low", G890&lt;=25000, "Medium", G890&gt;25000, "High")</f>
        <v>Medium</v>
      </c>
    </row>
    <row r="891" spans="1:11" x14ac:dyDescent="0.3">
      <c r="A891">
        <v>47</v>
      </c>
      <c r="B891" s="1" t="s">
        <v>7</v>
      </c>
      <c r="C891">
        <v>33.11</v>
      </c>
      <c r="D891">
        <v>1</v>
      </c>
      <c r="E891" t="s">
        <v>9</v>
      </c>
      <c r="F891" t="s">
        <v>13</v>
      </c>
      <c r="G891" s="2">
        <v>12797.20962</v>
      </c>
      <c r="H891" t="str" cm="1">
        <f t="array" ref="H891">_xlfn.IFS(A891&lt;=30, "Youth", A891&lt;=50, "Adult", A891&gt;50, "Older")</f>
        <v>Adult</v>
      </c>
      <c r="I891" t="str" cm="1">
        <f t="array" ref="I891">_xlfn.IFS(A891&lt;=25,"18-25",A891&lt;=35,"26-35",A891&lt;=45,"36-45",A891&lt;=60,"46-60",A891&gt;60,"60+")</f>
        <v>46-60</v>
      </c>
      <c r="J891" t="str" cm="1">
        <f t="array" ref="J891">_xlfn.IFS(C891&lt;18.5,"Underweight",C891&lt;25,"Normal",C891&lt;30,"Overweight",C891&gt;=30,"Obese")</f>
        <v>Obese</v>
      </c>
      <c r="K891" t="str" cm="1">
        <f t="array" ref="K891">_xlfn.IFS(G891&lt;10000, "Low", G891&lt;=25000, "Medium", G891&gt;25000, "High")</f>
        <v>Medium</v>
      </c>
    </row>
    <row r="892" spans="1:11" x14ac:dyDescent="0.3">
      <c r="A892">
        <v>47</v>
      </c>
      <c r="B892" s="1" t="s">
        <v>7</v>
      </c>
      <c r="C892">
        <v>33.155000000000001</v>
      </c>
      <c r="D892">
        <v>1</v>
      </c>
      <c r="E892" t="s">
        <v>10</v>
      </c>
      <c r="F892" t="s">
        <v>12</v>
      </c>
      <c r="G892" s="2">
        <v>12815.444949999999</v>
      </c>
      <c r="H892" t="str" cm="1">
        <f t="array" ref="H892">_xlfn.IFS(A892&lt;=30, "Youth", A892&lt;=50, "Adult", A892&gt;50, "Older")</f>
        <v>Adult</v>
      </c>
      <c r="I892" t="str" cm="1">
        <f t="array" ref="I892">_xlfn.IFS(A892&lt;=25,"18-25",A892&lt;=35,"26-35",A892&lt;=45,"36-45",A892&lt;=60,"46-60",A892&gt;60,"60+")</f>
        <v>46-60</v>
      </c>
      <c r="J892" t="str" cm="1">
        <f t="array" ref="J892">_xlfn.IFS(C892&lt;18.5,"Underweight",C892&lt;25,"Normal",C892&lt;30,"Overweight",C892&gt;=30,"Obese")</f>
        <v>Obese</v>
      </c>
      <c r="K892" t="str" cm="1">
        <f t="array" ref="K892">_xlfn.IFS(G892&lt;10000, "Low", G892&lt;=25000, "Medium", G892&gt;25000, "High")</f>
        <v>Medium</v>
      </c>
    </row>
    <row r="893" spans="1:11" x14ac:dyDescent="0.3">
      <c r="A893">
        <v>47</v>
      </c>
      <c r="B893" s="1" t="s">
        <v>8</v>
      </c>
      <c r="C893">
        <v>33.155000000000001</v>
      </c>
      <c r="D893">
        <v>1</v>
      </c>
      <c r="E893" t="s">
        <v>10</v>
      </c>
      <c r="F893" t="s">
        <v>14</v>
      </c>
      <c r="G893" s="2">
        <v>12829.455099999999</v>
      </c>
      <c r="H893" t="str" cm="1">
        <f t="array" ref="H893">_xlfn.IFS(A893&lt;=30, "Youth", A893&lt;=50, "Adult", A893&gt;50, "Older")</f>
        <v>Adult</v>
      </c>
      <c r="I893" t="str" cm="1">
        <f t="array" ref="I893">_xlfn.IFS(A893&lt;=25,"18-25",A893&lt;=35,"26-35",A893&lt;=45,"36-45",A893&lt;=60,"46-60",A893&gt;60,"60+")</f>
        <v>46-60</v>
      </c>
      <c r="J893" t="str" cm="1">
        <f t="array" ref="J893">_xlfn.IFS(C893&lt;18.5,"Underweight",C893&lt;25,"Normal",C893&lt;30,"Overweight",C893&gt;=30,"Obese")</f>
        <v>Obese</v>
      </c>
      <c r="K893" t="str" cm="1">
        <f t="array" ref="K893">_xlfn.IFS(G893&lt;10000, "Low", G893&lt;=25000, "Medium", G893&gt;25000, "High")</f>
        <v>Medium</v>
      </c>
    </row>
    <row r="894" spans="1:11" x14ac:dyDescent="0.3">
      <c r="A894">
        <v>47</v>
      </c>
      <c r="B894" s="1" t="s">
        <v>8</v>
      </c>
      <c r="C894">
        <v>33.155000000000001</v>
      </c>
      <c r="D894">
        <v>1</v>
      </c>
      <c r="E894" t="s">
        <v>9</v>
      </c>
      <c r="F894" t="s">
        <v>12</v>
      </c>
      <c r="G894" s="2">
        <v>12890.057650000001</v>
      </c>
      <c r="H894" t="str" cm="1">
        <f t="array" ref="H894">_xlfn.IFS(A894&lt;=30, "Youth", A894&lt;=50, "Adult", A894&gt;50, "Older")</f>
        <v>Adult</v>
      </c>
      <c r="I894" t="str" cm="1">
        <f t="array" ref="I894">_xlfn.IFS(A894&lt;=25,"18-25",A894&lt;=35,"26-35",A894&lt;=45,"36-45",A894&lt;=60,"46-60",A894&gt;60,"60+")</f>
        <v>46-60</v>
      </c>
      <c r="J894" t="str" cm="1">
        <f t="array" ref="J894">_xlfn.IFS(C894&lt;18.5,"Underweight",C894&lt;25,"Normal",C894&lt;30,"Overweight",C894&gt;=30,"Obese")</f>
        <v>Obese</v>
      </c>
      <c r="K894" t="str" cm="1">
        <f t="array" ref="K894">_xlfn.IFS(G894&lt;10000, "Low", G894&lt;=25000, "Medium", G894&gt;25000, "High")</f>
        <v>Medium</v>
      </c>
    </row>
    <row r="895" spans="1:11" x14ac:dyDescent="0.3">
      <c r="A895">
        <v>47</v>
      </c>
      <c r="B895" s="1" t="s">
        <v>8</v>
      </c>
      <c r="C895">
        <v>33.155000000000001</v>
      </c>
      <c r="D895">
        <v>1</v>
      </c>
      <c r="E895" t="s">
        <v>10</v>
      </c>
      <c r="F895" t="s">
        <v>14</v>
      </c>
      <c r="G895" s="2">
        <v>12913.992399999999</v>
      </c>
      <c r="H895" t="str" cm="1">
        <f t="array" ref="H895">_xlfn.IFS(A895&lt;=30, "Youth", A895&lt;=50, "Adult", A895&gt;50, "Older")</f>
        <v>Adult</v>
      </c>
      <c r="I895" t="str" cm="1">
        <f t="array" ref="I895">_xlfn.IFS(A895&lt;=25,"18-25",A895&lt;=35,"26-35",A895&lt;=45,"36-45",A895&lt;=60,"46-60",A895&gt;60,"60+")</f>
        <v>46-60</v>
      </c>
      <c r="J895" t="str" cm="1">
        <f t="array" ref="J895">_xlfn.IFS(C895&lt;18.5,"Underweight",C895&lt;25,"Normal",C895&lt;30,"Overweight",C895&gt;=30,"Obese")</f>
        <v>Obese</v>
      </c>
      <c r="K895" t="str" cm="1">
        <f t="array" ref="K895">_xlfn.IFS(G895&lt;10000, "Low", G895&lt;=25000, "Medium", G895&gt;25000, "High")</f>
        <v>Medium</v>
      </c>
    </row>
    <row r="896" spans="1:11" x14ac:dyDescent="0.3">
      <c r="A896">
        <v>47</v>
      </c>
      <c r="B896" s="1" t="s">
        <v>7</v>
      </c>
      <c r="C896">
        <v>33.155000000000001</v>
      </c>
      <c r="D896">
        <v>1</v>
      </c>
      <c r="E896" t="s">
        <v>10</v>
      </c>
      <c r="F896" t="s">
        <v>11</v>
      </c>
      <c r="G896" s="2">
        <v>12925.886</v>
      </c>
      <c r="H896" t="str" cm="1">
        <f t="array" ref="H896">_xlfn.IFS(A896&lt;=30, "Youth", A896&lt;=50, "Adult", A896&gt;50, "Older")</f>
        <v>Adult</v>
      </c>
      <c r="I896" t="str" cm="1">
        <f t="array" ref="I896">_xlfn.IFS(A896&lt;=25,"18-25",A896&lt;=35,"26-35",A896&lt;=45,"36-45",A896&lt;=60,"46-60",A896&gt;60,"60+")</f>
        <v>46-60</v>
      </c>
      <c r="J896" t="str" cm="1">
        <f t="array" ref="J896">_xlfn.IFS(C896&lt;18.5,"Underweight",C896&lt;25,"Normal",C896&lt;30,"Overweight",C896&gt;=30,"Obese")</f>
        <v>Obese</v>
      </c>
      <c r="K896" t="str" cm="1">
        <f t="array" ref="K896">_xlfn.IFS(G896&lt;10000, "Low", G896&lt;=25000, "Medium", G896&gt;25000, "High")</f>
        <v>Medium</v>
      </c>
    </row>
    <row r="897" spans="1:11" x14ac:dyDescent="0.3">
      <c r="A897">
        <v>48</v>
      </c>
      <c r="B897" s="1" t="s">
        <v>7</v>
      </c>
      <c r="C897">
        <v>33.200000000000003</v>
      </c>
      <c r="D897">
        <v>1</v>
      </c>
      <c r="E897" t="s">
        <v>9</v>
      </c>
      <c r="F897" t="s">
        <v>14</v>
      </c>
      <c r="G897" s="2">
        <v>12928.7911</v>
      </c>
      <c r="H897" t="str" cm="1">
        <f t="array" ref="H897">_xlfn.IFS(A897&lt;=30, "Youth", A897&lt;=50, "Adult", A897&gt;50, "Older")</f>
        <v>Adult</v>
      </c>
      <c r="I897" t="str" cm="1">
        <f t="array" ref="I897">_xlfn.IFS(A897&lt;=25,"18-25",A897&lt;=35,"26-35",A897&lt;=45,"36-45",A897&lt;=60,"46-60",A897&gt;60,"60+")</f>
        <v>46-60</v>
      </c>
      <c r="J897" t="str" cm="1">
        <f t="array" ref="J897">_xlfn.IFS(C897&lt;18.5,"Underweight",C897&lt;25,"Normal",C897&lt;30,"Overweight",C897&gt;=30,"Obese")</f>
        <v>Obese</v>
      </c>
      <c r="K897" t="str" cm="1">
        <f t="array" ref="K897">_xlfn.IFS(G897&lt;10000, "Low", G897&lt;=25000, "Medium", G897&gt;25000, "High")</f>
        <v>Medium</v>
      </c>
    </row>
    <row r="898" spans="1:11" x14ac:dyDescent="0.3">
      <c r="A898">
        <v>48</v>
      </c>
      <c r="B898" s="1" t="s">
        <v>8</v>
      </c>
      <c r="C898">
        <v>33.25</v>
      </c>
      <c r="D898">
        <v>1</v>
      </c>
      <c r="E898" t="s">
        <v>10</v>
      </c>
      <c r="F898" t="s">
        <v>13</v>
      </c>
      <c r="G898" s="2">
        <v>12949.1554</v>
      </c>
      <c r="H898" t="str" cm="1">
        <f t="array" ref="H898">_xlfn.IFS(A898&lt;=30, "Youth", A898&lt;=50, "Adult", A898&gt;50, "Older")</f>
        <v>Adult</v>
      </c>
      <c r="I898" t="str" cm="1">
        <f t="array" ref="I898">_xlfn.IFS(A898&lt;=25,"18-25",A898&lt;=35,"26-35",A898&lt;=45,"36-45",A898&lt;=60,"46-60",A898&gt;60,"60+")</f>
        <v>46-60</v>
      </c>
      <c r="J898" t="str" cm="1">
        <f t="array" ref="J898">_xlfn.IFS(C898&lt;18.5,"Underweight",C898&lt;25,"Normal",C898&lt;30,"Overweight",C898&gt;=30,"Obese")</f>
        <v>Obese</v>
      </c>
      <c r="K898" t="str" cm="1">
        <f t="array" ref="K898">_xlfn.IFS(G898&lt;10000, "Low", G898&lt;=25000, "Medium", G898&gt;25000, "High")</f>
        <v>Medium</v>
      </c>
    </row>
    <row r="899" spans="1:11" x14ac:dyDescent="0.3">
      <c r="A899">
        <v>48</v>
      </c>
      <c r="B899" s="1" t="s">
        <v>7</v>
      </c>
      <c r="C899">
        <v>33.25</v>
      </c>
      <c r="D899">
        <v>2</v>
      </c>
      <c r="E899" t="s">
        <v>10</v>
      </c>
      <c r="F899" t="s">
        <v>12</v>
      </c>
      <c r="G899" s="2">
        <v>12950.0712</v>
      </c>
      <c r="H899" t="str" cm="1">
        <f t="array" ref="H899">_xlfn.IFS(A899&lt;=30, "Youth", A899&lt;=50, "Adult", A899&gt;50, "Older")</f>
        <v>Adult</v>
      </c>
      <c r="I899" t="str" cm="1">
        <f t="array" ref="I899">_xlfn.IFS(A899&lt;=25,"18-25",A899&lt;=35,"26-35",A899&lt;=45,"36-45",A899&lt;=60,"46-60",A899&gt;60,"60+")</f>
        <v>46-60</v>
      </c>
      <c r="J899" t="str" cm="1">
        <f t="array" ref="J899">_xlfn.IFS(C899&lt;18.5,"Underweight",C899&lt;25,"Normal",C899&lt;30,"Overweight",C899&gt;=30,"Obese")</f>
        <v>Obese</v>
      </c>
      <c r="K899" t="str" cm="1">
        <f t="array" ref="K899">_xlfn.IFS(G899&lt;10000, "Low", G899&lt;=25000, "Medium", G899&gt;25000, "High")</f>
        <v>Medium</v>
      </c>
    </row>
    <row r="900" spans="1:11" x14ac:dyDescent="0.3">
      <c r="A900">
        <v>48</v>
      </c>
      <c r="B900" s="1" t="s">
        <v>7</v>
      </c>
      <c r="C900">
        <v>33.25</v>
      </c>
      <c r="D900">
        <v>2</v>
      </c>
      <c r="E900" t="s">
        <v>10</v>
      </c>
      <c r="F900" t="s">
        <v>13</v>
      </c>
      <c r="G900" s="2">
        <v>12957.118</v>
      </c>
      <c r="H900" t="str" cm="1">
        <f t="array" ref="H900">_xlfn.IFS(A900&lt;=30, "Youth", A900&lt;=50, "Adult", A900&gt;50, "Older")</f>
        <v>Adult</v>
      </c>
      <c r="I900" t="str" cm="1">
        <f t="array" ref="I900">_xlfn.IFS(A900&lt;=25,"18-25",A900&lt;=35,"26-35",A900&lt;=45,"36-45",A900&lt;=60,"46-60",A900&gt;60,"60+")</f>
        <v>46-60</v>
      </c>
      <c r="J900" t="str" cm="1">
        <f t="array" ref="J900">_xlfn.IFS(C900&lt;18.5,"Underweight",C900&lt;25,"Normal",C900&lt;30,"Overweight",C900&gt;=30,"Obese")</f>
        <v>Obese</v>
      </c>
      <c r="K900" t="str" cm="1">
        <f t="array" ref="K900">_xlfn.IFS(G900&lt;10000, "Low", G900&lt;=25000, "Medium", G900&gt;25000, "High")</f>
        <v>Medium</v>
      </c>
    </row>
    <row r="901" spans="1:11" x14ac:dyDescent="0.3">
      <c r="A901">
        <v>48</v>
      </c>
      <c r="B901" s="1" t="s">
        <v>8</v>
      </c>
      <c r="C901">
        <v>33.299999999999997</v>
      </c>
      <c r="D901">
        <v>2</v>
      </c>
      <c r="E901" t="s">
        <v>10</v>
      </c>
      <c r="F901" t="s">
        <v>14</v>
      </c>
      <c r="G901" s="2">
        <v>12979.358</v>
      </c>
      <c r="H901" t="str" cm="1">
        <f t="array" ref="H901">_xlfn.IFS(A901&lt;=30, "Youth", A901&lt;=50, "Adult", A901&gt;50, "Older")</f>
        <v>Adult</v>
      </c>
      <c r="I901" t="str" cm="1">
        <f t="array" ref="I901">_xlfn.IFS(A901&lt;=25,"18-25",A901&lt;=35,"26-35",A901&lt;=45,"36-45",A901&lt;=60,"46-60",A901&gt;60,"60+")</f>
        <v>46-60</v>
      </c>
      <c r="J901" t="str" cm="1">
        <f t="array" ref="J901">_xlfn.IFS(C901&lt;18.5,"Underweight",C901&lt;25,"Normal",C901&lt;30,"Overweight",C901&gt;=30,"Obese")</f>
        <v>Obese</v>
      </c>
      <c r="K901" t="str" cm="1">
        <f t="array" ref="K901">_xlfn.IFS(G901&lt;10000, "Low", G901&lt;=25000, "Medium", G901&gt;25000, "High")</f>
        <v>Medium</v>
      </c>
    </row>
    <row r="902" spans="1:11" x14ac:dyDescent="0.3">
      <c r="A902">
        <v>48</v>
      </c>
      <c r="B902" s="1" t="s">
        <v>8</v>
      </c>
      <c r="C902">
        <v>33.299999999999997</v>
      </c>
      <c r="D902">
        <v>2</v>
      </c>
      <c r="E902" t="s">
        <v>9</v>
      </c>
      <c r="F902" t="s">
        <v>12</v>
      </c>
      <c r="G902" s="2">
        <v>12981.3457</v>
      </c>
      <c r="H902" t="str" cm="1">
        <f t="array" ref="H902">_xlfn.IFS(A902&lt;=30, "Youth", A902&lt;=50, "Adult", A902&gt;50, "Older")</f>
        <v>Adult</v>
      </c>
      <c r="I902" t="str" cm="1">
        <f t="array" ref="I902">_xlfn.IFS(A902&lt;=25,"18-25",A902&lt;=35,"26-35",A902&lt;=45,"36-45",A902&lt;=60,"46-60",A902&gt;60,"60+")</f>
        <v>46-60</v>
      </c>
      <c r="J902" t="str" cm="1">
        <f t="array" ref="J902">_xlfn.IFS(C902&lt;18.5,"Underweight",C902&lt;25,"Normal",C902&lt;30,"Overweight",C902&gt;=30,"Obese")</f>
        <v>Obese</v>
      </c>
      <c r="K902" t="str" cm="1">
        <f t="array" ref="K902">_xlfn.IFS(G902&lt;10000, "Low", G902&lt;=25000, "Medium", G902&gt;25000, "High")</f>
        <v>Medium</v>
      </c>
    </row>
    <row r="903" spans="1:11" x14ac:dyDescent="0.3">
      <c r="A903">
        <v>48</v>
      </c>
      <c r="B903" s="1" t="s">
        <v>8</v>
      </c>
      <c r="C903">
        <v>33.33</v>
      </c>
      <c r="D903">
        <v>2</v>
      </c>
      <c r="E903" t="s">
        <v>10</v>
      </c>
      <c r="F903" t="s">
        <v>14</v>
      </c>
      <c r="G903" s="2">
        <v>12982.8747</v>
      </c>
      <c r="H903" t="str" cm="1">
        <f t="array" ref="H903">_xlfn.IFS(A903&lt;=30, "Youth", A903&lt;=50, "Adult", A903&gt;50, "Older")</f>
        <v>Adult</v>
      </c>
      <c r="I903" t="str" cm="1">
        <f t="array" ref="I903">_xlfn.IFS(A903&lt;=25,"18-25",A903&lt;=35,"26-35",A903&lt;=45,"36-45",A903&lt;=60,"46-60",A903&gt;60,"60+")</f>
        <v>46-60</v>
      </c>
      <c r="J903" t="str" cm="1">
        <f t="array" ref="J903">_xlfn.IFS(C903&lt;18.5,"Underweight",C903&lt;25,"Normal",C903&lt;30,"Overweight",C903&gt;=30,"Obese")</f>
        <v>Obese</v>
      </c>
      <c r="K903" t="str" cm="1">
        <f t="array" ref="K903">_xlfn.IFS(G903&lt;10000, "Low", G903&lt;=25000, "Medium", G903&gt;25000, "High")</f>
        <v>Medium</v>
      </c>
    </row>
    <row r="904" spans="1:11" x14ac:dyDescent="0.3">
      <c r="A904">
        <v>48</v>
      </c>
      <c r="B904" s="1" t="s">
        <v>8</v>
      </c>
      <c r="C904">
        <v>33.33</v>
      </c>
      <c r="D904">
        <v>2</v>
      </c>
      <c r="E904" t="s">
        <v>10</v>
      </c>
      <c r="F904" t="s">
        <v>12</v>
      </c>
      <c r="G904" s="2">
        <v>13012.20865</v>
      </c>
      <c r="H904" t="str" cm="1">
        <f t="array" ref="H904">_xlfn.IFS(A904&lt;=30, "Youth", A904&lt;=50, "Adult", A904&gt;50, "Older")</f>
        <v>Adult</v>
      </c>
      <c r="I904" t="str" cm="1">
        <f t="array" ref="I904">_xlfn.IFS(A904&lt;=25,"18-25",A904&lt;=35,"26-35",A904&lt;=45,"36-45",A904&lt;=60,"46-60",A904&gt;60,"60+")</f>
        <v>46-60</v>
      </c>
      <c r="J904" t="str" cm="1">
        <f t="array" ref="J904">_xlfn.IFS(C904&lt;18.5,"Underweight",C904&lt;25,"Normal",C904&lt;30,"Overweight",C904&gt;=30,"Obese")</f>
        <v>Obese</v>
      </c>
      <c r="K904" t="str" cm="1">
        <f t="array" ref="K904">_xlfn.IFS(G904&lt;10000, "Low", G904&lt;=25000, "Medium", G904&gt;25000, "High")</f>
        <v>Medium</v>
      </c>
    </row>
    <row r="905" spans="1:11" x14ac:dyDescent="0.3">
      <c r="A905">
        <v>48</v>
      </c>
      <c r="B905" s="1" t="s">
        <v>7</v>
      </c>
      <c r="C905">
        <v>33.33</v>
      </c>
      <c r="D905">
        <v>2</v>
      </c>
      <c r="E905" t="s">
        <v>10</v>
      </c>
      <c r="F905" t="s">
        <v>11</v>
      </c>
      <c r="G905" s="2">
        <v>13019.161050000001</v>
      </c>
      <c r="H905" t="str" cm="1">
        <f t="array" ref="H905">_xlfn.IFS(A905&lt;=30, "Youth", A905&lt;=50, "Adult", A905&gt;50, "Older")</f>
        <v>Adult</v>
      </c>
      <c r="I905" t="str" cm="1">
        <f t="array" ref="I905">_xlfn.IFS(A905&lt;=25,"18-25",A905&lt;=35,"26-35",A905&lt;=45,"36-45",A905&lt;=60,"46-60",A905&gt;60,"60+")</f>
        <v>46-60</v>
      </c>
      <c r="J905" t="str" cm="1">
        <f t="array" ref="J905">_xlfn.IFS(C905&lt;18.5,"Underweight",C905&lt;25,"Normal",C905&lt;30,"Overweight",C905&gt;=30,"Obese")</f>
        <v>Obese</v>
      </c>
      <c r="K905" t="str" cm="1">
        <f t="array" ref="K905">_xlfn.IFS(G905&lt;10000, "Low", G905&lt;=25000, "Medium", G905&gt;25000, "High")</f>
        <v>Medium</v>
      </c>
    </row>
    <row r="906" spans="1:11" x14ac:dyDescent="0.3">
      <c r="A906">
        <v>48</v>
      </c>
      <c r="B906" s="1" t="s">
        <v>7</v>
      </c>
      <c r="C906">
        <v>33.33</v>
      </c>
      <c r="D906">
        <v>2</v>
      </c>
      <c r="E906" t="s">
        <v>10</v>
      </c>
      <c r="F906" t="s">
        <v>14</v>
      </c>
      <c r="G906" s="2">
        <v>13041.921</v>
      </c>
      <c r="H906" t="str" cm="1">
        <f t="array" ref="H906">_xlfn.IFS(A906&lt;=30, "Youth", A906&lt;=50, "Adult", A906&gt;50, "Older")</f>
        <v>Adult</v>
      </c>
      <c r="I906" t="str" cm="1">
        <f t="array" ref="I906">_xlfn.IFS(A906&lt;=25,"18-25",A906&lt;=35,"26-35",A906&lt;=45,"36-45",A906&lt;=60,"46-60",A906&gt;60,"60+")</f>
        <v>46-60</v>
      </c>
      <c r="J906" t="str" cm="1">
        <f t="array" ref="J906">_xlfn.IFS(C906&lt;18.5,"Underweight",C906&lt;25,"Normal",C906&lt;30,"Overweight",C906&gt;=30,"Obese")</f>
        <v>Obese</v>
      </c>
      <c r="K906" t="str" cm="1">
        <f t="array" ref="K906">_xlfn.IFS(G906&lt;10000, "Low", G906&lt;=25000, "Medium", G906&gt;25000, "High")</f>
        <v>Medium</v>
      </c>
    </row>
    <row r="907" spans="1:11" x14ac:dyDescent="0.3">
      <c r="A907">
        <v>48</v>
      </c>
      <c r="B907" s="1" t="s">
        <v>8</v>
      </c>
      <c r="C907">
        <v>33.33</v>
      </c>
      <c r="D907">
        <v>2</v>
      </c>
      <c r="E907" t="s">
        <v>10</v>
      </c>
      <c r="F907" t="s">
        <v>14</v>
      </c>
      <c r="G907" s="2">
        <v>13047.332350000001</v>
      </c>
      <c r="H907" t="str" cm="1">
        <f t="array" ref="H907">_xlfn.IFS(A907&lt;=30, "Youth", A907&lt;=50, "Adult", A907&gt;50, "Older")</f>
        <v>Adult</v>
      </c>
      <c r="I907" t="str" cm="1">
        <f t="array" ref="I907">_xlfn.IFS(A907&lt;=25,"18-25",A907&lt;=35,"26-35",A907&lt;=45,"36-45",A907&lt;=60,"46-60",A907&gt;60,"60+")</f>
        <v>46-60</v>
      </c>
      <c r="J907" t="str" cm="1">
        <f t="array" ref="J907">_xlfn.IFS(C907&lt;18.5,"Underweight",C907&lt;25,"Normal",C907&lt;30,"Overweight",C907&gt;=30,"Obese")</f>
        <v>Obese</v>
      </c>
      <c r="K907" t="str" cm="1">
        <f t="array" ref="K907">_xlfn.IFS(G907&lt;10000, "Low", G907&lt;=25000, "Medium", G907&gt;25000, "High")</f>
        <v>Medium</v>
      </c>
    </row>
    <row r="908" spans="1:11" x14ac:dyDescent="0.3">
      <c r="A908">
        <v>48</v>
      </c>
      <c r="B908" s="1" t="s">
        <v>7</v>
      </c>
      <c r="C908">
        <v>33.33</v>
      </c>
      <c r="D908">
        <v>2</v>
      </c>
      <c r="E908" t="s">
        <v>10</v>
      </c>
      <c r="F908" t="s">
        <v>12</v>
      </c>
      <c r="G908" s="2">
        <v>13063.883</v>
      </c>
      <c r="H908" t="str" cm="1">
        <f t="array" ref="H908">_xlfn.IFS(A908&lt;=30, "Youth", A908&lt;=50, "Adult", A908&gt;50, "Older")</f>
        <v>Adult</v>
      </c>
      <c r="I908" t="str" cm="1">
        <f t="array" ref="I908">_xlfn.IFS(A908&lt;=25,"18-25",A908&lt;=35,"26-35",A908&lt;=45,"36-45",A908&lt;=60,"46-60",A908&gt;60,"60+")</f>
        <v>46-60</v>
      </c>
      <c r="J908" t="str" cm="1">
        <f t="array" ref="J908">_xlfn.IFS(C908&lt;18.5,"Underweight",C908&lt;25,"Normal",C908&lt;30,"Overweight",C908&gt;=30,"Obese")</f>
        <v>Obese</v>
      </c>
      <c r="K908" t="str" cm="1">
        <f t="array" ref="K908">_xlfn.IFS(G908&lt;10000, "Low", G908&lt;=25000, "Medium", G908&gt;25000, "High")</f>
        <v>Medium</v>
      </c>
    </row>
    <row r="909" spans="1:11" x14ac:dyDescent="0.3">
      <c r="A909">
        <v>48</v>
      </c>
      <c r="B909" s="1" t="s">
        <v>8</v>
      </c>
      <c r="C909">
        <v>33.33</v>
      </c>
      <c r="D909">
        <v>2</v>
      </c>
      <c r="E909" t="s">
        <v>10</v>
      </c>
      <c r="F909" t="s">
        <v>11</v>
      </c>
      <c r="G909" s="2">
        <v>13112.604799999999</v>
      </c>
      <c r="H909" t="str" cm="1">
        <f t="array" ref="H909">_xlfn.IFS(A909&lt;=30, "Youth", A909&lt;=50, "Adult", A909&gt;50, "Older")</f>
        <v>Adult</v>
      </c>
      <c r="I909" t="str" cm="1">
        <f t="array" ref="I909">_xlfn.IFS(A909&lt;=25,"18-25",A909&lt;=35,"26-35",A909&lt;=45,"36-45",A909&lt;=60,"46-60",A909&gt;60,"60+")</f>
        <v>46-60</v>
      </c>
      <c r="J909" t="str" cm="1">
        <f t="array" ref="J909">_xlfn.IFS(C909&lt;18.5,"Underweight",C909&lt;25,"Normal",C909&lt;30,"Overweight",C909&gt;=30,"Obese")</f>
        <v>Obese</v>
      </c>
      <c r="K909" t="str" cm="1">
        <f t="array" ref="K909">_xlfn.IFS(G909&lt;10000, "Low", G909&lt;=25000, "Medium", G909&gt;25000, "High")</f>
        <v>Medium</v>
      </c>
    </row>
    <row r="910" spans="1:11" x14ac:dyDescent="0.3">
      <c r="A910">
        <v>48</v>
      </c>
      <c r="B910" s="1" t="s">
        <v>7</v>
      </c>
      <c r="C910">
        <v>33.344999999999999</v>
      </c>
      <c r="D910">
        <v>2</v>
      </c>
      <c r="E910" t="s">
        <v>9</v>
      </c>
      <c r="F910" t="s">
        <v>11</v>
      </c>
      <c r="G910" s="2">
        <v>13126.677449999999</v>
      </c>
      <c r="H910" t="str" cm="1">
        <f t="array" ref="H910">_xlfn.IFS(A910&lt;=30, "Youth", A910&lt;=50, "Adult", A910&gt;50, "Older")</f>
        <v>Adult</v>
      </c>
      <c r="I910" t="str" cm="1">
        <f t="array" ref="I910">_xlfn.IFS(A910&lt;=25,"18-25",A910&lt;=35,"26-35",A910&lt;=45,"36-45",A910&lt;=60,"46-60",A910&gt;60,"60+")</f>
        <v>46-60</v>
      </c>
      <c r="J910" t="str" cm="1">
        <f t="array" ref="J910">_xlfn.IFS(C910&lt;18.5,"Underweight",C910&lt;25,"Normal",C910&lt;30,"Overweight",C910&gt;=30,"Obese")</f>
        <v>Obese</v>
      </c>
      <c r="K910" t="str" cm="1">
        <f t="array" ref="K910">_xlfn.IFS(G910&lt;10000, "Low", G910&lt;=25000, "Medium", G910&gt;25000, "High")</f>
        <v>Medium</v>
      </c>
    </row>
    <row r="911" spans="1:11" x14ac:dyDescent="0.3">
      <c r="A911">
        <v>48</v>
      </c>
      <c r="B911" s="1" t="s">
        <v>8</v>
      </c>
      <c r="C911">
        <v>33.344999999999999</v>
      </c>
      <c r="D911">
        <v>2</v>
      </c>
      <c r="E911" t="s">
        <v>10</v>
      </c>
      <c r="F911" t="s">
        <v>13</v>
      </c>
      <c r="G911" s="2">
        <v>13129.603450000001</v>
      </c>
      <c r="H911" t="str" cm="1">
        <f t="array" ref="H911">_xlfn.IFS(A911&lt;=30, "Youth", A911&lt;=50, "Adult", A911&gt;50, "Older")</f>
        <v>Adult</v>
      </c>
      <c r="I911" t="str" cm="1">
        <f t="array" ref="I911">_xlfn.IFS(A911&lt;=25,"18-25",A911&lt;=35,"26-35",A911&lt;=45,"36-45",A911&lt;=60,"46-60",A911&gt;60,"60+")</f>
        <v>46-60</v>
      </c>
      <c r="J911" t="str" cm="1">
        <f t="array" ref="J911">_xlfn.IFS(C911&lt;18.5,"Underweight",C911&lt;25,"Normal",C911&lt;30,"Overweight",C911&gt;=30,"Obese")</f>
        <v>Obese</v>
      </c>
      <c r="K911" t="str" cm="1">
        <f t="array" ref="K911">_xlfn.IFS(G911&lt;10000, "Low", G911&lt;=25000, "Medium", G911&gt;25000, "High")</f>
        <v>Medium</v>
      </c>
    </row>
    <row r="912" spans="1:11" x14ac:dyDescent="0.3">
      <c r="A912">
        <v>48</v>
      </c>
      <c r="B912" s="1" t="s">
        <v>8</v>
      </c>
      <c r="C912">
        <v>33.344999999999999</v>
      </c>
      <c r="D912">
        <v>2</v>
      </c>
      <c r="E912" t="s">
        <v>9</v>
      </c>
      <c r="F912" t="s">
        <v>14</v>
      </c>
      <c r="G912" s="2">
        <v>13143.336649999999</v>
      </c>
      <c r="H912" t="str" cm="1">
        <f t="array" ref="H912">_xlfn.IFS(A912&lt;=30, "Youth", A912&lt;=50, "Adult", A912&gt;50, "Older")</f>
        <v>Adult</v>
      </c>
      <c r="I912" t="str" cm="1">
        <f t="array" ref="I912">_xlfn.IFS(A912&lt;=25,"18-25",A912&lt;=35,"26-35",A912&lt;=45,"36-45",A912&lt;=60,"46-60",A912&gt;60,"60+")</f>
        <v>46-60</v>
      </c>
      <c r="J912" t="str" cm="1">
        <f t="array" ref="J912">_xlfn.IFS(C912&lt;18.5,"Underweight",C912&lt;25,"Normal",C912&lt;30,"Overweight",C912&gt;=30,"Obese")</f>
        <v>Obese</v>
      </c>
      <c r="K912" t="str" cm="1">
        <f t="array" ref="K912">_xlfn.IFS(G912&lt;10000, "Low", G912&lt;=25000, "Medium", G912&gt;25000, "High")</f>
        <v>Medium</v>
      </c>
    </row>
    <row r="913" spans="1:11" x14ac:dyDescent="0.3">
      <c r="A913">
        <v>48</v>
      </c>
      <c r="B913" s="1" t="s">
        <v>7</v>
      </c>
      <c r="C913">
        <v>33.344999999999999</v>
      </c>
      <c r="D913">
        <v>2</v>
      </c>
      <c r="E913" t="s">
        <v>10</v>
      </c>
      <c r="F913" t="s">
        <v>13</v>
      </c>
      <c r="G913" s="2">
        <v>13143.86485</v>
      </c>
      <c r="H913" t="str" cm="1">
        <f t="array" ref="H913">_xlfn.IFS(A913&lt;=30, "Youth", A913&lt;=50, "Adult", A913&gt;50, "Older")</f>
        <v>Adult</v>
      </c>
      <c r="I913" t="str" cm="1">
        <f t="array" ref="I913">_xlfn.IFS(A913&lt;=25,"18-25",A913&lt;=35,"26-35",A913&lt;=45,"36-45",A913&lt;=60,"46-60",A913&gt;60,"60+")</f>
        <v>46-60</v>
      </c>
      <c r="J913" t="str" cm="1">
        <f t="array" ref="J913">_xlfn.IFS(C913&lt;18.5,"Underweight",C913&lt;25,"Normal",C913&lt;30,"Overweight",C913&gt;=30,"Obese")</f>
        <v>Obese</v>
      </c>
      <c r="K913" t="str" cm="1">
        <f t="array" ref="K913">_xlfn.IFS(G913&lt;10000, "Low", G913&lt;=25000, "Medium", G913&gt;25000, "High")</f>
        <v>Medium</v>
      </c>
    </row>
    <row r="914" spans="1:11" x14ac:dyDescent="0.3">
      <c r="A914">
        <v>48</v>
      </c>
      <c r="B914" s="1" t="s">
        <v>7</v>
      </c>
      <c r="C914">
        <v>33.344999999999999</v>
      </c>
      <c r="D914">
        <v>2</v>
      </c>
      <c r="E914" t="s">
        <v>10</v>
      </c>
      <c r="F914" t="s">
        <v>11</v>
      </c>
      <c r="G914" s="2">
        <v>13204.28565</v>
      </c>
      <c r="H914" t="str" cm="1">
        <f t="array" ref="H914">_xlfn.IFS(A914&lt;=30, "Youth", A914&lt;=50, "Adult", A914&gt;50, "Older")</f>
        <v>Adult</v>
      </c>
      <c r="I914" t="str" cm="1">
        <f t="array" ref="I914">_xlfn.IFS(A914&lt;=25,"18-25",A914&lt;=35,"26-35",A914&lt;=45,"36-45",A914&lt;=60,"46-60",A914&gt;60,"60+")</f>
        <v>46-60</v>
      </c>
      <c r="J914" t="str" cm="1">
        <f t="array" ref="J914">_xlfn.IFS(C914&lt;18.5,"Underweight",C914&lt;25,"Normal",C914&lt;30,"Overweight",C914&gt;=30,"Obese")</f>
        <v>Obese</v>
      </c>
      <c r="K914" t="str" cm="1">
        <f t="array" ref="K914">_xlfn.IFS(G914&lt;10000, "Low", G914&lt;=25000, "Medium", G914&gt;25000, "High")</f>
        <v>Medium</v>
      </c>
    </row>
    <row r="915" spans="1:11" x14ac:dyDescent="0.3">
      <c r="A915">
        <v>48</v>
      </c>
      <c r="B915" s="1" t="s">
        <v>8</v>
      </c>
      <c r="C915">
        <v>33.4</v>
      </c>
      <c r="D915">
        <v>2</v>
      </c>
      <c r="E915" t="s">
        <v>10</v>
      </c>
      <c r="F915" t="s">
        <v>13</v>
      </c>
      <c r="G915" s="2">
        <v>13217.094499999999</v>
      </c>
      <c r="H915" t="str" cm="1">
        <f t="array" ref="H915">_xlfn.IFS(A915&lt;=30, "Youth", A915&lt;=50, "Adult", A915&gt;50, "Older")</f>
        <v>Adult</v>
      </c>
      <c r="I915" t="str" cm="1">
        <f t="array" ref="I915">_xlfn.IFS(A915&lt;=25,"18-25",A915&lt;=35,"26-35",A915&lt;=45,"36-45",A915&lt;=60,"46-60",A915&gt;60,"60+")</f>
        <v>46-60</v>
      </c>
      <c r="J915" t="str" cm="1">
        <f t="array" ref="J915">_xlfn.IFS(C915&lt;18.5,"Underweight",C915&lt;25,"Normal",C915&lt;30,"Overweight",C915&gt;=30,"Obese")</f>
        <v>Obese</v>
      </c>
      <c r="K915" t="str" cm="1">
        <f t="array" ref="K915">_xlfn.IFS(G915&lt;10000, "Low", G915&lt;=25000, "Medium", G915&gt;25000, "High")</f>
        <v>Medium</v>
      </c>
    </row>
    <row r="916" spans="1:11" x14ac:dyDescent="0.3">
      <c r="A916">
        <v>48</v>
      </c>
      <c r="B916" s="1" t="s">
        <v>7</v>
      </c>
      <c r="C916">
        <v>33.4</v>
      </c>
      <c r="D916">
        <v>2</v>
      </c>
      <c r="E916" t="s">
        <v>10</v>
      </c>
      <c r="F916" t="s">
        <v>12</v>
      </c>
      <c r="G916" s="2">
        <v>13224.057049999999</v>
      </c>
      <c r="H916" t="str" cm="1">
        <f t="array" ref="H916">_xlfn.IFS(A916&lt;=30, "Youth", A916&lt;=50, "Adult", A916&gt;50, "Older")</f>
        <v>Adult</v>
      </c>
      <c r="I916" t="str" cm="1">
        <f t="array" ref="I916">_xlfn.IFS(A916&lt;=25,"18-25",A916&lt;=35,"26-35",A916&lt;=45,"36-45",A916&lt;=60,"46-60",A916&gt;60,"60+")</f>
        <v>46-60</v>
      </c>
      <c r="J916" t="str" cm="1">
        <f t="array" ref="J916">_xlfn.IFS(C916&lt;18.5,"Underweight",C916&lt;25,"Normal",C916&lt;30,"Overweight",C916&gt;=30,"Obese")</f>
        <v>Obese</v>
      </c>
      <c r="K916" t="str" cm="1">
        <f t="array" ref="K916">_xlfn.IFS(G916&lt;10000, "Low", G916&lt;=25000, "Medium", G916&gt;25000, "High")</f>
        <v>Medium</v>
      </c>
    </row>
    <row r="917" spans="1:11" x14ac:dyDescent="0.3">
      <c r="A917">
        <v>48</v>
      </c>
      <c r="B917" s="1" t="s">
        <v>7</v>
      </c>
      <c r="C917">
        <v>33.4</v>
      </c>
      <c r="D917">
        <v>2</v>
      </c>
      <c r="E917" t="s">
        <v>9</v>
      </c>
      <c r="F917" t="s">
        <v>13</v>
      </c>
      <c r="G917" s="2">
        <v>13224.692999999999</v>
      </c>
      <c r="H917" t="str" cm="1">
        <f t="array" ref="H917">_xlfn.IFS(A917&lt;=30, "Youth", A917&lt;=50, "Adult", A917&gt;50, "Older")</f>
        <v>Adult</v>
      </c>
      <c r="I917" t="str" cm="1">
        <f t="array" ref="I917">_xlfn.IFS(A917&lt;=25,"18-25",A917&lt;=35,"26-35",A917&lt;=45,"36-45",A917&lt;=60,"46-60",A917&gt;60,"60+")</f>
        <v>46-60</v>
      </c>
      <c r="J917" t="str" cm="1">
        <f t="array" ref="J917">_xlfn.IFS(C917&lt;18.5,"Underweight",C917&lt;25,"Normal",C917&lt;30,"Overweight",C917&gt;=30,"Obese")</f>
        <v>Obese</v>
      </c>
      <c r="K917" t="str" cm="1">
        <f t="array" ref="K917">_xlfn.IFS(G917&lt;10000, "Low", G917&lt;=25000, "Medium", G917&gt;25000, "High")</f>
        <v>Medium</v>
      </c>
    </row>
    <row r="918" spans="1:11" x14ac:dyDescent="0.3">
      <c r="A918">
        <v>48</v>
      </c>
      <c r="B918" s="1" t="s">
        <v>8</v>
      </c>
      <c r="C918">
        <v>33.44</v>
      </c>
      <c r="D918">
        <v>2</v>
      </c>
      <c r="E918" t="s">
        <v>9</v>
      </c>
      <c r="F918" t="s">
        <v>14</v>
      </c>
      <c r="G918" s="2">
        <v>13228.846949999999</v>
      </c>
      <c r="H918" t="str" cm="1">
        <f t="array" ref="H918">_xlfn.IFS(A918&lt;=30, "Youth", A918&lt;=50, "Adult", A918&gt;50, "Older")</f>
        <v>Adult</v>
      </c>
      <c r="I918" t="str" cm="1">
        <f t="array" ref="I918">_xlfn.IFS(A918&lt;=25,"18-25",A918&lt;=35,"26-35",A918&lt;=45,"36-45",A918&lt;=60,"46-60",A918&gt;60,"60+")</f>
        <v>46-60</v>
      </c>
      <c r="J918" t="str" cm="1">
        <f t="array" ref="J918">_xlfn.IFS(C918&lt;18.5,"Underweight",C918&lt;25,"Normal",C918&lt;30,"Overweight",C918&gt;=30,"Obese")</f>
        <v>Obese</v>
      </c>
      <c r="K918" t="str" cm="1">
        <f t="array" ref="K918">_xlfn.IFS(G918&lt;10000, "Low", G918&lt;=25000, "Medium", G918&gt;25000, "High")</f>
        <v>Medium</v>
      </c>
    </row>
    <row r="919" spans="1:11" x14ac:dyDescent="0.3">
      <c r="A919">
        <v>48</v>
      </c>
      <c r="B919" s="1" t="s">
        <v>7</v>
      </c>
      <c r="C919">
        <v>33.44</v>
      </c>
      <c r="D919">
        <v>2</v>
      </c>
      <c r="E919" t="s">
        <v>10</v>
      </c>
      <c r="F919" t="s">
        <v>11</v>
      </c>
      <c r="G919" s="2">
        <v>13352.0998</v>
      </c>
      <c r="H919" t="str" cm="1">
        <f t="array" ref="H919">_xlfn.IFS(A919&lt;=30, "Youth", A919&lt;=50, "Adult", A919&gt;50, "Older")</f>
        <v>Adult</v>
      </c>
      <c r="I919" t="str" cm="1">
        <f t="array" ref="I919">_xlfn.IFS(A919&lt;=25,"18-25",A919&lt;=35,"26-35",A919&lt;=45,"36-45",A919&lt;=60,"46-60",A919&gt;60,"60+")</f>
        <v>46-60</v>
      </c>
      <c r="J919" t="str" cm="1">
        <f t="array" ref="J919">_xlfn.IFS(C919&lt;18.5,"Underweight",C919&lt;25,"Normal",C919&lt;30,"Overweight",C919&gt;=30,"Obese")</f>
        <v>Obese</v>
      </c>
      <c r="K919" t="str" cm="1">
        <f t="array" ref="K919">_xlfn.IFS(G919&lt;10000, "Low", G919&lt;=25000, "Medium", G919&gt;25000, "High")</f>
        <v>Medium</v>
      </c>
    </row>
    <row r="920" spans="1:11" x14ac:dyDescent="0.3">
      <c r="A920">
        <v>48</v>
      </c>
      <c r="B920" s="1" t="s">
        <v>7</v>
      </c>
      <c r="C920">
        <v>33.44</v>
      </c>
      <c r="D920">
        <v>2</v>
      </c>
      <c r="E920" t="s">
        <v>10</v>
      </c>
      <c r="F920" t="s">
        <v>12</v>
      </c>
      <c r="G920" s="2">
        <v>13390.558999999999</v>
      </c>
      <c r="H920" t="str" cm="1">
        <f t="array" ref="H920">_xlfn.IFS(A920&lt;=30, "Youth", A920&lt;=50, "Adult", A920&gt;50, "Older")</f>
        <v>Adult</v>
      </c>
      <c r="I920" t="str" cm="1">
        <f t="array" ref="I920">_xlfn.IFS(A920&lt;=25,"18-25",A920&lt;=35,"26-35",A920&lt;=45,"36-45",A920&lt;=60,"46-60",A920&gt;60,"60+")</f>
        <v>46-60</v>
      </c>
      <c r="J920" t="str" cm="1">
        <f t="array" ref="J920">_xlfn.IFS(C920&lt;18.5,"Underweight",C920&lt;25,"Normal",C920&lt;30,"Overweight",C920&gt;=30,"Obese")</f>
        <v>Obese</v>
      </c>
      <c r="K920" t="str" cm="1">
        <f t="array" ref="K920">_xlfn.IFS(G920&lt;10000, "Low", G920&lt;=25000, "Medium", G920&gt;25000, "High")</f>
        <v>Medium</v>
      </c>
    </row>
    <row r="921" spans="1:11" x14ac:dyDescent="0.3">
      <c r="A921">
        <v>48</v>
      </c>
      <c r="B921" s="1" t="s">
        <v>7</v>
      </c>
      <c r="C921">
        <v>33.44</v>
      </c>
      <c r="D921">
        <v>2</v>
      </c>
      <c r="E921" t="s">
        <v>10</v>
      </c>
      <c r="F921" t="s">
        <v>11</v>
      </c>
      <c r="G921" s="2">
        <v>13393.755999999999</v>
      </c>
      <c r="H921" t="str" cm="1">
        <f t="array" ref="H921">_xlfn.IFS(A921&lt;=30, "Youth", A921&lt;=50, "Adult", A921&gt;50, "Older")</f>
        <v>Adult</v>
      </c>
      <c r="I921" t="str" cm="1">
        <f t="array" ref="I921">_xlfn.IFS(A921&lt;=25,"18-25",A921&lt;=35,"26-35",A921&lt;=45,"36-45",A921&lt;=60,"46-60",A921&gt;60,"60+")</f>
        <v>46-60</v>
      </c>
      <c r="J921" t="str" cm="1">
        <f t="array" ref="J921">_xlfn.IFS(C921&lt;18.5,"Underweight",C921&lt;25,"Normal",C921&lt;30,"Overweight",C921&gt;=30,"Obese")</f>
        <v>Obese</v>
      </c>
      <c r="K921" t="str" cm="1">
        <f t="array" ref="K921">_xlfn.IFS(G921&lt;10000, "Low", G921&lt;=25000, "Medium", G921&gt;25000, "High")</f>
        <v>Medium</v>
      </c>
    </row>
    <row r="922" spans="1:11" x14ac:dyDescent="0.3">
      <c r="A922">
        <v>48</v>
      </c>
      <c r="B922" s="1" t="s">
        <v>7</v>
      </c>
      <c r="C922">
        <v>33.5</v>
      </c>
      <c r="D922">
        <v>2</v>
      </c>
      <c r="E922" t="s">
        <v>10</v>
      </c>
      <c r="F922" t="s">
        <v>11</v>
      </c>
      <c r="G922" s="2">
        <v>13405.390299999999</v>
      </c>
      <c r="H922" t="str" cm="1">
        <f t="array" ref="H922">_xlfn.IFS(A922&lt;=30, "Youth", A922&lt;=50, "Adult", A922&gt;50, "Older")</f>
        <v>Adult</v>
      </c>
      <c r="I922" t="str" cm="1">
        <f t="array" ref="I922">_xlfn.IFS(A922&lt;=25,"18-25",A922&lt;=35,"26-35",A922&lt;=45,"36-45",A922&lt;=60,"46-60",A922&gt;60,"60+")</f>
        <v>46-60</v>
      </c>
      <c r="J922" t="str" cm="1">
        <f t="array" ref="J922">_xlfn.IFS(C922&lt;18.5,"Underweight",C922&lt;25,"Normal",C922&lt;30,"Overweight",C922&gt;=30,"Obese")</f>
        <v>Obese</v>
      </c>
      <c r="K922" t="str" cm="1">
        <f t="array" ref="K922">_xlfn.IFS(G922&lt;10000, "Low", G922&lt;=25000, "Medium", G922&gt;25000, "High")</f>
        <v>Medium</v>
      </c>
    </row>
    <row r="923" spans="1:11" x14ac:dyDescent="0.3">
      <c r="A923">
        <v>48</v>
      </c>
      <c r="B923" s="1" t="s">
        <v>8</v>
      </c>
      <c r="C923">
        <v>33.534999999999997</v>
      </c>
      <c r="D923">
        <v>2</v>
      </c>
      <c r="E923" t="s">
        <v>10</v>
      </c>
      <c r="F923" t="s">
        <v>11</v>
      </c>
      <c r="G923" s="2">
        <v>13415.0381</v>
      </c>
      <c r="H923" t="str" cm="1">
        <f t="array" ref="H923">_xlfn.IFS(A923&lt;=30, "Youth", A923&lt;=50, "Adult", A923&gt;50, "Older")</f>
        <v>Adult</v>
      </c>
      <c r="I923" t="str" cm="1">
        <f t="array" ref="I923">_xlfn.IFS(A923&lt;=25,"18-25",A923&lt;=35,"26-35",A923&lt;=45,"36-45",A923&lt;=60,"46-60",A923&gt;60,"60+")</f>
        <v>46-60</v>
      </c>
      <c r="J923" t="str" cm="1">
        <f t="array" ref="J923">_xlfn.IFS(C923&lt;18.5,"Underweight",C923&lt;25,"Normal",C923&lt;30,"Overweight",C923&gt;=30,"Obese")</f>
        <v>Obese</v>
      </c>
      <c r="K923" t="str" cm="1">
        <f t="array" ref="K923">_xlfn.IFS(G923&lt;10000, "Low", G923&lt;=25000, "Medium", G923&gt;25000, "High")</f>
        <v>Medium</v>
      </c>
    </row>
    <row r="924" spans="1:11" x14ac:dyDescent="0.3">
      <c r="A924">
        <v>48</v>
      </c>
      <c r="B924" s="1" t="s">
        <v>8</v>
      </c>
      <c r="C924">
        <v>33.534999999999997</v>
      </c>
      <c r="D924">
        <v>2</v>
      </c>
      <c r="E924" t="s">
        <v>10</v>
      </c>
      <c r="F924" t="s">
        <v>13</v>
      </c>
      <c r="G924" s="2">
        <v>13429.035400000001</v>
      </c>
      <c r="H924" t="str" cm="1">
        <f t="array" ref="H924">_xlfn.IFS(A924&lt;=30, "Youth", A924&lt;=50, "Adult", A924&gt;50, "Older")</f>
        <v>Adult</v>
      </c>
      <c r="I924" t="str" cm="1">
        <f t="array" ref="I924">_xlfn.IFS(A924&lt;=25,"18-25",A924&lt;=35,"26-35",A924&lt;=45,"36-45",A924&lt;=60,"46-60",A924&gt;60,"60+")</f>
        <v>46-60</v>
      </c>
      <c r="J924" t="str" cm="1">
        <f t="array" ref="J924">_xlfn.IFS(C924&lt;18.5,"Underweight",C924&lt;25,"Normal",C924&lt;30,"Overweight",C924&gt;=30,"Obese")</f>
        <v>Obese</v>
      </c>
      <c r="K924" t="str" cm="1">
        <f t="array" ref="K924">_xlfn.IFS(G924&lt;10000, "Low", G924&lt;=25000, "Medium", G924&gt;25000, "High")</f>
        <v>Medium</v>
      </c>
    </row>
    <row r="925" spans="1:11" x14ac:dyDescent="0.3">
      <c r="A925">
        <v>48</v>
      </c>
      <c r="B925" s="1" t="s">
        <v>8</v>
      </c>
      <c r="C925">
        <v>33.534999999999997</v>
      </c>
      <c r="D925">
        <v>2</v>
      </c>
      <c r="E925" t="s">
        <v>10</v>
      </c>
      <c r="F925" t="s">
        <v>11</v>
      </c>
      <c r="G925" s="2">
        <v>13430.264999999999</v>
      </c>
      <c r="H925" t="str" cm="1">
        <f t="array" ref="H925">_xlfn.IFS(A925&lt;=30, "Youth", A925&lt;=50, "Adult", A925&gt;50, "Older")</f>
        <v>Adult</v>
      </c>
      <c r="I925" t="str" cm="1">
        <f t="array" ref="I925">_xlfn.IFS(A925&lt;=25,"18-25",A925&lt;=35,"26-35",A925&lt;=45,"36-45",A925&lt;=60,"46-60",A925&gt;60,"60+")</f>
        <v>46-60</v>
      </c>
      <c r="J925" t="str" cm="1">
        <f t="array" ref="J925">_xlfn.IFS(C925&lt;18.5,"Underweight",C925&lt;25,"Normal",C925&lt;30,"Overweight",C925&gt;=30,"Obese")</f>
        <v>Obese</v>
      </c>
      <c r="K925" t="str" cm="1">
        <f t="array" ref="K925">_xlfn.IFS(G925&lt;10000, "Low", G925&lt;=25000, "Medium", G925&gt;25000, "High")</f>
        <v>Medium</v>
      </c>
    </row>
    <row r="926" spans="1:11" x14ac:dyDescent="0.3">
      <c r="A926">
        <v>49</v>
      </c>
      <c r="B926" s="1" t="s">
        <v>8</v>
      </c>
      <c r="C926">
        <v>33.549999999999997</v>
      </c>
      <c r="D926">
        <v>2</v>
      </c>
      <c r="E926" t="s">
        <v>10</v>
      </c>
      <c r="F926" t="s">
        <v>14</v>
      </c>
      <c r="G926" s="2">
        <v>13451.121999999999</v>
      </c>
      <c r="H926" t="str" cm="1">
        <f t="array" ref="H926">_xlfn.IFS(A926&lt;=30, "Youth", A926&lt;=50, "Adult", A926&gt;50, "Older")</f>
        <v>Adult</v>
      </c>
      <c r="I926" t="str" cm="1">
        <f t="array" ref="I926">_xlfn.IFS(A926&lt;=25,"18-25",A926&lt;=35,"26-35",A926&lt;=45,"36-45",A926&lt;=60,"46-60",A926&gt;60,"60+")</f>
        <v>46-60</v>
      </c>
      <c r="J926" t="str" cm="1">
        <f t="array" ref="J926">_xlfn.IFS(C926&lt;18.5,"Underweight",C926&lt;25,"Normal",C926&lt;30,"Overweight",C926&gt;=30,"Obese")</f>
        <v>Obese</v>
      </c>
      <c r="K926" t="str" cm="1">
        <f t="array" ref="K926">_xlfn.IFS(G926&lt;10000, "Low", G926&lt;=25000, "Medium", G926&gt;25000, "High")</f>
        <v>Medium</v>
      </c>
    </row>
    <row r="927" spans="1:11" x14ac:dyDescent="0.3">
      <c r="A927">
        <v>49</v>
      </c>
      <c r="B927" s="1" t="s">
        <v>7</v>
      </c>
      <c r="C927">
        <v>33.630000000000003</v>
      </c>
      <c r="D927">
        <v>2</v>
      </c>
      <c r="E927" t="s">
        <v>10</v>
      </c>
      <c r="F927" t="s">
        <v>11</v>
      </c>
      <c r="G927" s="2">
        <v>13457.960800000001</v>
      </c>
      <c r="H927" t="str" cm="1">
        <f t="array" ref="H927">_xlfn.IFS(A927&lt;=30, "Youth", A927&lt;=50, "Adult", A927&gt;50, "Older")</f>
        <v>Adult</v>
      </c>
      <c r="I927" t="str" cm="1">
        <f t="array" ref="I927">_xlfn.IFS(A927&lt;=25,"18-25",A927&lt;=35,"26-35",A927&lt;=45,"36-45",A927&lt;=60,"46-60",A927&gt;60,"60+")</f>
        <v>46-60</v>
      </c>
      <c r="J927" t="str" cm="1">
        <f t="array" ref="J927">_xlfn.IFS(C927&lt;18.5,"Underweight",C927&lt;25,"Normal",C927&lt;30,"Overweight",C927&gt;=30,"Obese")</f>
        <v>Obese</v>
      </c>
      <c r="K927" t="str" cm="1">
        <f t="array" ref="K927">_xlfn.IFS(G927&lt;10000, "Low", G927&lt;=25000, "Medium", G927&gt;25000, "High")</f>
        <v>Medium</v>
      </c>
    </row>
    <row r="928" spans="1:11" x14ac:dyDescent="0.3">
      <c r="A928">
        <v>49</v>
      </c>
      <c r="B928" s="1" t="s">
        <v>7</v>
      </c>
      <c r="C928">
        <v>33.630000000000003</v>
      </c>
      <c r="D928">
        <v>2</v>
      </c>
      <c r="E928" t="s">
        <v>10</v>
      </c>
      <c r="F928" t="s">
        <v>11</v>
      </c>
      <c r="G928" s="2">
        <v>13462.52</v>
      </c>
      <c r="H928" t="str" cm="1">
        <f t="array" ref="H928">_xlfn.IFS(A928&lt;=30, "Youth", A928&lt;=50, "Adult", A928&gt;50, "Older")</f>
        <v>Adult</v>
      </c>
      <c r="I928" t="str" cm="1">
        <f t="array" ref="I928">_xlfn.IFS(A928&lt;=25,"18-25",A928&lt;=35,"26-35",A928&lt;=45,"36-45",A928&lt;=60,"46-60",A928&gt;60,"60+")</f>
        <v>46-60</v>
      </c>
      <c r="J928" t="str" cm="1">
        <f t="array" ref="J928">_xlfn.IFS(C928&lt;18.5,"Underweight",C928&lt;25,"Normal",C928&lt;30,"Overweight",C928&gt;=30,"Obese")</f>
        <v>Obese</v>
      </c>
      <c r="K928" t="str" cm="1">
        <f t="array" ref="K928">_xlfn.IFS(G928&lt;10000, "Low", G928&lt;=25000, "Medium", G928&gt;25000, "High")</f>
        <v>Medium</v>
      </c>
    </row>
    <row r="929" spans="1:11" x14ac:dyDescent="0.3">
      <c r="A929">
        <v>49</v>
      </c>
      <c r="B929" s="1" t="s">
        <v>7</v>
      </c>
      <c r="C929">
        <v>33.630000000000003</v>
      </c>
      <c r="D929">
        <v>2</v>
      </c>
      <c r="E929" t="s">
        <v>10</v>
      </c>
      <c r="F929" t="s">
        <v>12</v>
      </c>
      <c r="G929" s="2">
        <v>13470.804400000001</v>
      </c>
      <c r="H929" t="str" cm="1">
        <f t="array" ref="H929">_xlfn.IFS(A929&lt;=30, "Youth", A929&lt;=50, "Adult", A929&gt;50, "Older")</f>
        <v>Adult</v>
      </c>
      <c r="I929" t="str" cm="1">
        <f t="array" ref="I929">_xlfn.IFS(A929&lt;=25,"18-25",A929&lt;=35,"26-35",A929&lt;=45,"36-45",A929&lt;=60,"46-60",A929&gt;60,"60+")</f>
        <v>46-60</v>
      </c>
      <c r="J929" t="str" cm="1">
        <f t="array" ref="J929">_xlfn.IFS(C929&lt;18.5,"Underweight",C929&lt;25,"Normal",C929&lt;30,"Overweight",C929&gt;=30,"Obese")</f>
        <v>Obese</v>
      </c>
      <c r="K929" t="str" cm="1">
        <f t="array" ref="K929">_xlfn.IFS(G929&lt;10000, "Low", G929&lt;=25000, "Medium", G929&gt;25000, "High")</f>
        <v>Medium</v>
      </c>
    </row>
    <row r="930" spans="1:11" x14ac:dyDescent="0.3">
      <c r="A930">
        <v>49</v>
      </c>
      <c r="B930" s="1" t="s">
        <v>8</v>
      </c>
      <c r="C930">
        <v>33.630000000000003</v>
      </c>
      <c r="D930">
        <v>2</v>
      </c>
      <c r="E930" t="s">
        <v>10</v>
      </c>
      <c r="F930" t="s">
        <v>12</v>
      </c>
      <c r="G930" s="2">
        <v>13470.86</v>
      </c>
      <c r="H930" t="str" cm="1">
        <f t="array" ref="H930">_xlfn.IFS(A930&lt;=30, "Youth", A930&lt;=50, "Adult", A930&gt;50, "Older")</f>
        <v>Adult</v>
      </c>
      <c r="I930" t="str" cm="1">
        <f t="array" ref="I930">_xlfn.IFS(A930&lt;=25,"18-25",A930&lt;=35,"26-35",A930&lt;=45,"36-45",A930&lt;=60,"46-60",A930&gt;60,"60+")</f>
        <v>46-60</v>
      </c>
      <c r="J930" t="str" cm="1">
        <f t="array" ref="J930">_xlfn.IFS(C930&lt;18.5,"Underweight",C930&lt;25,"Normal",C930&lt;30,"Overweight",C930&gt;=30,"Obese")</f>
        <v>Obese</v>
      </c>
      <c r="K930" t="str" cm="1">
        <f t="array" ref="K930">_xlfn.IFS(G930&lt;10000, "Low", G930&lt;=25000, "Medium", G930&gt;25000, "High")</f>
        <v>Medium</v>
      </c>
    </row>
    <row r="931" spans="1:11" x14ac:dyDescent="0.3">
      <c r="A931">
        <v>49</v>
      </c>
      <c r="B931" s="1" t="s">
        <v>8</v>
      </c>
      <c r="C931">
        <v>33.630000000000003</v>
      </c>
      <c r="D931">
        <v>2</v>
      </c>
      <c r="E931" t="s">
        <v>10</v>
      </c>
      <c r="F931" t="s">
        <v>12</v>
      </c>
      <c r="G931" s="2">
        <v>13555.0049</v>
      </c>
      <c r="H931" t="str" cm="1">
        <f t="array" ref="H931">_xlfn.IFS(A931&lt;=30, "Youth", A931&lt;=50, "Adult", A931&gt;50, "Older")</f>
        <v>Adult</v>
      </c>
      <c r="I931" t="str" cm="1">
        <f t="array" ref="I931">_xlfn.IFS(A931&lt;=25,"18-25",A931&lt;=35,"26-35",A931&lt;=45,"36-45",A931&lt;=60,"46-60",A931&gt;60,"60+")</f>
        <v>46-60</v>
      </c>
      <c r="J931" t="str" cm="1">
        <f t="array" ref="J931">_xlfn.IFS(C931&lt;18.5,"Underweight",C931&lt;25,"Normal",C931&lt;30,"Overweight",C931&gt;=30,"Obese")</f>
        <v>Obese</v>
      </c>
      <c r="K931" t="str" cm="1">
        <f t="array" ref="K931">_xlfn.IFS(G931&lt;10000, "Low", G931&lt;=25000, "Medium", G931&gt;25000, "High")</f>
        <v>Medium</v>
      </c>
    </row>
    <row r="932" spans="1:11" x14ac:dyDescent="0.3">
      <c r="A932">
        <v>49</v>
      </c>
      <c r="B932" s="1" t="s">
        <v>7</v>
      </c>
      <c r="C932">
        <v>33.630000000000003</v>
      </c>
      <c r="D932">
        <v>2</v>
      </c>
      <c r="E932" t="s">
        <v>10</v>
      </c>
      <c r="F932" t="s">
        <v>11</v>
      </c>
      <c r="G932" s="2">
        <v>13607.36875</v>
      </c>
      <c r="H932" t="str" cm="1">
        <f t="array" ref="H932">_xlfn.IFS(A932&lt;=30, "Youth", A932&lt;=50, "Adult", A932&gt;50, "Older")</f>
        <v>Adult</v>
      </c>
      <c r="I932" t="str" cm="1">
        <f t="array" ref="I932">_xlfn.IFS(A932&lt;=25,"18-25",A932&lt;=35,"26-35",A932&lt;=45,"36-45",A932&lt;=60,"46-60",A932&gt;60,"60+")</f>
        <v>46-60</v>
      </c>
      <c r="J932" t="str" cm="1">
        <f t="array" ref="J932">_xlfn.IFS(C932&lt;18.5,"Underweight",C932&lt;25,"Normal",C932&lt;30,"Overweight",C932&gt;=30,"Obese")</f>
        <v>Obese</v>
      </c>
      <c r="K932" t="str" cm="1">
        <f t="array" ref="K932">_xlfn.IFS(G932&lt;10000, "Low", G932&lt;=25000, "Medium", G932&gt;25000, "High")</f>
        <v>Medium</v>
      </c>
    </row>
    <row r="933" spans="1:11" x14ac:dyDescent="0.3">
      <c r="A933">
        <v>49</v>
      </c>
      <c r="B933" s="1" t="s">
        <v>8</v>
      </c>
      <c r="C933">
        <v>33.659999999999997</v>
      </c>
      <c r="D933">
        <v>2</v>
      </c>
      <c r="E933" t="s">
        <v>10</v>
      </c>
      <c r="F933" t="s">
        <v>11</v>
      </c>
      <c r="G933" s="2">
        <v>13616.3586</v>
      </c>
      <c r="H933" t="str" cm="1">
        <f t="array" ref="H933">_xlfn.IFS(A933&lt;=30, "Youth", A933&lt;=50, "Adult", A933&gt;50, "Older")</f>
        <v>Adult</v>
      </c>
      <c r="I933" t="str" cm="1">
        <f t="array" ref="I933">_xlfn.IFS(A933&lt;=25,"18-25",A933&lt;=35,"26-35",A933&lt;=45,"36-45",A933&lt;=60,"46-60",A933&gt;60,"60+")</f>
        <v>46-60</v>
      </c>
      <c r="J933" t="str" cm="1">
        <f t="array" ref="J933">_xlfn.IFS(C933&lt;18.5,"Underweight",C933&lt;25,"Normal",C933&lt;30,"Overweight",C933&gt;=30,"Obese")</f>
        <v>Obese</v>
      </c>
      <c r="K933" t="str" cm="1">
        <f t="array" ref="K933">_xlfn.IFS(G933&lt;10000, "Low", G933&lt;=25000, "Medium", G933&gt;25000, "High")</f>
        <v>Medium</v>
      </c>
    </row>
    <row r="934" spans="1:11" x14ac:dyDescent="0.3">
      <c r="A934">
        <v>49</v>
      </c>
      <c r="B934" s="1" t="s">
        <v>7</v>
      </c>
      <c r="C934">
        <v>33.659999999999997</v>
      </c>
      <c r="D934">
        <v>2</v>
      </c>
      <c r="E934" t="s">
        <v>10</v>
      </c>
      <c r="F934" t="s">
        <v>11</v>
      </c>
      <c r="G934" s="2">
        <v>13635.6379</v>
      </c>
      <c r="H934" t="str" cm="1">
        <f t="array" ref="H934">_xlfn.IFS(A934&lt;=30, "Youth", A934&lt;=50, "Adult", A934&gt;50, "Older")</f>
        <v>Adult</v>
      </c>
      <c r="I934" t="str" cm="1">
        <f t="array" ref="I934">_xlfn.IFS(A934&lt;=25,"18-25",A934&lt;=35,"26-35",A934&lt;=45,"36-45",A934&lt;=60,"46-60",A934&gt;60,"60+")</f>
        <v>46-60</v>
      </c>
      <c r="J934" t="str" cm="1">
        <f t="array" ref="J934">_xlfn.IFS(C934&lt;18.5,"Underweight",C934&lt;25,"Normal",C934&lt;30,"Overweight",C934&gt;=30,"Obese")</f>
        <v>Obese</v>
      </c>
      <c r="K934" t="str" cm="1">
        <f t="array" ref="K934">_xlfn.IFS(G934&lt;10000, "Low", G934&lt;=25000, "Medium", G934&gt;25000, "High")</f>
        <v>Medium</v>
      </c>
    </row>
    <row r="935" spans="1:11" x14ac:dyDescent="0.3">
      <c r="A935">
        <v>49</v>
      </c>
      <c r="B935" s="1" t="s">
        <v>8</v>
      </c>
      <c r="C935">
        <v>33.659999999999997</v>
      </c>
      <c r="D935">
        <v>2</v>
      </c>
      <c r="E935" t="s">
        <v>10</v>
      </c>
      <c r="F935" t="s">
        <v>12</v>
      </c>
      <c r="G935" s="2">
        <v>13725.47184</v>
      </c>
      <c r="H935" t="str" cm="1">
        <f t="array" ref="H935">_xlfn.IFS(A935&lt;=30, "Youth", A935&lt;=50, "Adult", A935&gt;50, "Older")</f>
        <v>Adult</v>
      </c>
      <c r="I935" t="str" cm="1">
        <f t="array" ref="I935">_xlfn.IFS(A935&lt;=25,"18-25",A935&lt;=35,"26-35",A935&lt;=45,"36-45",A935&lt;=60,"46-60",A935&gt;60,"60+")</f>
        <v>46-60</v>
      </c>
      <c r="J935" t="str" cm="1">
        <f t="array" ref="J935">_xlfn.IFS(C935&lt;18.5,"Underweight",C935&lt;25,"Normal",C935&lt;30,"Overweight",C935&gt;=30,"Obese")</f>
        <v>Obese</v>
      </c>
      <c r="K935" t="str" cm="1">
        <f t="array" ref="K935">_xlfn.IFS(G935&lt;10000, "Low", G935&lt;=25000, "Medium", G935&gt;25000, "High")</f>
        <v>Medium</v>
      </c>
    </row>
    <row r="936" spans="1:11" x14ac:dyDescent="0.3">
      <c r="A936">
        <v>49</v>
      </c>
      <c r="B936" s="1" t="s">
        <v>7</v>
      </c>
      <c r="C936">
        <v>33.659999999999997</v>
      </c>
      <c r="D936">
        <v>2</v>
      </c>
      <c r="E936" t="s">
        <v>10</v>
      </c>
      <c r="F936" t="s">
        <v>11</v>
      </c>
      <c r="G936" s="2">
        <v>13747.87235</v>
      </c>
      <c r="H936" t="str" cm="1">
        <f t="array" ref="H936">_xlfn.IFS(A936&lt;=30, "Youth", A936&lt;=50, "Adult", A936&gt;50, "Older")</f>
        <v>Adult</v>
      </c>
      <c r="I936" t="str" cm="1">
        <f t="array" ref="I936">_xlfn.IFS(A936&lt;=25,"18-25",A936&lt;=35,"26-35",A936&lt;=45,"36-45",A936&lt;=60,"46-60",A936&gt;60,"60+")</f>
        <v>46-60</v>
      </c>
      <c r="J936" t="str" cm="1">
        <f t="array" ref="J936">_xlfn.IFS(C936&lt;18.5,"Underweight",C936&lt;25,"Normal",C936&lt;30,"Overweight",C936&gt;=30,"Obese")</f>
        <v>Obese</v>
      </c>
      <c r="K936" t="str" cm="1">
        <f t="array" ref="K936">_xlfn.IFS(G936&lt;10000, "Low", G936&lt;=25000, "Medium", G936&gt;25000, "High")</f>
        <v>Medium</v>
      </c>
    </row>
    <row r="937" spans="1:11" x14ac:dyDescent="0.3">
      <c r="A937">
        <v>49</v>
      </c>
      <c r="B937" s="1" t="s">
        <v>8</v>
      </c>
      <c r="C937">
        <v>33.659999999999997</v>
      </c>
      <c r="D937">
        <v>2</v>
      </c>
      <c r="E937" t="s">
        <v>10</v>
      </c>
      <c r="F937" t="s">
        <v>14</v>
      </c>
      <c r="G937" s="2">
        <v>13770.097900000001</v>
      </c>
      <c r="H937" t="str" cm="1">
        <f t="array" ref="H937">_xlfn.IFS(A937&lt;=30, "Youth", A937&lt;=50, "Adult", A937&gt;50, "Older")</f>
        <v>Adult</v>
      </c>
      <c r="I937" t="str" cm="1">
        <f t="array" ref="I937">_xlfn.IFS(A937&lt;=25,"18-25",A937&lt;=35,"26-35",A937&lt;=45,"36-45",A937&lt;=60,"46-60",A937&gt;60,"60+")</f>
        <v>46-60</v>
      </c>
      <c r="J937" t="str" cm="1">
        <f t="array" ref="J937">_xlfn.IFS(C937&lt;18.5,"Underweight",C937&lt;25,"Normal",C937&lt;30,"Overweight",C937&gt;=30,"Obese")</f>
        <v>Obese</v>
      </c>
      <c r="K937" t="str" cm="1">
        <f t="array" ref="K937">_xlfn.IFS(G937&lt;10000, "Low", G937&lt;=25000, "Medium", G937&gt;25000, "High")</f>
        <v>Medium</v>
      </c>
    </row>
    <row r="938" spans="1:11" x14ac:dyDescent="0.3">
      <c r="A938">
        <v>49</v>
      </c>
      <c r="B938" s="1" t="s">
        <v>7</v>
      </c>
      <c r="C938">
        <v>33.700000000000003</v>
      </c>
      <c r="D938">
        <v>2</v>
      </c>
      <c r="E938" t="s">
        <v>10</v>
      </c>
      <c r="F938" t="s">
        <v>13</v>
      </c>
      <c r="G938" s="2">
        <v>13822.803</v>
      </c>
      <c r="H938" t="str" cm="1">
        <f t="array" ref="H938">_xlfn.IFS(A938&lt;=30, "Youth", A938&lt;=50, "Adult", A938&gt;50, "Older")</f>
        <v>Adult</v>
      </c>
      <c r="I938" t="str" cm="1">
        <f t="array" ref="I938">_xlfn.IFS(A938&lt;=25,"18-25",A938&lt;=35,"26-35",A938&lt;=45,"36-45",A938&lt;=60,"46-60",A938&gt;60,"60+")</f>
        <v>46-60</v>
      </c>
      <c r="J938" t="str" cm="1">
        <f t="array" ref="J938">_xlfn.IFS(C938&lt;18.5,"Underweight",C938&lt;25,"Normal",C938&lt;30,"Overweight",C938&gt;=30,"Obese")</f>
        <v>Obese</v>
      </c>
      <c r="K938" t="str" cm="1">
        <f t="array" ref="K938">_xlfn.IFS(G938&lt;10000, "Low", G938&lt;=25000, "Medium", G938&gt;25000, "High")</f>
        <v>Medium</v>
      </c>
    </row>
    <row r="939" spans="1:11" x14ac:dyDescent="0.3">
      <c r="A939">
        <v>49</v>
      </c>
      <c r="B939" s="1" t="s">
        <v>8</v>
      </c>
      <c r="C939">
        <v>33.700000000000003</v>
      </c>
      <c r="D939">
        <v>2</v>
      </c>
      <c r="E939" t="s">
        <v>10</v>
      </c>
      <c r="F939" t="s">
        <v>12</v>
      </c>
      <c r="G939" s="2">
        <v>13831.1152</v>
      </c>
      <c r="H939" t="str" cm="1">
        <f t="array" ref="H939">_xlfn.IFS(A939&lt;=30, "Youth", A939&lt;=50, "Adult", A939&gt;50, "Older")</f>
        <v>Adult</v>
      </c>
      <c r="I939" t="str" cm="1">
        <f t="array" ref="I939">_xlfn.IFS(A939&lt;=25,"18-25",A939&lt;=35,"26-35",A939&lt;=45,"36-45",A939&lt;=60,"46-60",A939&gt;60,"60+")</f>
        <v>46-60</v>
      </c>
      <c r="J939" t="str" cm="1">
        <f t="array" ref="J939">_xlfn.IFS(C939&lt;18.5,"Underweight",C939&lt;25,"Normal",C939&lt;30,"Overweight",C939&gt;=30,"Obese")</f>
        <v>Obese</v>
      </c>
      <c r="K939" t="str" cm="1">
        <f t="array" ref="K939">_xlfn.IFS(G939&lt;10000, "Low", G939&lt;=25000, "Medium", G939&gt;25000, "High")</f>
        <v>Medium</v>
      </c>
    </row>
    <row r="940" spans="1:11" x14ac:dyDescent="0.3">
      <c r="A940">
        <v>49</v>
      </c>
      <c r="B940" s="1" t="s">
        <v>8</v>
      </c>
      <c r="C940">
        <v>33.700000000000003</v>
      </c>
      <c r="D940">
        <v>2</v>
      </c>
      <c r="E940" t="s">
        <v>10</v>
      </c>
      <c r="F940" t="s">
        <v>12</v>
      </c>
      <c r="G940" s="2">
        <v>13844.505999999999</v>
      </c>
      <c r="H940" t="str" cm="1">
        <f t="array" ref="H940">_xlfn.IFS(A940&lt;=30, "Youth", A940&lt;=50, "Adult", A940&gt;50, "Older")</f>
        <v>Adult</v>
      </c>
      <c r="I940" t="str" cm="1">
        <f t="array" ref="I940">_xlfn.IFS(A940&lt;=25,"18-25",A940&lt;=35,"26-35",A940&lt;=45,"36-45",A940&lt;=60,"46-60",A940&gt;60,"60+")</f>
        <v>46-60</v>
      </c>
      <c r="J940" t="str" cm="1">
        <f t="array" ref="J940">_xlfn.IFS(C940&lt;18.5,"Underweight",C940&lt;25,"Normal",C940&lt;30,"Overweight",C940&gt;=30,"Obese")</f>
        <v>Obese</v>
      </c>
      <c r="K940" t="str" cm="1">
        <f t="array" ref="K940">_xlfn.IFS(G940&lt;10000, "Low", G940&lt;=25000, "Medium", G940&gt;25000, "High")</f>
        <v>Medium</v>
      </c>
    </row>
    <row r="941" spans="1:11" x14ac:dyDescent="0.3">
      <c r="A941">
        <v>49</v>
      </c>
      <c r="B941" s="1" t="s">
        <v>8</v>
      </c>
      <c r="C941">
        <v>33.725000000000001</v>
      </c>
      <c r="D941">
        <v>2</v>
      </c>
      <c r="E941" t="s">
        <v>10</v>
      </c>
      <c r="F941" t="s">
        <v>12</v>
      </c>
      <c r="G941" s="2">
        <v>13844.797200000001</v>
      </c>
      <c r="H941" t="str" cm="1">
        <f t="array" ref="H941">_xlfn.IFS(A941&lt;=30, "Youth", A941&lt;=50, "Adult", A941&gt;50, "Older")</f>
        <v>Adult</v>
      </c>
      <c r="I941" t="str" cm="1">
        <f t="array" ref="I941">_xlfn.IFS(A941&lt;=25,"18-25",A941&lt;=35,"26-35",A941&lt;=45,"36-45",A941&lt;=60,"46-60",A941&gt;60,"60+")</f>
        <v>46-60</v>
      </c>
      <c r="J941" t="str" cm="1">
        <f t="array" ref="J941">_xlfn.IFS(C941&lt;18.5,"Underweight",C941&lt;25,"Normal",C941&lt;30,"Overweight",C941&gt;=30,"Obese")</f>
        <v>Obese</v>
      </c>
      <c r="K941" t="str" cm="1">
        <f t="array" ref="K941">_xlfn.IFS(G941&lt;10000, "Low", G941&lt;=25000, "Medium", G941&gt;25000, "High")</f>
        <v>Medium</v>
      </c>
    </row>
    <row r="942" spans="1:11" x14ac:dyDescent="0.3">
      <c r="A942">
        <v>49</v>
      </c>
      <c r="B942" s="1" t="s">
        <v>7</v>
      </c>
      <c r="C942">
        <v>33.725000000000001</v>
      </c>
      <c r="D942">
        <v>2</v>
      </c>
      <c r="E942" t="s">
        <v>10</v>
      </c>
      <c r="F942" t="s">
        <v>12</v>
      </c>
      <c r="G942" s="2">
        <v>13880.949000000001</v>
      </c>
      <c r="H942" t="str" cm="1">
        <f t="array" ref="H942">_xlfn.IFS(A942&lt;=30, "Youth", A942&lt;=50, "Adult", A942&gt;50, "Older")</f>
        <v>Adult</v>
      </c>
      <c r="I942" t="str" cm="1">
        <f t="array" ref="I942">_xlfn.IFS(A942&lt;=25,"18-25",A942&lt;=35,"26-35",A942&lt;=45,"36-45",A942&lt;=60,"46-60",A942&gt;60,"60+")</f>
        <v>46-60</v>
      </c>
      <c r="J942" t="str" cm="1">
        <f t="array" ref="J942">_xlfn.IFS(C942&lt;18.5,"Underweight",C942&lt;25,"Normal",C942&lt;30,"Overweight",C942&gt;=30,"Obese")</f>
        <v>Obese</v>
      </c>
      <c r="K942" t="str" cm="1">
        <f t="array" ref="K942">_xlfn.IFS(G942&lt;10000, "Low", G942&lt;=25000, "Medium", G942&gt;25000, "High")</f>
        <v>Medium</v>
      </c>
    </row>
    <row r="943" spans="1:11" x14ac:dyDescent="0.3">
      <c r="A943">
        <v>49</v>
      </c>
      <c r="B943" s="1" t="s">
        <v>7</v>
      </c>
      <c r="C943">
        <v>33.770000000000003</v>
      </c>
      <c r="D943">
        <v>2</v>
      </c>
      <c r="E943" t="s">
        <v>10</v>
      </c>
      <c r="F943" t="s">
        <v>14</v>
      </c>
      <c r="G943" s="2">
        <v>13887.204</v>
      </c>
      <c r="H943" t="str" cm="1">
        <f t="array" ref="H943">_xlfn.IFS(A943&lt;=30, "Youth", A943&lt;=50, "Adult", A943&gt;50, "Older")</f>
        <v>Adult</v>
      </c>
      <c r="I943" t="str" cm="1">
        <f t="array" ref="I943">_xlfn.IFS(A943&lt;=25,"18-25",A943&lt;=35,"26-35",A943&lt;=45,"36-45",A943&lt;=60,"46-60",A943&gt;60,"60+")</f>
        <v>46-60</v>
      </c>
      <c r="J943" t="str" cm="1">
        <f t="array" ref="J943">_xlfn.IFS(C943&lt;18.5,"Underweight",C943&lt;25,"Normal",C943&lt;30,"Overweight",C943&gt;=30,"Obese")</f>
        <v>Obese</v>
      </c>
      <c r="K943" t="str" cm="1">
        <f t="array" ref="K943">_xlfn.IFS(G943&lt;10000, "Low", G943&lt;=25000, "Medium", G943&gt;25000, "High")</f>
        <v>Medium</v>
      </c>
    </row>
    <row r="944" spans="1:11" x14ac:dyDescent="0.3">
      <c r="A944">
        <v>49</v>
      </c>
      <c r="B944" s="1" t="s">
        <v>8</v>
      </c>
      <c r="C944">
        <v>33.770000000000003</v>
      </c>
      <c r="D944">
        <v>2</v>
      </c>
      <c r="E944" t="s">
        <v>10</v>
      </c>
      <c r="F944" t="s">
        <v>13</v>
      </c>
      <c r="G944" s="2">
        <v>13887.968500000001</v>
      </c>
      <c r="H944" t="str" cm="1">
        <f t="array" ref="H944">_xlfn.IFS(A944&lt;=30, "Youth", A944&lt;=50, "Adult", A944&gt;50, "Older")</f>
        <v>Adult</v>
      </c>
      <c r="I944" t="str" cm="1">
        <f t="array" ref="I944">_xlfn.IFS(A944&lt;=25,"18-25",A944&lt;=35,"26-35",A944&lt;=45,"36-45",A944&lt;=60,"46-60",A944&gt;60,"60+")</f>
        <v>46-60</v>
      </c>
      <c r="J944" t="str" cm="1">
        <f t="array" ref="J944">_xlfn.IFS(C944&lt;18.5,"Underweight",C944&lt;25,"Normal",C944&lt;30,"Overweight",C944&gt;=30,"Obese")</f>
        <v>Obese</v>
      </c>
      <c r="K944" t="str" cm="1">
        <f t="array" ref="K944">_xlfn.IFS(G944&lt;10000, "Low", G944&lt;=25000, "Medium", G944&gt;25000, "High")</f>
        <v>Medium</v>
      </c>
    </row>
    <row r="945" spans="1:11" x14ac:dyDescent="0.3">
      <c r="A945">
        <v>49</v>
      </c>
      <c r="B945" s="1" t="s">
        <v>8</v>
      </c>
      <c r="C945">
        <v>33.799999999999997</v>
      </c>
      <c r="D945">
        <v>2</v>
      </c>
      <c r="E945" t="s">
        <v>10</v>
      </c>
      <c r="F945" t="s">
        <v>12</v>
      </c>
      <c r="G945" s="2">
        <v>13919.822899999999</v>
      </c>
      <c r="H945" t="str" cm="1">
        <f t="array" ref="H945">_xlfn.IFS(A945&lt;=30, "Youth", A945&lt;=50, "Adult", A945&gt;50, "Older")</f>
        <v>Adult</v>
      </c>
      <c r="I945" t="str" cm="1">
        <f t="array" ref="I945">_xlfn.IFS(A945&lt;=25,"18-25",A945&lt;=35,"26-35",A945&lt;=45,"36-45",A945&lt;=60,"46-60",A945&gt;60,"60+")</f>
        <v>46-60</v>
      </c>
      <c r="J945" t="str" cm="1">
        <f t="array" ref="J945">_xlfn.IFS(C945&lt;18.5,"Underweight",C945&lt;25,"Normal",C945&lt;30,"Overweight",C945&gt;=30,"Obese")</f>
        <v>Obese</v>
      </c>
      <c r="K945" t="str" cm="1">
        <f t="array" ref="K945">_xlfn.IFS(G945&lt;10000, "Low", G945&lt;=25000, "Medium", G945&gt;25000, "High")</f>
        <v>Medium</v>
      </c>
    </row>
    <row r="946" spans="1:11" x14ac:dyDescent="0.3">
      <c r="A946">
        <v>49</v>
      </c>
      <c r="B946" s="1" t="s">
        <v>7</v>
      </c>
      <c r="C946">
        <v>33.82</v>
      </c>
      <c r="D946">
        <v>2</v>
      </c>
      <c r="E946" t="s">
        <v>10</v>
      </c>
      <c r="F946" t="s">
        <v>11</v>
      </c>
      <c r="G946" s="2">
        <v>13937.666499999999</v>
      </c>
      <c r="H946" t="str" cm="1">
        <f t="array" ref="H946">_xlfn.IFS(A946&lt;=30, "Youth", A946&lt;=50, "Adult", A946&gt;50, "Older")</f>
        <v>Adult</v>
      </c>
      <c r="I946" t="str" cm="1">
        <f t="array" ref="I946">_xlfn.IFS(A946&lt;=25,"18-25",A946&lt;=35,"26-35",A946&lt;=45,"36-45",A946&lt;=60,"46-60",A946&gt;60,"60+")</f>
        <v>46-60</v>
      </c>
      <c r="J946" t="str" cm="1">
        <f t="array" ref="J946">_xlfn.IFS(C946&lt;18.5,"Underweight",C946&lt;25,"Normal",C946&lt;30,"Overweight",C946&gt;=30,"Obese")</f>
        <v>Obese</v>
      </c>
      <c r="K946" t="str" cm="1">
        <f t="array" ref="K946">_xlfn.IFS(G946&lt;10000, "Low", G946&lt;=25000, "Medium", G946&gt;25000, "High")</f>
        <v>Medium</v>
      </c>
    </row>
    <row r="947" spans="1:11" x14ac:dyDescent="0.3">
      <c r="A947">
        <v>49</v>
      </c>
      <c r="B947" s="1" t="s">
        <v>8</v>
      </c>
      <c r="C947">
        <v>33.82</v>
      </c>
      <c r="D947">
        <v>2</v>
      </c>
      <c r="E947" t="s">
        <v>10</v>
      </c>
      <c r="F947" t="s">
        <v>11</v>
      </c>
      <c r="G947" s="2">
        <v>13974.455550000001</v>
      </c>
      <c r="H947" t="str" cm="1">
        <f t="array" ref="H947">_xlfn.IFS(A947&lt;=30, "Youth", A947&lt;=50, "Adult", A947&gt;50, "Older")</f>
        <v>Adult</v>
      </c>
      <c r="I947" t="str" cm="1">
        <f t="array" ref="I947">_xlfn.IFS(A947&lt;=25,"18-25",A947&lt;=35,"26-35",A947&lt;=45,"36-45",A947&lt;=60,"46-60",A947&gt;60,"60+")</f>
        <v>46-60</v>
      </c>
      <c r="J947" t="str" cm="1">
        <f t="array" ref="J947">_xlfn.IFS(C947&lt;18.5,"Underweight",C947&lt;25,"Normal",C947&lt;30,"Overweight",C947&gt;=30,"Obese")</f>
        <v>Obese</v>
      </c>
      <c r="K947" t="str" cm="1">
        <f t="array" ref="K947">_xlfn.IFS(G947&lt;10000, "Low", G947&lt;=25000, "Medium", G947&gt;25000, "High")</f>
        <v>Medium</v>
      </c>
    </row>
    <row r="948" spans="1:11" x14ac:dyDescent="0.3">
      <c r="A948">
        <v>49</v>
      </c>
      <c r="B948" s="1" t="s">
        <v>8</v>
      </c>
      <c r="C948">
        <v>33.82</v>
      </c>
      <c r="D948">
        <v>2</v>
      </c>
      <c r="E948" t="s">
        <v>9</v>
      </c>
      <c r="F948" t="s">
        <v>14</v>
      </c>
      <c r="G948" s="2">
        <v>13981.850350000001</v>
      </c>
      <c r="H948" t="str" cm="1">
        <f t="array" ref="H948">_xlfn.IFS(A948&lt;=30, "Youth", A948&lt;=50, "Adult", A948&gt;50, "Older")</f>
        <v>Adult</v>
      </c>
      <c r="I948" t="str" cm="1">
        <f t="array" ref="I948">_xlfn.IFS(A948&lt;=25,"18-25",A948&lt;=35,"26-35",A948&lt;=45,"36-45",A948&lt;=60,"46-60",A948&gt;60,"60+")</f>
        <v>46-60</v>
      </c>
      <c r="J948" t="str" cm="1">
        <f t="array" ref="J948">_xlfn.IFS(C948&lt;18.5,"Underweight",C948&lt;25,"Normal",C948&lt;30,"Overweight",C948&gt;=30,"Obese")</f>
        <v>Obese</v>
      </c>
      <c r="K948" t="str" cm="1">
        <f t="array" ref="K948">_xlfn.IFS(G948&lt;10000, "Low", G948&lt;=25000, "Medium", G948&gt;25000, "High")</f>
        <v>Medium</v>
      </c>
    </row>
    <row r="949" spans="1:11" x14ac:dyDescent="0.3">
      <c r="A949">
        <v>49</v>
      </c>
      <c r="B949" s="1" t="s">
        <v>8</v>
      </c>
      <c r="C949">
        <v>33.82</v>
      </c>
      <c r="D949">
        <v>2</v>
      </c>
      <c r="E949" t="s">
        <v>10</v>
      </c>
      <c r="F949" t="s">
        <v>13</v>
      </c>
      <c r="G949" s="2">
        <v>14001.1338</v>
      </c>
      <c r="H949" t="str" cm="1">
        <f t="array" ref="H949">_xlfn.IFS(A949&lt;=30, "Youth", A949&lt;=50, "Adult", A949&gt;50, "Older")</f>
        <v>Adult</v>
      </c>
      <c r="I949" t="str" cm="1">
        <f t="array" ref="I949">_xlfn.IFS(A949&lt;=25,"18-25",A949&lt;=35,"26-35",A949&lt;=45,"36-45",A949&lt;=60,"46-60",A949&gt;60,"60+")</f>
        <v>46-60</v>
      </c>
      <c r="J949" t="str" cm="1">
        <f t="array" ref="J949">_xlfn.IFS(C949&lt;18.5,"Underweight",C949&lt;25,"Normal",C949&lt;30,"Overweight",C949&gt;=30,"Obese")</f>
        <v>Obese</v>
      </c>
      <c r="K949" t="str" cm="1">
        <f t="array" ref="K949">_xlfn.IFS(G949&lt;10000, "Low", G949&lt;=25000, "Medium", G949&gt;25000, "High")</f>
        <v>Medium</v>
      </c>
    </row>
    <row r="950" spans="1:11" x14ac:dyDescent="0.3">
      <c r="A950">
        <v>49</v>
      </c>
      <c r="B950" s="1" t="s">
        <v>8</v>
      </c>
      <c r="C950">
        <v>33.880000000000003</v>
      </c>
      <c r="D950">
        <v>2</v>
      </c>
      <c r="E950" t="s">
        <v>9</v>
      </c>
      <c r="F950" t="s">
        <v>11</v>
      </c>
      <c r="G950" s="2">
        <v>14001.286700000001</v>
      </c>
      <c r="H950" t="str" cm="1">
        <f t="array" ref="H950">_xlfn.IFS(A950&lt;=30, "Youth", A950&lt;=50, "Adult", A950&gt;50, "Older")</f>
        <v>Adult</v>
      </c>
      <c r="I950" t="str" cm="1">
        <f t="array" ref="I950">_xlfn.IFS(A950&lt;=25,"18-25",A950&lt;=35,"26-35",A950&lt;=45,"36-45",A950&lt;=60,"46-60",A950&gt;60,"60+")</f>
        <v>46-60</v>
      </c>
      <c r="J950" t="str" cm="1">
        <f t="array" ref="J950">_xlfn.IFS(C950&lt;18.5,"Underweight",C950&lt;25,"Normal",C950&lt;30,"Overweight",C950&gt;=30,"Obese")</f>
        <v>Obese</v>
      </c>
      <c r="K950" t="str" cm="1">
        <f t="array" ref="K950">_xlfn.IFS(G950&lt;10000, "Low", G950&lt;=25000, "Medium", G950&gt;25000, "High")</f>
        <v>Medium</v>
      </c>
    </row>
    <row r="951" spans="1:11" x14ac:dyDescent="0.3">
      <c r="A951">
        <v>49</v>
      </c>
      <c r="B951" s="1" t="s">
        <v>8</v>
      </c>
      <c r="C951">
        <v>33.880000000000003</v>
      </c>
      <c r="D951">
        <v>2</v>
      </c>
      <c r="E951" t="s">
        <v>10</v>
      </c>
      <c r="F951" t="s">
        <v>14</v>
      </c>
      <c r="G951" s="2">
        <v>14007.222</v>
      </c>
      <c r="H951" t="str" cm="1">
        <f t="array" ref="H951">_xlfn.IFS(A951&lt;=30, "Youth", A951&lt;=50, "Adult", A951&gt;50, "Older")</f>
        <v>Adult</v>
      </c>
      <c r="I951" t="str" cm="1">
        <f t="array" ref="I951">_xlfn.IFS(A951&lt;=25,"18-25",A951&lt;=35,"26-35",A951&lt;=45,"36-45",A951&lt;=60,"46-60",A951&gt;60,"60+")</f>
        <v>46-60</v>
      </c>
      <c r="J951" t="str" cm="1">
        <f t="array" ref="J951">_xlfn.IFS(C951&lt;18.5,"Underweight",C951&lt;25,"Normal",C951&lt;30,"Overweight",C951&gt;=30,"Obese")</f>
        <v>Obese</v>
      </c>
      <c r="K951" t="str" cm="1">
        <f t="array" ref="K951">_xlfn.IFS(G951&lt;10000, "Low", G951&lt;=25000, "Medium", G951&gt;25000, "High")</f>
        <v>Medium</v>
      </c>
    </row>
    <row r="952" spans="1:11" x14ac:dyDescent="0.3">
      <c r="A952">
        <v>49</v>
      </c>
      <c r="B952" s="1" t="s">
        <v>8</v>
      </c>
      <c r="C952">
        <v>33.880000000000003</v>
      </c>
      <c r="D952">
        <v>2</v>
      </c>
      <c r="E952" t="s">
        <v>9</v>
      </c>
      <c r="F952" t="s">
        <v>12</v>
      </c>
      <c r="G952" s="2">
        <v>14043.476699999999</v>
      </c>
      <c r="H952" t="str" cm="1">
        <f t="array" ref="H952">_xlfn.IFS(A952&lt;=30, "Youth", A952&lt;=50, "Adult", A952&gt;50, "Older")</f>
        <v>Adult</v>
      </c>
      <c r="I952" t="str" cm="1">
        <f t="array" ref="I952">_xlfn.IFS(A952&lt;=25,"18-25",A952&lt;=35,"26-35",A952&lt;=45,"36-45",A952&lt;=60,"46-60",A952&gt;60,"60+")</f>
        <v>46-60</v>
      </c>
      <c r="J952" t="str" cm="1">
        <f t="array" ref="J952">_xlfn.IFS(C952&lt;18.5,"Underweight",C952&lt;25,"Normal",C952&lt;30,"Overweight",C952&gt;=30,"Obese")</f>
        <v>Obese</v>
      </c>
      <c r="K952" t="str" cm="1">
        <f t="array" ref="K952">_xlfn.IFS(G952&lt;10000, "Low", G952&lt;=25000, "Medium", G952&gt;25000, "High")</f>
        <v>Medium</v>
      </c>
    </row>
    <row r="953" spans="1:11" x14ac:dyDescent="0.3">
      <c r="A953">
        <v>49</v>
      </c>
      <c r="B953" s="1" t="s">
        <v>7</v>
      </c>
      <c r="C953">
        <v>33.914999999999999</v>
      </c>
      <c r="D953">
        <v>2</v>
      </c>
      <c r="E953" t="s">
        <v>10</v>
      </c>
      <c r="F953" t="s">
        <v>13</v>
      </c>
      <c r="G953" s="2">
        <v>14119.62</v>
      </c>
      <c r="H953" t="str" cm="1">
        <f t="array" ref="H953">_xlfn.IFS(A953&lt;=30, "Youth", A953&lt;=50, "Adult", A953&gt;50, "Older")</f>
        <v>Adult</v>
      </c>
      <c r="I953" t="str" cm="1">
        <f t="array" ref="I953">_xlfn.IFS(A953&lt;=25,"18-25",A953&lt;=35,"26-35",A953&lt;=45,"36-45",A953&lt;=60,"46-60",A953&gt;60,"60+")</f>
        <v>46-60</v>
      </c>
      <c r="J953" t="str" cm="1">
        <f t="array" ref="J953">_xlfn.IFS(C953&lt;18.5,"Underweight",C953&lt;25,"Normal",C953&lt;30,"Overweight",C953&gt;=30,"Obese")</f>
        <v>Obese</v>
      </c>
      <c r="K953" t="str" cm="1">
        <f t="array" ref="K953">_xlfn.IFS(G953&lt;10000, "Low", G953&lt;=25000, "Medium", G953&gt;25000, "High")</f>
        <v>Medium</v>
      </c>
    </row>
    <row r="954" spans="1:11" x14ac:dyDescent="0.3">
      <c r="A954">
        <v>50</v>
      </c>
      <c r="B954" s="1" t="s">
        <v>8</v>
      </c>
      <c r="C954">
        <v>33.914999999999999</v>
      </c>
      <c r="D954">
        <v>2</v>
      </c>
      <c r="E954" t="s">
        <v>9</v>
      </c>
      <c r="F954" t="s">
        <v>11</v>
      </c>
      <c r="G954" s="2">
        <v>14133.03775</v>
      </c>
      <c r="H954" t="str" cm="1">
        <f t="array" ref="H954">_xlfn.IFS(A954&lt;=30, "Youth", A954&lt;=50, "Adult", A954&gt;50, "Older")</f>
        <v>Adult</v>
      </c>
      <c r="I954" t="str" cm="1">
        <f t="array" ref="I954">_xlfn.IFS(A954&lt;=25,"18-25",A954&lt;=35,"26-35",A954&lt;=45,"36-45",A954&lt;=60,"46-60",A954&gt;60,"60+")</f>
        <v>46-60</v>
      </c>
      <c r="J954" t="str" cm="1">
        <f t="array" ref="J954">_xlfn.IFS(C954&lt;18.5,"Underweight",C954&lt;25,"Normal",C954&lt;30,"Overweight",C954&gt;=30,"Obese")</f>
        <v>Obese</v>
      </c>
      <c r="K954" t="str" cm="1">
        <f t="array" ref="K954">_xlfn.IFS(G954&lt;10000, "Low", G954&lt;=25000, "Medium", G954&gt;25000, "High")</f>
        <v>Medium</v>
      </c>
    </row>
    <row r="955" spans="1:11" x14ac:dyDescent="0.3">
      <c r="A955">
        <v>50</v>
      </c>
      <c r="B955" s="1" t="s">
        <v>8</v>
      </c>
      <c r="C955">
        <v>33.914999999999999</v>
      </c>
      <c r="D955">
        <v>2</v>
      </c>
      <c r="E955" t="s">
        <v>9</v>
      </c>
      <c r="F955" t="s">
        <v>13</v>
      </c>
      <c r="G955" s="2">
        <v>14210.53595</v>
      </c>
      <c r="H955" t="str" cm="1">
        <f t="array" ref="H955">_xlfn.IFS(A955&lt;=30, "Youth", A955&lt;=50, "Adult", A955&gt;50, "Older")</f>
        <v>Adult</v>
      </c>
      <c r="I955" t="str" cm="1">
        <f t="array" ref="I955">_xlfn.IFS(A955&lt;=25,"18-25",A955&lt;=35,"26-35",A955&lt;=45,"36-45",A955&lt;=60,"46-60",A955&gt;60,"60+")</f>
        <v>46-60</v>
      </c>
      <c r="J955" t="str" cm="1">
        <f t="array" ref="J955">_xlfn.IFS(C955&lt;18.5,"Underweight",C955&lt;25,"Normal",C955&lt;30,"Overweight",C955&gt;=30,"Obese")</f>
        <v>Obese</v>
      </c>
      <c r="K955" t="str" cm="1">
        <f t="array" ref="K955">_xlfn.IFS(G955&lt;10000, "Low", G955&lt;=25000, "Medium", G955&gt;25000, "High")</f>
        <v>Medium</v>
      </c>
    </row>
    <row r="956" spans="1:11" x14ac:dyDescent="0.3">
      <c r="A956">
        <v>50</v>
      </c>
      <c r="B956" s="1" t="s">
        <v>8</v>
      </c>
      <c r="C956">
        <v>33.914999999999999</v>
      </c>
      <c r="D956">
        <v>2</v>
      </c>
      <c r="E956" t="s">
        <v>10</v>
      </c>
      <c r="F956" t="s">
        <v>12</v>
      </c>
      <c r="G956" s="2">
        <v>14235.072</v>
      </c>
      <c r="H956" t="str" cm="1">
        <f t="array" ref="H956">_xlfn.IFS(A956&lt;=30, "Youth", A956&lt;=50, "Adult", A956&gt;50, "Older")</f>
        <v>Adult</v>
      </c>
      <c r="I956" t="str" cm="1">
        <f t="array" ref="I956">_xlfn.IFS(A956&lt;=25,"18-25",A956&lt;=35,"26-35",A956&lt;=45,"36-45",A956&lt;=60,"46-60",A956&gt;60,"60+")</f>
        <v>46-60</v>
      </c>
      <c r="J956" t="str" cm="1">
        <f t="array" ref="J956">_xlfn.IFS(C956&lt;18.5,"Underweight",C956&lt;25,"Normal",C956&lt;30,"Overweight",C956&gt;=30,"Obese")</f>
        <v>Obese</v>
      </c>
      <c r="K956" t="str" cm="1">
        <f t="array" ref="K956">_xlfn.IFS(G956&lt;10000, "Low", G956&lt;=25000, "Medium", G956&gt;25000, "High")</f>
        <v>Medium</v>
      </c>
    </row>
    <row r="957" spans="1:11" x14ac:dyDescent="0.3">
      <c r="A957">
        <v>50</v>
      </c>
      <c r="B957" s="1" t="s">
        <v>8</v>
      </c>
      <c r="C957">
        <v>33.99</v>
      </c>
      <c r="D957">
        <v>2</v>
      </c>
      <c r="E957" t="s">
        <v>9</v>
      </c>
      <c r="F957" t="s">
        <v>12</v>
      </c>
      <c r="G957" s="2">
        <v>14254.608200000001</v>
      </c>
      <c r="H957" t="str" cm="1">
        <f t="array" ref="H957">_xlfn.IFS(A957&lt;=30, "Youth", A957&lt;=50, "Adult", A957&gt;50, "Older")</f>
        <v>Adult</v>
      </c>
      <c r="I957" t="str" cm="1">
        <f t="array" ref="I957">_xlfn.IFS(A957&lt;=25,"18-25",A957&lt;=35,"26-35",A957&lt;=45,"36-45",A957&lt;=60,"46-60",A957&gt;60,"60+")</f>
        <v>46-60</v>
      </c>
      <c r="J957" t="str" cm="1">
        <f t="array" ref="J957">_xlfn.IFS(C957&lt;18.5,"Underweight",C957&lt;25,"Normal",C957&lt;30,"Overweight",C957&gt;=30,"Obese")</f>
        <v>Obese</v>
      </c>
      <c r="K957" t="str" cm="1">
        <f t="array" ref="K957">_xlfn.IFS(G957&lt;10000, "Low", G957&lt;=25000, "Medium", G957&gt;25000, "High")</f>
        <v>Medium</v>
      </c>
    </row>
    <row r="958" spans="1:11" x14ac:dyDescent="0.3">
      <c r="A958">
        <v>50</v>
      </c>
      <c r="B958" s="1" t="s">
        <v>8</v>
      </c>
      <c r="C958">
        <v>33.99</v>
      </c>
      <c r="D958">
        <v>2</v>
      </c>
      <c r="E958" t="s">
        <v>10</v>
      </c>
      <c r="F958" t="s">
        <v>13</v>
      </c>
      <c r="G958" s="2">
        <v>14256.192800000001</v>
      </c>
      <c r="H958" t="str" cm="1">
        <f t="array" ref="H958">_xlfn.IFS(A958&lt;=30, "Youth", A958&lt;=50, "Adult", A958&gt;50, "Older")</f>
        <v>Adult</v>
      </c>
      <c r="I958" t="str" cm="1">
        <f t="array" ref="I958">_xlfn.IFS(A958&lt;=25,"18-25",A958&lt;=35,"26-35",A958&lt;=45,"36-45",A958&lt;=60,"46-60",A958&gt;60,"60+")</f>
        <v>46-60</v>
      </c>
      <c r="J958" t="str" cm="1">
        <f t="array" ref="J958">_xlfn.IFS(C958&lt;18.5,"Underweight",C958&lt;25,"Normal",C958&lt;30,"Overweight",C958&gt;=30,"Obese")</f>
        <v>Obese</v>
      </c>
      <c r="K958" t="str" cm="1">
        <f t="array" ref="K958">_xlfn.IFS(G958&lt;10000, "Low", G958&lt;=25000, "Medium", G958&gt;25000, "High")</f>
        <v>Medium</v>
      </c>
    </row>
    <row r="959" spans="1:11" x14ac:dyDescent="0.3">
      <c r="A959">
        <v>50</v>
      </c>
      <c r="B959" s="1" t="s">
        <v>8</v>
      </c>
      <c r="C959">
        <v>34.01</v>
      </c>
      <c r="D959">
        <v>2</v>
      </c>
      <c r="E959" t="s">
        <v>9</v>
      </c>
      <c r="F959" t="s">
        <v>14</v>
      </c>
      <c r="G959" s="2">
        <v>14283.4594</v>
      </c>
      <c r="H959" t="str" cm="1">
        <f t="array" ref="H959">_xlfn.IFS(A959&lt;=30, "Youth", A959&lt;=50, "Adult", A959&gt;50, "Older")</f>
        <v>Adult</v>
      </c>
      <c r="I959" t="str" cm="1">
        <f t="array" ref="I959">_xlfn.IFS(A959&lt;=25,"18-25",A959&lt;=35,"26-35",A959&lt;=45,"36-45",A959&lt;=60,"46-60",A959&gt;60,"60+")</f>
        <v>46-60</v>
      </c>
      <c r="J959" t="str" cm="1">
        <f t="array" ref="J959">_xlfn.IFS(C959&lt;18.5,"Underweight",C959&lt;25,"Normal",C959&lt;30,"Overweight",C959&gt;=30,"Obese")</f>
        <v>Obese</v>
      </c>
      <c r="K959" t="str" cm="1">
        <f t="array" ref="K959">_xlfn.IFS(G959&lt;10000, "Low", G959&lt;=25000, "Medium", G959&gt;25000, "High")</f>
        <v>Medium</v>
      </c>
    </row>
    <row r="960" spans="1:11" x14ac:dyDescent="0.3">
      <c r="A960">
        <v>50</v>
      </c>
      <c r="B960" s="1" t="s">
        <v>8</v>
      </c>
      <c r="C960">
        <v>34.1</v>
      </c>
      <c r="D960">
        <v>2</v>
      </c>
      <c r="E960" t="s">
        <v>10</v>
      </c>
      <c r="F960" t="s">
        <v>13</v>
      </c>
      <c r="G960" s="2">
        <v>14313.846299999999</v>
      </c>
      <c r="H960" t="str" cm="1">
        <f t="array" ref="H960">_xlfn.IFS(A960&lt;=30, "Youth", A960&lt;=50, "Adult", A960&gt;50, "Older")</f>
        <v>Adult</v>
      </c>
      <c r="I960" t="str" cm="1">
        <f t="array" ref="I960">_xlfn.IFS(A960&lt;=25,"18-25",A960&lt;=35,"26-35",A960&lt;=45,"36-45",A960&lt;=60,"46-60",A960&gt;60,"60+")</f>
        <v>46-60</v>
      </c>
      <c r="J960" t="str" cm="1">
        <f t="array" ref="J960">_xlfn.IFS(C960&lt;18.5,"Underweight",C960&lt;25,"Normal",C960&lt;30,"Overweight",C960&gt;=30,"Obese")</f>
        <v>Obese</v>
      </c>
      <c r="K960" t="str" cm="1">
        <f t="array" ref="K960">_xlfn.IFS(G960&lt;10000, "Low", G960&lt;=25000, "Medium", G960&gt;25000, "High")</f>
        <v>Medium</v>
      </c>
    </row>
    <row r="961" spans="1:11" x14ac:dyDescent="0.3">
      <c r="A961">
        <v>50</v>
      </c>
      <c r="B961" s="1" t="s">
        <v>7</v>
      </c>
      <c r="C961">
        <v>34.1</v>
      </c>
      <c r="D961">
        <v>2</v>
      </c>
      <c r="E961" t="s">
        <v>10</v>
      </c>
      <c r="F961" t="s">
        <v>13</v>
      </c>
      <c r="G961" s="2">
        <v>14319.031000000001</v>
      </c>
      <c r="H961" t="str" cm="1">
        <f t="array" ref="H961">_xlfn.IFS(A961&lt;=30, "Youth", A961&lt;=50, "Adult", A961&gt;50, "Older")</f>
        <v>Adult</v>
      </c>
      <c r="I961" t="str" cm="1">
        <f t="array" ref="I961">_xlfn.IFS(A961&lt;=25,"18-25",A961&lt;=35,"26-35",A961&lt;=45,"36-45",A961&lt;=60,"46-60",A961&gt;60,"60+")</f>
        <v>46-60</v>
      </c>
      <c r="J961" t="str" cm="1">
        <f t="array" ref="J961">_xlfn.IFS(C961&lt;18.5,"Underweight",C961&lt;25,"Normal",C961&lt;30,"Overweight",C961&gt;=30,"Obese")</f>
        <v>Obese</v>
      </c>
      <c r="K961" t="str" cm="1">
        <f t="array" ref="K961">_xlfn.IFS(G961&lt;10000, "Low", G961&lt;=25000, "Medium", G961&gt;25000, "High")</f>
        <v>Medium</v>
      </c>
    </row>
    <row r="962" spans="1:11" x14ac:dyDescent="0.3">
      <c r="A962">
        <v>50</v>
      </c>
      <c r="B962" s="1" t="s">
        <v>7</v>
      </c>
      <c r="C962">
        <v>34.1</v>
      </c>
      <c r="D962">
        <v>2</v>
      </c>
      <c r="E962" t="s">
        <v>10</v>
      </c>
      <c r="F962" t="s">
        <v>11</v>
      </c>
      <c r="G962" s="2">
        <v>14349.8544</v>
      </c>
      <c r="H962" t="str" cm="1">
        <f t="array" ref="H962">_xlfn.IFS(A962&lt;=30, "Youth", A962&lt;=50, "Adult", A962&gt;50, "Older")</f>
        <v>Adult</v>
      </c>
      <c r="I962" t="str" cm="1">
        <f t="array" ref="I962">_xlfn.IFS(A962&lt;=25,"18-25",A962&lt;=35,"26-35",A962&lt;=45,"36-45",A962&lt;=60,"46-60",A962&gt;60,"60+")</f>
        <v>46-60</v>
      </c>
      <c r="J962" t="str" cm="1">
        <f t="array" ref="J962">_xlfn.IFS(C962&lt;18.5,"Underweight",C962&lt;25,"Normal",C962&lt;30,"Overweight",C962&gt;=30,"Obese")</f>
        <v>Obese</v>
      </c>
      <c r="K962" t="str" cm="1">
        <f t="array" ref="K962">_xlfn.IFS(G962&lt;10000, "Low", G962&lt;=25000, "Medium", G962&gt;25000, "High")</f>
        <v>Medium</v>
      </c>
    </row>
    <row r="963" spans="1:11" x14ac:dyDescent="0.3">
      <c r="A963">
        <v>50</v>
      </c>
      <c r="B963" s="1" t="s">
        <v>7</v>
      </c>
      <c r="C963">
        <v>34.1</v>
      </c>
      <c r="D963">
        <v>2</v>
      </c>
      <c r="E963" t="s">
        <v>10</v>
      </c>
      <c r="F963" t="s">
        <v>12</v>
      </c>
      <c r="G963" s="2">
        <v>14358.364369999999</v>
      </c>
      <c r="H963" t="str" cm="1">
        <f t="array" ref="H963">_xlfn.IFS(A963&lt;=30, "Youth", A963&lt;=50, "Adult", A963&gt;50, "Older")</f>
        <v>Adult</v>
      </c>
      <c r="I963" t="str" cm="1">
        <f t="array" ref="I963">_xlfn.IFS(A963&lt;=25,"18-25",A963&lt;=35,"26-35",A963&lt;=45,"36-45",A963&lt;=60,"46-60",A963&gt;60,"60+")</f>
        <v>46-60</v>
      </c>
      <c r="J963" t="str" cm="1">
        <f t="array" ref="J963">_xlfn.IFS(C963&lt;18.5,"Underweight",C963&lt;25,"Normal",C963&lt;30,"Overweight",C963&gt;=30,"Obese")</f>
        <v>Obese</v>
      </c>
      <c r="K963" t="str" cm="1">
        <f t="array" ref="K963">_xlfn.IFS(G963&lt;10000, "Low", G963&lt;=25000, "Medium", G963&gt;25000, "High")</f>
        <v>Medium</v>
      </c>
    </row>
    <row r="964" spans="1:11" x14ac:dyDescent="0.3">
      <c r="A964">
        <v>50</v>
      </c>
      <c r="B964" s="1" t="s">
        <v>8</v>
      </c>
      <c r="C964">
        <v>34.1</v>
      </c>
      <c r="D964">
        <v>2</v>
      </c>
      <c r="E964" t="s">
        <v>10</v>
      </c>
      <c r="F964" t="s">
        <v>14</v>
      </c>
      <c r="G964" s="2">
        <v>14382.709049999999</v>
      </c>
      <c r="H964" t="str" cm="1">
        <f t="array" ref="H964">_xlfn.IFS(A964&lt;=30, "Youth", A964&lt;=50, "Adult", A964&gt;50, "Older")</f>
        <v>Adult</v>
      </c>
      <c r="I964" t="str" cm="1">
        <f t="array" ref="I964">_xlfn.IFS(A964&lt;=25,"18-25",A964&lt;=35,"26-35",A964&lt;=45,"36-45",A964&lt;=60,"46-60",A964&gt;60,"60+")</f>
        <v>46-60</v>
      </c>
      <c r="J964" t="str" cm="1">
        <f t="array" ref="J964">_xlfn.IFS(C964&lt;18.5,"Underweight",C964&lt;25,"Normal",C964&lt;30,"Overweight",C964&gt;=30,"Obese")</f>
        <v>Obese</v>
      </c>
      <c r="K964" t="str" cm="1">
        <f t="array" ref="K964">_xlfn.IFS(G964&lt;10000, "Low", G964&lt;=25000, "Medium", G964&gt;25000, "High")</f>
        <v>Medium</v>
      </c>
    </row>
    <row r="965" spans="1:11" x14ac:dyDescent="0.3">
      <c r="A965">
        <v>50</v>
      </c>
      <c r="B965" s="1" t="s">
        <v>8</v>
      </c>
      <c r="C965">
        <v>34.1</v>
      </c>
      <c r="D965">
        <v>2</v>
      </c>
      <c r="E965" t="s">
        <v>10</v>
      </c>
      <c r="F965" t="s">
        <v>13</v>
      </c>
      <c r="G965" s="2">
        <v>14394.398150000001</v>
      </c>
      <c r="H965" t="str" cm="1">
        <f t="array" ref="H965">_xlfn.IFS(A965&lt;=30, "Youth", A965&lt;=50, "Adult", A965&gt;50, "Older")</f>
        <v>Adult</v>
      </c>
      <c r="I965" t="str" cm="1">
        <f t="array" ref="I965">_xlfn.IFS(A965&lt;=25,"18-25",A965&lt;=35,"26-35",A965&lt;=45,"36-45",A965&lt;=60,"46-60",A965&gt;60,"60+")</f>
        <v>46-60</v>
      </c>
      <c r="J965" t="str" cm="1">
        <f t="array" ref="J965">_xlfn.IFS(C965&lt;18.5,"Underweight",C965&lt;25,"Normal",C965&lt;30,"Overweight",C965&gt;=30,"Obese")</f>
        <v>Obese</v>
      </c>
      <c r="K965" t="str" cm="1">
        <f t="array" ref="K965">_xlfn.IFS(G965&lt;10000, "Low", G965&lt;=25000, "Medium", G965&gt;25000, "High")</f>
        <v>Medium</v>
      </c>
    </row>
    <row r="966" spans="1:11" x14ac:dyDescent="0.3">
      <c r="A966">
        <v>50</v>
      </c>
      <c r="B966" s="1" t="s">
        <v>8</v>
      </c>
      <c r="C966">
        <v>34.1</v>
      </c>
      <c r="D966">
        <v>2</v>
      </c>
      <c r="E966" t="s">
        <v>10</v>
      </c>
      <c r="F966" t="s">
        <v>11</v>
      </c>
      <c r="G966" s="2">
        <v>14394.5579</v>
      </c>
      <c r="H966" t="str" cm="1">
        <f t="array" ref="H966">_xlfn.IFS(A966&lt;=30, "Youth", A966&lt;=50, "Adult", A966&gt;50, "Older")</f>
        <v>Adult</v>
      </c>
      <c r="I966" t="str" cm="1">
        <f t="array" ref="I966">_xlfn.IFS(A966&lt;=25,"18-25",A966&lt;=35,"26-35",A966&lt;=45,"36-45",A966&lt;=60,"46-60",A966&gt;60,"60+")</f>
        <v>46-60</v>
      </c>
      <c r="J966" t="str" cm="1">
        <f t="array" ref="J966">_xlfn.IFS(C966&lt;18.5,"Underweight",C966&lt;25,"Normal",C966&lt;30,"Overweight",C966&gt;=30,"Obese")</f>
        <v>Obese</v>
      </c>
      <c r="K966" t="str" cm="1">
        <f t="array" ref="K966">_xlfn.IFS(G966&lt;10000, "Low", G966&lt;=25000, "Medium", G966&gt;25000, "High")</f>
        <v>Medium</v>
      </c>
    </row>
    <row r="967" spans="1:11" x14ac:dyDescent="0.3">
      <c r="A967">
        <v>50</v>
      </c>
      <c r="B967" s="1" t="s">
        <v>8</v>
      </c>
      <c r="C967">
        <v>34.1</v>
      </c>
      <c r="D967">
        <v>2</v>
      </c>
      <c r="E967" t="s">
        <v>9</v>
      </c>
      <c r="F967" t="s">
        <v>13</v>
      </c>
      <c r="G967" s="2">
        <v>14410.9321</v>
      </c>
      <c r="H967" t="str" cm="1">
        <f t="array" ref="H967">_xlfn.IFS(A967&lt;=30, "Youth", A967&lt;=50, "Adult", A967&gt;50, "Older")</f>
        <v>Adult</v>
      </c>
      <c r="I967" t="str" cm="1">
        <f t="array" ref="I967">_xlfn.IFS(A967&lt;=25,"18-25",A967&lt;=35,"26-35",A967&lt;=45,"36-45",A967&lt;=60,"46-60",A967&gt;60,"60+")</f>
        <v>46-60</v>
      </c>
      <c r="J967" t="str" cm="1">
        <f t="array" ref="J967">_xlfn.IFS(C967&lt;18.5,"Underweight",C967&lt;25,"Normal",C967&lt;30,"Overweight",C967&gt;=30,"Obese")</f>
        <v>Obese</v>
      </c>
      <c r="K967" t="str" cm="1">
        <f t="array" ref="K967">_xlfn.IFS(G967&lt;10000, "Low", G967&lt;=25000, "Medium", G967&gt;25000, "High")</f>
        <v>Medium</v>
      </c>
    </row>
    <row r="968" spans="1:11" x14ac:dyDescent="0.3">
      <c r="A968">
        <v>50</v>
      </c>
      <c r="B968" s="1" t="s">
        <v>8</v>
      </c>
      <c r="C968">
        <v>34.104999999999997</v>
      </c>
      <c r="D968">
        <v>2</v>
      </c>
      <c r="E968" t="s">
        <v>10</v>
      </c>
      <c r="F968" t="s">
        <v>13</v>
      </c>
      <c r="G968" s="2">
        <v>14418.2804</v>
      </c>
      <c r="H968" t="str" cm="1">
        <f t="array" ref="H968">_xlfn.IFS(A968&lt;=30, "Youth", A968&lt;=50, "Adult", A968&gt;50, "Older")</f>
        <v>Adult</v>
      </c>
      <c r="I968" t="str" cm="1">
        <f t="array" ref="I968">_xlfn.IFS(A968&lt;=25,"18-25",A968&lt;=35,"26-35",A968&lt;=45,"36-45",A968&lt;=60,"46-60",A968&gt;60,"60+")</f>
        <v>46-60</v>
      </c>
      <c r="J968" t="str" cm="1">
        <f t="array" ref="J968">_xlfn.IFS(C968&lt;18.5,"Underweight",C968&lt;25,"Normal",C968&lt;30,"Overweight",C968&gt;=30,"Obese")</f>
        <v>Obese</v>
      </c>
      <c r="K968" t="str" cm="1">
        <f t="array" ref="K968">_xlfn.IFS(G968&lt;10000, "Low", G968&lt;=25000, "Medium", G968&gt;25000, "High")</f>
        <v>Medium</v>
      </c>
    </row>
    <row r="969" spans="1:11" x14ac:dyDescent="0.3">
      <c r="A969">
        <v>50</v>
      </c>
      <c r="B969" s="1" t="s">
        <v>8</v>
      </c>
      <c r="C969">
        <v>34.104999999999997</v>
      </c>
      <c r="D969">
        <v>2</v>
      </c>
      <c r="E969" t="s">
        <v>10</v>
      </c>
      <c r="F969" t="s">
        <v>14</v>
      </c>
      <c r="G969" s="2">
        <v>14426.073850000001</v>
      </c>
      <c r="H969" t="str" cm="1">
        <f t="array" ref="H969">_xlfn.IFS(A969&lt;=30, "Youth", A969&lt;=50, "Adult", A969&gt;50, "Older")</f>
        <v>Adult</v>
      </c>
      <c r="I969" t="str" cm="1">
        <f t="array" ref="I969">_xlfn.IFS(A969&lt;=25,"18-25",A969&lt;=35,"26-35",A969&lt;=45,"36-45",A969&lt;=60,"46-60",A969&gt;60,"60+")</f>
        <v>46-60</v>
      </c>
      <c r="J969" t="str" cm="1">
        <f t="array" ref="J969">_xlfn.IFS(C969&lt;18.5,"Underweight",C969&lt;25,"Normal",C969&lt;30,"Overweight",C969&gt;=30,"Obese")</f>
        <v>Obese</v>
      </c>
      <c r="K969" t="str" cm="1">
        <f t="array" ref="K969">_xlfn.IFS(G969&lt;10000, "Low", G969&lt;=25000, "Medium", G969&gt;25000, "High")</f>
        <v>Medium</v>
      </c>
    </row>
    <row r="970" spans="1:11" x14ac:dyDescent="0.3">
      <c r="A970">
        <v>50</v>
      </c>
      <c r="B970" s="1" t="s">
        <v>7</v>
      </c>
      <c r="C970">
        <v>34.104999999999997</v>
      </c>
      <c r="D970">
        <v>2</v>
      </c>
      <c r="E970" t="s">
        <v>10</v>
      </c>
      <c r="F970" t="s">
        <v>12</v>
      </c>
      <c r="G970" s="2">
        <v>14449.8544</v>
      </c>
      <c r="H970" t="str" cm="1">
        <f t="array" ref="H970">_xlfn.IFS(A970&lt;=30, "Youth", A970&lt;=50, "Adult", A970&gt;50, "Older")</f>
        <v>Adult</v>
      </c>
      <c r="I970" t="str" cm="1">
        <f t="array" ref="I970">_xlfn.IFS(A970&lt;=25,"18-25",A970&lt;=35,"26-35",A970&lt;=45,"36-45",A970&lt;=60,"46-60",A970&gt;60,"60+")</f>
        <v>46-60</v>
      </c>
      <c r="J970" t="str" cm="1">
        <f t="array" ref="J970">_xlfn.IFS(C970&lt;18.5,"Underweight",C970&lt;25,"Normal",C970&lt;30,"Overweight",C970&gt;=30,"Obese")</f>
        <v>Obese</v>
      </c>
      <c r="K970" t="str" cm="1">
        <f t="array" ref="K970">_xlfn.IFS(G970&lt;10000, "Low", G970&lt;=25000, "Medium", G970&gt;25000, "High")</f>
        <v>Medium</v>
      </c>
    </row>
    <row r="971" spans="1:11" x14ac:dyDescent="0.3">
      <c r="A971">
        <v>50</v>
      </c>
      <c r="B971" s="1" t="s">
        <v>7</v>
      </c>
      <c r="C971">
        <v>34.104999999999997</v>
      </c>
      <c r="D971">
        <v>2</v>
      </c>
      <c r="E971" t="s">
        <v>10</v>
      </c>
      <c r="F971" t="s">
        <v>12</v>
      </c>
      <c r="G971" s="2">
        <v>14451.835150000001</v>
      </c>
      <c r="H971" t="str" cm="1">
        <f t="array" ref="H971">_xlfn.IFS(A971&lt;=30, "Youth", A971&lt;=50, "Adult", A971&gt;50, "Older")</f>
        <v>Adult</v>
      </c>
      <c r="I971" t="str" cm="1">
        <f t="array" ref="I971">_xlfn.IFS(A971&lt;=25,"18-25",A971&lt;=35,"26-35",A971&lt;=45,"36-45",A971&lt;=60,"46-60",A971&gt;60,"60+")</f>
        <v>46-60</v>
      </c>
      <c r="J971" t="str" cm="1">
        <f t="array" ref="J971">_xlfn.IFS(C971&lt;18.5,"Underweight",C971&lt;25,"Normal",C971&lt;30,"Overweight",C971&gt;=30,"Obese")</f>
        <v>Obese</v>
      </c>
      <c r="K971" t="str" cm="1">
        <f t="array" ref="K971">_xlfn.IFS(G971&lt;10000, "Low", G971&lt;=25000, "Medium", G971&gt;25000, "High")</f>
        <v>Medium</v>
      </c>
    </row>
    <row r="972" spans="1:11" x14ac:dyDescent="0.3">
      <c r="A972">
        <v>50</v>
      </c>
      <c r="B972" s="1" t="s">
        <v>7</v>
      </c>
      <c r="C972">
        <v>34.200000000000003</v>
      </c>
      <c r="D972">
        <v>2</v>
      </c>
      <c r="E972" t="s">
        <v>10</v>
      </c>
      <c r="F972" t="s">
        <v>14</v>
      </c>
      <c r="G972" s="2">
        <v>14455.644050000001</v>
      </c>
      <c r="H972" t="str" cm="1">
        <f t="array" ref="H972">_xlfn.IFS(A972&lt;=30, "Youth", A972&lt;=50, "Adult", A972&gt;50, "Older")</f>
        <v>Adult</v>
      </c>
      <c r="I972" t="str" cm="1">
        <f t="array" ref="I972">_xlfn.IFS(A972&lt;=25,"18-25",A972&lt;=35,"26-35",A972&lt;=45,"36-45",A972&lt;=60,"46-60",A972&gt;60,"60+")</f>
        <v>46-60</v>
      </c>
      <c r="J972" t="str" cm="1">
        <f t="array" ref="J972">_xlfn.IFS(C972&lt;18.5,"Underweight",C972&lt;25,"Normal",C972&lt;30,"Overweight",C972&gt;=30,"Obese")</f>
        <v>Obese</v>
      </c>
      <c r="K972" t="str" cm="1">
        <f t="array" ref="K972">_xlfn.IFS(G972&lt;10000, "Low", G972&lt;=25000, "Medium", G972&gt;25000, "High")</f>
        <v>Medium</v>
      </c>
    </row>
    <row r="973" spans="1:11" x14ac:dyDescent="0.3">
      <c r="A973">
        <v>50</v>
      </c>
      <c r="B973" s="1" t="s">
        <v>7</v>
      </c>
      <c r="C973">
        <v>34.200000000000003</v>
      </c>
      <c r="D973">
        <v>2</v>
      </c>
      <c r="E973" t="s">
        <v>10</v>
      </c>
      <c r="F973" t="s">
        <v>13</v>
      </c>
      <c r="G973" s="2">
        <v>14474.674999999999</v>
      </c>
      <c r="H973" t="str" cm="1">
        <f t="array" ref="H973">_xlfn.IFS(A973&lt;=30, "Youth", A973&lt;=50, "Adult", A973&gt;50, "Older")</f>
        <v>Adult</v>
      </c>
      <c r="I973" t="str" cm="1">
        <f t="array" ref="I973">_xlfn.IFS(A973&lt;=25,"18-25",A973&lt;=35,"26-35",A973&lt;=45,"36-45",A973&lt;=60,"46-60",A973&gt;60,"60+")</f>
        <v>46-60</v>
      </c>
      <c r="J973" t="str" cm="1">
        <f t="array" ref="J973">_xlfn.IFS(C973&lt;18.5,"Underweight",C973&lt;25,"Normal",C973&lt;30,"Overweight",C973&gt;=30,"Obese")</f>
        <v>Obese</v>
      </c>
      <c r="K973" t="str" cm="1">
        <f t="array" ref="K973">_xlfn.IFS(G973&lt;10000, "Low", G973&lt;=25000, "Medium", G973&gt;25000, "High")</f>
        <v>Medium</v>
      </c>
    </row>
    <row r="974" spans="1:11" x14ac:dyDescent="0.3">
      <c r="A974">
        <v>50</v>
      </c>
      <c r="B974" s="1" t="s">
        <v>7</v>
      </c>
      <c r="C974">
        <v>34.200000000000003</v>
      </c>
      <c r="D974">
        <v>2</v>
      </c>
      <c r="E974" t="s">
        <v>10</v>
      </c>
      <c r="F974" t="s">
        <v>11</v>
      </c>
      <c r="G974" s="2">
        <v>14478.33015</v>
      </c>
      <c r="H974" t="str" cm="1">
        <f t="array" ref="H974">_xlfn.IFS(A974&lt;=30, "Youth", A974&lt;=50, "Adult", A974&gt;50, "Older")</f>
        <v>Adult</v>
      </c>
      <c r="I974" t="str" cm="1">
        <f t="array" ref="I974">_xlfn.IFS(A974&lt;=25,"18-25",A974&lt;=35,"26-35",A974&lt;=45,"36-45",A974&lt;=60,"46-60",A974&gt;60,"60+")</f>
        <v>46-60</v>
      </c>
      <c r="J974" t="str" cm="1">
        <f t="array" ref="J974">_xlfn.IFS(C974&lt;18.5,"Underweight",C974&lt;25,"Normal",C974&lt;30,"Overweight",C974&gt;=30,"Obese")</f>
        <v>Obese</v>
      </c>
      <c r="K974" t="str" cm="1">
        <f t="array" ref="K974">_xlfn.IFS(G974&lt;10000, "Low", G974&lt;=25000, "Medium", G974&gt;25000, "High")</f>
        <v>Medium</v>
      </c>
    </row>
    <row r="975" spans="1:11" x14ac:dyDescent="0.3">
      <c r="A975">
        <v>50</v>
      </c>
      <c r="B975" s="1" t="s">
        <v>8</v>
      </c>
      <c r="C975">
        <v>34.200000000000003</v>
      </c>
      <c r="D975">
        <v>2</v>
      </c>
      <c r="E975" t="s">
        <v>10</v>
      </c>
      <c r="F975" t="s">
        <v>12</v>
      </c>
      <c r="G975" s="2">
        <v>14571.890799999999</v>
      </c>
      <c r="H975" t="str" cm="1">
        <f t="array" ref="H975">_xlfn.IFS(A975&lt;=30, "Youth", A975&lt;=50, "Adult", A975&gt;50, "Older")</f>
        <v>Adult</v>
      </c>
      <c r="I975" t="str" cm="1">
        <f t="array" ref="I975">_xlfn.IFS(A975&lt;=25,"18-25",A975&lt;=35,"26-35",A975&lt;=45,"36-45",A975&lt;=60,"46-60",A975&gt;60,"60+")</f>
        <v>46-60</v>
      </c>
      <c r="J975" t="str" cm="1">
        <f t="array" ref="J975">_xlfn.IFS(C975&lt;18.5,"Underweight",C975&lt;25,"Normal",C975&lt;30,"Overweight",C975&gt;=30,"Obese")</f>
        <v>Obese</v>
      </c>
      <c r="K975" t="str" cm="1">
        <f t="array" ref="K975">_xlfn.IFS(G975&lt;10000, "Low", G975&lt;=25000, "Medium", G975&gt;25000, "High")</f>
        <v>Medium</v>
      </c>
    </row>
    <row r="976" spans="1:11" x14ac:dyDescent="0.3">
      <c r="A976">
        <v>50</v>
      </c>
      <c r="B976" s="1" t="s">
        <v>8</v>
      </c>
      <c r="C976">
        <v>34.200000000000003</v>
      </c>
      <c r="D976">
        <v>2</v>
      </c>
      <c r="E976" t="s">
        <v>9</v>
      </c>
      <c r="F976" t="s">
        <v>14</v>
      </c>
      <c r="G976" s="2">
        <v>14590.63205</v>
      </c>
      <c r="H976" t="str" cm="1">
        <f t="array" ref="H976">_xlfn.IFS(A976&lt;=30, "Youth", A976&lt;=50, "Adult", A976&gt;50, "Older")</f>
        <v>Adult</v>
      </c>
      <c r="I976" t="str" cm="1">
        <f t="array" ref="I976">_xlfn.IFS(A976&lt;=25,"18-25",A976&lt;=35,"26-35",A976&lt;=45,"36-45",A976&lt;=60,"46-60",A976&gt;60,"60+")</f>
        <v>46-60</v>
      </c>
      <c r="J976" t="str" cm="1">
        <f t="array" ref="J976">_xlfn.IFS(C976&lt;18.5,"Underweight",C976&lt;25,"Normal",C976&lt;30,"Overweight",C976&gt;=30,"Obese")</f>
        <v>Obese</v>
      </c>
      <c r="K976" t="str" cm="1">
        <f t="array" ref="K976">_xlfn.IFS(G976&lt;10000, "Low", G976&lt;=25000, "Medium", G976&gt;25000, "High")</f>
        <v>Medium</v>
      </c>
    </row>
    <row r="977" spans="1:11" x14ac:dyDescent="0.3">
      <c r="A977">
        <v>50</v>
      </c>
      <c r="B977" s="1" t="s">
        <v>8</v>
      </c>
      <c r="C977">
        <v>34.21</v>
      </c>
      <c r="D977">
        <v>2</v>
      </c>
      <c r="E977" t="s">
        <v>10</v>
      </c>
      <c r="F977" t="s">
        <v>12</v>
      </c>
      <c r="G977" s="2">
        <v>14692.66935</v>
      </c>
      <c r="H977" t="str" cm="1">
        <f t="array" ref="H977">_xlfn.IFS(A977&lt;=30, "Youth", A977&lt;=50, "Adult", A977&gt;50, "Older")</f>
        <v>Adult</v>
      </c>
      <c r="I977" t="str" cm="1">
        <f t="array" ref="I977">_xlfn.IFS(A977&lt;=25,"18-25",A977&lt;=35,"26-35",A977&lt;=45,"36-45",A977&lt;=60,"46-60",A977&gt;60,"60+")</f>
        <v>46-60</v>
      </c>
      <c r="J977" t="str" cm="1">
        <f t="array" ref="J977">_xlfn.IFS(C977&lt;18.5,"Underweight",C977&lt;25,"Normal",C977&lt;30,"Overweight",C977&gt;=30,"Obese")</f>
        <v>Obese</v>
      </c>
      <c r="K977" t="str" cm="1">
        <f t="array" ref="K977">_xlfn.IFS(G977&lt;10000, "Low", G977&lt;=25000, "Medium", G977&gt;25000, "High")</f>
        <v>Medium</v>
      </c>
    </row>
    <row r="978" spans="1:11" x14ac:dyDescent="0.3">
      <c r="A978">
        <v>50</v>
      </c>
      <c r="B978" s="1" t="s">
        <v>8</v>
      </c>
      <c r="C978">
        <v>34.21</v>
      </c>
      <c r="D978">
        <v>2</v>
      </c>
      <c r="E978" t="s">
        <v>10</v>
      </c>
      <c r="F978" t="s">
        <v>12</v>
      </c>
      <c r="G978" s="2">
        <v>14711.7438</v>
      </c>
      <c r="H978" t="str" cm="1">
        <f t="array" ref="H978">_xlfn.IFS(A978&lt;=30, "Youth", A978&lt;=50, "Adult", A978&gt;50, "Older")</f>
        <v>Adult</v>
      </c>
      <c r="I978" t="str" cm="1">
        <f t="array" ref="I978">_xlfn.IFS(A978&lt;=25,"18-25",A978&lt;=35,"26-35",A978&lt;=45,"36-45",A978&lt;=60,"46-60",A978&gt;60,"60+")</f>
        <v>46-60</v>
      </c>
      <c r="J978" t="str" cm="1">
        <f t="array" ref="J978">_xlfn.IFS(C978&lt;18.5,"Underweight",C978&lt;25,"Normal",C978&lt;30,"Overweight",C978&gt;=30,"Obese")</f>
        <v>Obese</v>
      </c>
      <c r="K978" t="str" cm="1">
        <f t="array" ref="K978">_xlfn.IFS(G978&lt;10000, "Low", G978&lt;=25000, "Medium", G978&gt;25000, "High")</f>
        <v>Medium</v>
      </c>
    </row>
    <row r="979" spans="1:11" x14ac:dyDescent="0.3">
      <c r="A979">
        <v>50</v>
      </c>
      <c r="B979" s="1" t="s">
        <v>7</v>
      </c>
      <c r="C979">
        <v>34.21</v>
      </c>
      <c r="D979">
        <v>2</v>
      </c>
      <c r="E979" t="s">
        <v>10</v>
      </c>
      <c r="F979" t="s">
        <v>14</v>
      </c>
      <c r="G979" s="2">
        <v>14901.5167</v>
      </c>
      <c r="H979" t="str" cm="1">
        <f t="array" ref="H979">_xlfn.IFS(A979&lt;=30, "Youth", A979&lt;=50, "Adult", A979&gt;50, "Older")</f>
        <v>Adult</v>
      </c>
      <c r="I979" t="str" cm="1">
        <f t="array" ref="I979">_xlfn.IFS(A979&lt;=25,"18-25",A979&lt;=35,"26-35",A979&lt;=45,"36-45",A979&lt;=60,"46-60",A979&gt;60,"60+")</f>
        <v>46-60</v>
      </c>
      <c r="J979" t="str" cm="1">
        <f t="array" ref="J979">_xlfn.IFS(C979&lt;18.5,"Underweight",C979&lt;25,"Normal",C979&lt;30,"Overweight",C979&gt;=30,"Obese")</f>
        <v>Obese</v>
      </c>
      <c r="K979" t="str" cm="1">
        <f t="array" ref="K979">_xlfn.IFS(G979&lt;10000, "Low", G979&lt;=25000, "Medium", G979&gt;25000, "High")</f>
        <v>Medium</v>
      </c>
    </row>
    <row r="980" spans="1:11" x14ac:dyDescent="0.3">
      <c r="A980">
        <v>50</v>
      </c>
      <c r="B980" s="1" t="s">
        <v>7</v>
      </c>
      <c r="C980">
        <v>34.21</v>
      </c>
      <c r="D980">
        <v>2</v>
      </c>
      <c r="E980" t="s">
        <v>10</v>
      </c>
      <c r="F980" t="s">
        <v>12</v>
      </c>
      <c r="G980" s="2">
        <v>14988.432000000001</v>
      </c>
      <c r="H980" t="str" cm="1">
        <f t="array" ref="H980">_xlfn.IFS(A980&lt;=30, "Youth", A980&lt;=50, "Adult", A980&gt;50, "Older")</f>
        <v>Adult</v>
      </c>
      <c r="I980" t="str" cm="1">
        <f t="array" ref="I980">_xlfn.IFS(A980&lt;=25,"18-25",A980&lt;=35,"26-35",A980&lt;=45,"36-45",A980&lt;=60,"46-60",A980&gt;60,"60+")</f>
        <v>46-60</v>
      </c>
      <c r="J980" t="str" cm="1">
        <f t="array" ref="J980">_xlfn.IFS(C980&lt;18.5,"Underweight",C980&lt;25,"Normal",C980&lt;30,"Overweight",C980&gt;=30,"Obese")</f>
        <v>Obese</v>
      </c>
      <c r="K980" t="str" cm="1">
        <f t="array" ref="K980">_xlfn.IFS(G980&lt;10000, "Low", G980&lt;=25000, "Medium", G980&gt;25000, "High")</f>
        <v>Medium</v>
      </c>
    </row>
    <row r="981" spans="1:11" x14ac:dyDescent="0.3">
      <c r="A981">
        <v>50</v>
      </c>
      <c r="B981" s="1" t="s">
        <v>8</v>
      </c>
      <c r="C981">
        <v>34.295000000000002</v>
      </c>
      <c r="D981">
        <v>2</v>
      </c>
      <c r="E981" t="s">
        <v>10</v>
      </c>
      <c r="F981" t="s">
        <v>14</v>
      </c>
      <c r="G981" s="2">
        <v>15006.579449999999</v>
      </c>
      <c r="H981" t="str" cm="1">
        <f t="array" ref="H981">_xlfn.IFS(A981&lt;=30, "Youth", A981&lt;=50, "Adult", A981&gt;50, "Older")</f>
        <v>Adult</v>
      </c>
      <c r="I981" t="str" cm="1">
        <f t="array" ref="I981">_xlfn.IFS(A981&lt;=25,"18-25",A981&lt;=35,"26-35",A981&lt;=45,"36-45",A981&lt;=60,"46-60",A981&gt;60,"60+")</f>
        <v>46-60</v>
      </c>
      <c r="J981" t="str" cm="1">
        <f t="array" ref="J981">_xlfn.IFS(C981&lt;18.5,"Underweight",C981&lt;25,"Normal",C981&lt;30,"Overweight",C981&gt;=30,"Obese")</f>
        <v>Obese</v>
      </c>
      <c r="K981" t="str" cm="1">
        <f t="array" ref="K981">_xlfn.IFS(G981&lt;10000, "Low", G981&lt;=25000, "Medium", G981&gt;25000, "High")</f>
        <v>Medium</v>
      </c>
    </row>
    <row r="982" spans="1:11" x14ac:dyDescent="0.3">
      <c r="A982">
        <v>50</v>
      </c>
      <c r="B982" s="1" t="s">
        <v>8</v>
      </c>
      <c r="C982">
        <v>34.299999999999997</v>
      </c>
      <c r="D982">
        <v>2</v>
      </c>
      <c r="E982" t="s">
        <v>10</v>
      </c>
      <c r="F982" t="s">
        <v>14</v>
      </c>
      <c r="G982" s="2">
        <v>15019.760050000001</v>
      </c>
      <c r="H982" t="str" cm="1">
        <f t="array" ref="H982">_xlfn.IFS(A982&lt;=30, "Youth", A982&lt;=50, "Adult", A982&gt;50, "Older")</f>
        <v>Adult</v>
      </c>
      <c r="I982" t="str" cm="1">
        <f t="array" ref="I982">_xlfn.IFS(A982&lt;=25,"18-25",A982&lt;=35,"26-35",A982&lt;=45,"36-45",A982&lt;=60,"46-60",A982&gt;60,"60+")</f>
        <v>46-60</v>
      </c>
      <c r="J982" t="str" cm="1">
        <f t="array" ref="J982">_xlfn.IFS(C982&lt;18.5,"Underweight",C982&lt;25,"Normal",C982&lt;30,"Overweight",C982&gt;=30,"Obese")</f>
        <v>Obese</v>
      </c>
      <c r="K982" t="str" cm="1">
        <f t="array" ref="K982">_xlfn.IFS(G982&lt;10000, "Low", G982&lt;=25000, "Medium", G982&gt;25000, "High")</f>
        <v>Medium</v>
      </c>
    </row>
    <row r="983" spans="1:11" x14ac:dyDescent="0.3">
      <c r="A983">
        <v>51</v>
      </c>
      <c r="B983" s="1" t="s">
        <v>8</v>
      </c>
      <c r="C983">
        <v>34.32</v>
      </c>
      <c r="D983">
        <v>2</v>
      </c>
      <c r="E983" t="s">
        <v>9</v>
      </c>
      <c r="F983" t="s">
        <v>11</v>
      </c>
      <c r="G983" s="2">
        <v>15161.5344</v>
      </c>
      <c r="H983" t="str" cm="1">
        <f t="array" ref="H983">_xlfn.IFS(A983&lt;=30, "Youth", A983&lt;=50, "Adult", A983&gt;50, "Older")</f>
        <v>Older</v>
      </c>
      <c r="I983" t="str" cm="1">
        <f t="array" ref="I983">_xlfn.IFS(A983&lt;=25,"18-25",A983&lt;=35,"26-35",A983&lt;=45,"36-45",A983&lt;=60,"46-60",A983&gt;60,"60+")</f>
        <v>46-60</v>
      </c>
      <c r="J983" t="str" cm="1">
        <f t="array" ref="J983">_xlfn.IFS(C983&lt;18.5,"Underweight",C983&lt;25,"Normal",C983&lt;30,"Overweight",C983&gt;=30,"Obese")</f>
        <v>Obese</v>
      </c>
      <c r="K983" t="str" cm="1">
        <f t="array" ref="K983">_xlfn.IFS(G983&lt;10000, "Low", G983&lt;=25000, "Medium", G983&gt;25000, "High")</f>
        <v>Medium</v>
      </c>
    </row>
    <row r="984" spans="1:11" x14ac:dyDescent="0.3">
      <c r="A984">
        <v>51</v>
      </c>
      <c r="B984" s="1" t="s">
        <v>7</v>
      </c>
      <c r="C984">
        <v>34.32</v>
      </c>
      <c r="D984">
        <v>2</v>
      </c>
      <c r="E984" t="s">
        <v>10</v>
      </c>
      <c r="F984" t="s">
        <v>14</v>
      </c>
      <c r="G984" s="2">
        <v>15170.069</v>
      </c>
      <c r="H984" t="str" cm="1">
        <f t="array" ref="H984">_xlfn.IFS(A984&lt;=30, "Youth", A984&lt;=50, "Adult", A984&gt;50, "Older")</f>
        <v>Older</v>
      </c>
      <c r="I984" t="str" cm="1">
        <f t="array" ref="I984">_xlfn.IFS(A984&lt;=25,"18-25",A984&lt;=35,"26-35",A984&lt;=45,"36-45",A984&lt;=60,"46-60",A984&gt;60,"60+")</f>
        <v>46-60</v>
      </c>
      <c r="J984" t="str" cm="1">
        <f t="array" ref="J984">_xlfn.IFS(C984&lt;18.5,"Underweight",C984&lt;25,"Normal",C984&lt;30,"Overweight",C984&gt;=30,"Obese")</f>
        <v>Obese</v>
      </c>
      <c r="K984" t="str" cm="1">
        <f t="array" ref="K984">_xlfn.IFS(G984&lt;10000, "Low", G984&lt;=25000, "Medium", G984&gt;25000, "High")</f>
        <v>Medium</v>
      </c>
    </row>
    <row r="985" spans="1:11" x14ac:dyDescent="0.3">
      <c r="A985">
        <v>51</v>
      </c>
      <c r="B985" s="1" t="s">
        <v>8</v>
      </c>
      <c r="C985">
        <v>34.32</v>
      </c>
      <c r="D985">
        <v>2</v>
      </c>
      <c r="E985" t="s">
        <v>10</v>
      </c>
      <c r="F985" t="s">
        <v>14</v>
      </c>
      <c r="G985" s="2">
        <v>15230.324049999999</v>
      </c>
      <c r="H985" t="str" cm="1">
        <f t="array" ref="H985">_xlfn.IFS(A985&lt;=30, "Youth", A985&lt;=50, "Adult", A985&gt;50, "Older")</f>
        <v>Older</v>
      </c>
      <c r="I985" t="str" cm="1">
        <f t="array" ref="I985">_xlfn.IFS(A985&lt;=25,"18-25",A985&lt;=35,"26-35",A985&lt;=45,"36-45",A985&lt;=60,"46-60",A985&gt;60,"60+")</f>
        <v>46-60</v>
      </c>
      <c r="J985" t="str" cm="1">
        <f t="array" ref="J985">_xlfn.IFS(C985&lt;18.5,"Underweight",C985&lt;25,"Normal",C985&lt;30,"Overweight",C985&gt;=30,"Obese")</f>
        <v>Obese</v>
      </c>
      <c r="K985" t="str" cm="1">
        <f t="array" ref="K985">_xlfn.IFS(G985&lt;10000, "Low", G985&lt;=25000, "Medium", G985&gt;25000, "High")</f>
        <v>Medium</v>
      </c>
    </row>
    <row r="986" spans="1:11" x14ac:dyDescent="0.3">
      <c r="A986">
        <v>51</v>
      </c>
      <c r="B986" s="1" t="s">
        <v>7</v>
      </c>
      <c r="C986">
        <v>34.39</v>
      </c>
      <c r="D986">
        <v>2</v>
      </c>
      <c r="E986" t="s">
        <v>10</v>
      </c>
      <c r="F986" t="s">
        <v>11</v>
      </c>
      <c r="G986" s="2">
        <v>15359.104499999999</v>
      </c>
      <c r="H986" t="str" cm="1">
        <f t="array" ref="H986">_xlfn.IFS(A986&lt;=30, "Youth", A986&lt;=50, "Adult", A986&gt;50, "Older")</f>
        <v>Older</v>
      </c>
      <c r="I986" t="str" cm="1">
        <f t="array" ref="I986">_xlfn.IFS(A986&lt;=25,"18-25",A986&lt;=35,"26-35",A986&lt;=45,"36-45",A986&lt;=60,"46-60",A986&gt;60,"60+")</f>
        <v>46-60</v>
      </c>
      <c r="J986" t="str" cm="1">
        <f t="array" ref="J986">_xlfn.IFS(C986&lt;18.5,"Underweight",C986&lt;25,"Normal",C986&lt;30,"Overweight",C986&gt;=30,"Obese")</f>
        <v>Obese</v>
      </c>
      <c r="K986" t="str" cm="1">
        <f t="array" ref="K986">_xlfn.IFS(G986&lt;10000, "Low", G986&lt;=25000, "Medium", G986&gt;25000, "High")</f>
        <v>Medium</v>
      </c>
    </row>
    <row r="987" spans="1:11" x14ac:dyDescent="0.3">
      <c r="A987">
        <v>51</v>
      </c>
      <c r="B987" s="1" t="s">
        <v>8</v>
      </c>
      <c r="C987">
        <v>34.39</v>
      </c>
      <c r="D987">
        <v>2</v>
      </c>
      <c r="E987" t="s">
        <v>10</v>
      </c>
      <c r="F987" t="s">
        <v>13</v>
      </c>
      <c r="G987" s="2">
        <v>15518.180249999999</v>
      </c>
      <c r="H987" t="str" cm="1">
        <f t="array" ref="H987">_xlfn.IFS(A987&lt;=30, "Youth", A987&lt;=50, "Adult", A987&gt;50, "Older")</f>
        <v>Older</v>
      </c>
      <c r="I987" t="str" cm="1">
        <f t="array" ref="I987">_xlfn.IFS(A987&lt;=25,"18-25",A987&lt;=35,"26-35",A987&lt;=45,"36-45",A987&lt;=60,"46-60",A987&gt;60,"60+")</f>
        <v>46-60</v>
      </c>
      <c r="J987" t="str" cm="1">
        <f t="array" ref="J987">_xlfn.IFS(C987&lt;18.5,"Underweight",C987&lt;25,"Normal",C987&lt;30,"Overweight",C987&gt;=30,"Obese")</f>
        <v>Obese</v>
      </c>
      <c r="K987" t="str" cm="1">
        <f t="array" ref="K987">_xlfn.IFS(G987&lt;10000, "Low", G987&lt;=25000, "Medium", G987&gt;25000, "High")</f>
        <v>Medium</v>
      </c>
    </row>
    <row r="988" spans="1:11" x14ac:dyDescent="0.3">
      <c r="A988">
        <v>51</v>
      </c>
      <c r="B988" s="1" t="s">
        <v>7</v>
      </c>
      <c r="C988">
        <v>34.4</v>
      </c>
      <c r="D988">
        <v>2</v>
      </c>
      <c r="E988" t="s">
        <v>10</v>
      </c>
      <c r="F988" t="s">
        <v>13</v>
      </c>
      <c r="G988" s="2">
        <v>15555.188749999999</v>
      </c>
      <c r="H988" t="str" cm="1">
        <f t="array" ref="H988">_xlfn.IFS(A988&lt;=30, "Youth", A988&lt;=50, "Adult", A988&gt;50, "Older")</f>
        <v>Older</v>
      </c>
      <c r="I988" t="str" cm="1">
        <f t="array" ref="I988">_xlfn.IFS(A988&lt;=25,"18-25",A988&lt;=35,"26-35",A988&lt;=45,"36-45",A988&lt;=60,"46-60",A988&gt;60,"60+")</f>
        <v>46-60</v>
      </c>
      <c r="J988" t="str" cm="1">
        <f t="array" ref="J988">_xlfn.IFS(C988&lt;18.5,"Underweight",C988&lt;25,"Normal",C988&lt;30,"Overweight",C988&gt;=30,"Obese")</f>
        <v>Obese</v>
      </c>
      <c r="K988" t="str" cm="1">
        <f t="array" ref="K988">_xlfn.IFS(G988&lt;10000, "Low", G988&lt;=25000, "Medium", G988&gt;25000, "High")</f>
        <v>Medium</v>
      </c>
    </row>
    <row r="989" spans="1:11" x14ac:dyDescent="0.3">
      <c r="A989">
        <v>51</v>
      </c>
      <c r="B989" s="1" t="s">
        <v>8</v>
      </c>
      <c r="C989">
        <v>34.4</v>
      </c>
      <c r="D989">
        <v>2</v>
      </c>
      <c r="E989" t="s">
        <v>10</v>
      </c>
      <c r="F989" t="s">
        <v>14</v>
      </c>
      <c r="G989" s="2">
        <v>15612.19335</v>
      </c>
      <c r="H989" t="str" cm="1">
        <f t="array" ref="H989">_xlfn.IFS(A989&lt;=30, "Youth", A989&lt;=50, "Adult", A989&gt;50, "Older")</f>
        <v>Older</v>
      </c>
      <c r="I989" t="str" cm="1">
        <f t="array" ref="I989">_xlfn.IFS(A989&lt;=25,"18-25",A989&lt;=35,"26-35",A989&lt;=45,"36-45",A989&lt;=60,"46-60",A989&gt;60,"60+")</f>
        <v>46-60</v>
      </c>
      <c r="J989" t="str" cm="1">
        <f t="array" ref="J989">_xlfn.IFS(C989&lt;18.5,"Underweight",C989&lt;25,"Normal",C989&lt;30,"Overweight",C989&gt;=30,"Obese")</f>
        <v>Obese</v>
      </c>
      <c r="K989" t="str" cm="1">
        <f t="array" ref="K989">_xlfn.IFS(G989&lt;10000, "Low", G989&lt;=25000, "Medium", G989&gt;25000, "High")</f>
        <v>Medium</v>
      </c>
    </row>
    <row r="990" spans="1:11" x14ac:dyDescent="0.3">
      <c r="A990">
        <v>51</v>
      </c>
      <c r="B990" s="1" t="s">
        <v>7</v>
      </c>
      <c r="C990">
        <v>34.4</v>
      </c>
      <c r="D990">
        <v>2</v>
      </c>
      <c r="E990" t="s">
        <v>9</v>
      </c>
      <c r="F990" t="s">
        <v>14</v>
      </c>
      <c r="G990" s="2">
        <v>15817.985699999999</v>
      </c>
      <c r="H990" t="str" cm="1">
        <f t="array" ref="H990">_xlfn.IFS(A990&lt;=30, "Youth", A990&lt;=50, "Adult", A990&gt;50, "Older")</f>
        <v>Older</v>
      </c>
      <c r="I990" t="str" cm="1">
        <f t="array" ref="I990">_xlfn.IFS(A990&lt;=25,"18-25",A990&lt;=35,"26-35",A990&lt;=45,"36-45",A990&lt;=60,"46-60",A990&gt;60,"60+")</f>
        <v>46-60</v>
      </c>
      <c r="J990" t="str" cm="1">
        <f t="array" ref="J990">_xlfn.IFS(C990&lt;18.5,"Underweight",C990&lt;25,"Normal",C990&lt;30,"Overweight",C990&gt;=30,"Obese")</f>
        <v>Obese</v>
      </c>
      <c r="K990" t="str" cm="1">
        <f t="array" ref="K990">_xlfn.IFS(G990&lt;10000, "Low", G990&lt;=25000, "Medium", G990&gt;25000, "High")</f>
        <v>Medium</v>
      </c>
    </row>
    <row r="991" spans="1:11" x14ac:dyDescent="0.3">
      <c r="A991">
        <v>51</v>
      </c>
      <c r="B991" s="1" t="s">
        <v>7</v>
      </c>
      <c r="C991">
        <v>34.4</v>
      </c>
      <c r="D991">
        <v>2</v>
      </c>
      <c r="E991" t="s">
        <v>10</v>
      </c>
      <c r="F991" t="s">
        <v>11</v>
      </c>
      <c r="G991" s="2">
        <v>15820.699000000001</v>
      </c>
      <c r="H991" t="str" cm="1">
        <f t="array" ref="H991">_xlfn.IFS(A991&lt;=30, "Youth", A991&lt;=50, "Adult", A991&gt;50, "Older")</f>
        <v>Older</v>
      </c>
      <c r="I991" t="str" cm="1">
        <f t="array" ref="I991">_xlfn.IFS(A991&lt;=25,"18-25",A991&lt;=35,"26-35",A991&lt;=45,"36-45",A991&lt;=60,"46-60",A991&gt;60,"60+")</f>
        <v>46-60</v>
      </c>
      <c r="J991" t="str" cm="1">
        <f t="array" ref="J991">_xlfn.IFS(C991&lt;18.5,"Underweight",C991&lt;25,"Normal",C991&lt;30,"Overweight",C991&gt;=30,"Obese")</f>
        <v>Obese</v>
      </c>
      <c r="K991" t="str" cm="1">
        <f t="array" ref="K991">_xlfn.IFS(G991&lt;10000, "Low", G991&lt;=25000, "Medium", G991&gt;25000, "High")</f>
        <v>Medium</v>
      </c>
    </row>
    <row r="992" spans="1:11" x14ac:dyDescent="0.3">
      <c r="A992">
        <v>51</v>
      </c>
      <c r="B992" s="1" t="s">
        <v>7</v>
      </c>
      <c r="C992">
        <v>34.43</v>
      </c>
      <c r="D992">
        <v>2</v>
      </c>
      <c r="E992" t="s">
        <v>10</v>
      </c>
      <c r="F992" t="s">
        <v>14</v>
      </c>
      <c r="G992" s="2">
        <v>15828.82173</v>
      </c>
      <c r="H992" t="str" cm="1">
        <f t="array" ref="H992">_xlfn.IFS(A992&lt;=30, "Youth", A992&lt;=50, "Adult", A992&gt;50, "Older")</f>
        <v>Older</v>
      </c>
      <c r="I992" t="str" cm="1">
        <f t="array" ref="I992">_xlfn.IFS(A992&lt;=25,"18-25",A992&lt;=35,"26-35",A992&lt;=45,"36-45",A992&lt;=60,"46-60",A992&gt;60,"60+")</f>
        <v>46-60</v>
      </c>
      <c r="J992" t="str" cm="1">
        <f t="array" ref="J992">_xlfn.IFS(C992&lt;18.5,"Underweight",C992&lt;25,"Normal",C992&lt;30,"Overweight",C992&gt;=30,"Obese")</f>
        <v>Obese</v>
      </c>
      <c r="K992" t="str" cm="1">
        <f t="array" ref="K992">_xlfn.IFS(G992&lt;10000, "Low", G992&lt;=25000, "Medium", G992&gt;25000, "High")</f>
        <v>Medium</v>
      </c>
    </row>
    <row r="993" spans="1:11" x14ac:dyDescent="0.3">
      <c r="A993">
        <v>51</v>
      </c>
      <c r="B993" s="1" t="s">
        <v>7</v>
      </c>
      <c r="C993">
        <v>34.43</v>
      </c>
      <c r="D993">
        <v>2</v>
      </c>
      <c r="E993" t="s">
        <v>10</v>
      </c>
      <c r="F993" t="s">
        <v>11</v>
      </c>
      <c r="G993" s="2">
        <v>16069.08475</v>
      </c>
      <c r="H993" t="str" cm="1">
        <f t="array" ref="H993">_xlfn.IFS(A993&lt;=30, "Youth", A993&lt;=50, "Adult", A993&gt;50, "Older")</f>
        <v>Older</v>
      </c>
      <c r="I993" t="str" cm="1">
        <f t="array" ref="I993">_xlfn.IFS(A993&lt;=25,"18-25",A993&lt;=35,"26-35",A993&lt;=45,"36-45",A993&lt;=60,"46-60",A993&gt;60,"60+")</f>
        <v>46-60</v>
      </c>
      <c r="J993" t="str" cm="1">
        <f t="array" ref="J993">_xlfn.IFS(C993&lt;18.5,"Underweight",C993&lt;25,"Normal",C993&lt;30,"Overweight",C993&gt;=30,"Obese")</f>
        <v>Obese</v>
      </c>
      <c r="K993" t="str" cm="1">
        <f t="array" ref="K993">_xlfn.IFS(G993&lt;10000, "Low", G993&lt;=25000, "Medium", G993&gt;25000, "High")</f>
        <v>Medium</v>
      </c>
    </row>
    <row r="994" spans="1:11" x14ac:dyDescent="0.3">
      <c r="A994">
        <v>51</v>
      </c>
      <c r="B994" s="1" t="s">
        <v>8</v>
      </c>
      <c r="C994">
        <v>34.43</v>
      </c>
      <c r="D994">
        <v>2</v>
      </c>
      <c r="E994" t="s">
        <v>10</v>
      </c>
      <c r="F994" t="s">
        <v>12</v>
      </c>
      <c r="G994" s="2">
        <v>16085.127500000001</v>
      </c>
      <c r="H994" t="str" cm="1">
        <f t="array" ref="H994">_xlfn.IFS(A994&lt;=30, "Youth", A994&lt;=50, "Adult", A994&gt;50, "Older")</f>
        <v>Older</v>
      </c>
      <c r="I994" t="str" cm="1">
        <f t="array" ref="I994">_xlfn.IFS(A994&lt;=25,"18-25",A994&lt;=35,"26-35",A994&lt;=45,"36-45",A994&lt;=60,"46-60",A994&gt;60,"60+")</f>
        <v>46-60</v>
      </c>
      <c r="J994" t="str" cm="1">
        <f t="array" ref="J994">_xlfn.IFS(C994&lt;18.5,"Underweight",C994&lt;25,"Normal",C994&lt;30,"Overweight",C994&gt;=30,"Obese")</f>
        <v>Obese</v>
      </c>
      <c r="K994" t="str" cm="1">
        <f t="array" ref="K994">_xlfn.IFS(G994&lt;10000, "Low", G994&lt;=25000, "Medium", G994&gt;25000, "High")</f>
        <v>Medium</v>
      </c>
    </row>
    <row r="995" spans="1:11" x14ac:dyDescent="0.3">
      <c r="A995">
        <v>51</v>
      </c>
      <c r="B995" s="1" t="s">
        <v>7</v>
      </c>
      <c r="C995">
        <v>34.43</v>
      </c>
      <c r="D995">
        <v>2</v>
      </c>
      <c r="E995" t="s">
        <v>9</v>
      </c>
      <c r="F995" t="s">
        <v>13</v>
      </c>
      <c r="G995" s="2">
        <v>16115.3045</v>
      </c>
      <c r="H995" t="str" cm="1">
        <f t="array" ref="H995">_xlfn.IFS(A995&lt;=30, "Youth", A995&lt;=50, "Adult", A995&gt;50, "Older")</f>
        <v>Older</v>
      </c>
      <c r="I995" t="str" cm="1">
        <f t="array" ref="I995">_xlfn.IFS(A995&lt;=25,"18-25",A995&lt;=35,"26-35",A995&lt;=45,"36-45",A995&lt;=60,"46-60",A995&gt;60,"60+")</f>
        <v>46-60</v>
      </c>
      <c r="J995" t="str" cm="1">
        <f t="array" ref="J995">_xlfn.IFS(C995&lt;18.5,"Underweight",C995&lt;25,"Normal",C995&lt;30,"Overweight",C995&gt;=30,"Obese")</f>
        <v>Obese</v>
      </c>
      <c r="K995" t="str" cm="1">
        <f t="array" ref="K995">_xlfn.IFS(G995&lt;10000, "Low", G995&lt;=25000, "Medium", G995&gt;25000, "High")</f>
        <v>Medium</v>
      </c>
    </row>
    <row r="996" spans="1:11" x14ac:dyDescent="0.3">
      <c r="A996">
        <v>51</v>
      </c>
      <c r="B996" s="1" t="s">
        <v>7</v>
      </c>
      <c r="C996">
        <v>34.484999999999999</v>
      </c>
      <c r="D996">
        <v>2</v>
      </c>
      <c r="E996" t="s">
        <v>10</v>
      </c>
      <c r="F996" t="s">
        <v>14</v>
      </c>
      <c r="G996" s="2">
        <v>16138.762049999999</v>
      </c>
      <c r="H996" t="str" cm="1">
        <f t="array" ref="H996">_xlfn.IFS(A996&lt;=30, "Youth", A996&lt;=50, "Adult", A996&gt;50, "Older")</f>
        <v>Older</v>
      </c>
      <c r="I996" t="str" cm="1">
        <f t="array" ref="I996">_xlfn.IFS(A996&lt;=25,"18-25",A996&lt;=35,"26-35",A996&lt;=45,"36-45",A996&lt;=60,"46-60",A996&gt;60,"60+")</f>
        <v>46-60</v>
      </c>
      <c r="J996" t="str" cm="1">
        <f t="array" ref="J996">_xlfn.IFS(C996&lt;18.5,"Underweight",C996&lt;25,"Normal",C996&lt;30,"Overweight",C996&gt;=30,"Obese")</f>
        <v>Obese</v>
      </c>
      <c r="K996" t="str" cm="1">
        <f t="array" ref="K996">_xlfn.IFS(G996&lt;10000, "Low", G996&lt;=25000, "Medium", G996&gt;25000, "High")</f>
        <v>Medium</v>
      </c>
    </row>
    <row r="997" spans="1:11" x14ac:dyDescent="0.3">
      <c r="A997">
        <v>51</v>
      </c>
      <c r="B997" s="1" t="s">
        <v>7</v>
      </c>
      <c r="C997">
        <v>34.484999999999999</v>
      </c>
      <c r="D997">
        <v>2</v>
      </c>
      <c r="E997" t="s">
        <v>10</v>
      </c>
      <c r="F997" t="s">
        <v>11</v>
      </c>
      <c r="G997" s="2">
        <v>16232.847</v>
      </c>
      <c r="H997" t="str" cm="1">
        <f t="array" ref="H997">_xlfn.IFS(A997&lt;=30, "Youth", A997&lt;=50, "Adult", A997&gt;50, "Older")</f>
        <v>Older</v>
      </c>
      <c r="I997" t="str" cm="1">
        <f t="array" ref="I997">_xlfn.IFS(A997&lt;=25,"18-25",A997&lt;=35,"26-35",A997&lt;=45,"36-45",A997&lt;=60,"46-60",A997&gt;60,"60+")</f>
        <v>46-60</v>
      </c>
      <c r="J997" t="str" cm="1">
        <f t="array" ref="J997">_xlfn.IFS(C997&lt;18.5,"Underweight",C997&lt;25,"Normal",C997&lt;30,"Overweight",C997&gt;=30,"Obese")</f>
        <v>Obese</v>
      </c>
      <c r="K997" t="str" cm="1">
        <f t="array" ref="K997">_xlfn.IFS(G997&lt;10000, "Low", G997&lt;=25000, "Medium", G997&gt;25000, "High")</f>
        <v>Medium</v>
      </c>
    </row>
    <row r="998" spans="1:11" x14ac:dyDescent="0.3">
      <c r="A998">
        <v>51</v>
      </c>
      <c r="B998" s="1" t="s">
        <v>7</v>
      </c>
      <c r="C998">
        <v>34.5</v>
      </c>
      <c r="D998">
        <v>2</v>
      </c>
      <c r="E998" t="s">
        <v>10</v>
      </c>
      <c r="F998" t="s">
        <v>12</v>
      </c>
      <c r="G998" s="2">
        <v>16297.846</v>
      </c>
      <c r="H998" t="str" cm="1">
        <f t="array" ref="H998">_xlfn.IFS(A998&lt;=30, "Youth", A998&lt;=50, "Adult", A998&gt;50, "Older")</f>
        <v>Older</v>
      </c>
      <c r="I998" t="str" cm="1">
        <f t="array" ref="I998">_xlfn.IFS(A998&lt;=25,"18-25",A998&lt;=35,"26-35",A998&lt;=45,"36-45",A998&lt;=60,"46-60",A998&gt;60,"60+")</f>
        <v>46-60</v>
      </c>
      <c r="J998" t="str" cm="1">
        <f t="array" ref="J998">_xlfn.IFS(C998&lt;18.5,"Underweight",C998&lt;25,"Normal",C998&lt;30,"Overweight",C998&gt;=30,"Obese")</f>
        <v>Obese</v>
      </c>
      <c r="K998" t="str" cm="1">
        <f t="array" ref="K998">_xlfn.IFS(G998&lt;10000, "Low", G998&lt;=25000, "Medium", G998&gt;25000, "High")</f>
        <v>Medium</v>
      </c>
    </row>
    <row r="999" spans="1:11" x14ac:dyDescent="0.3">
      <c r="A999">
        <v>51</v>
      </c>
      <c r="B999" s="1" t="s">
        <v>7</v>
      </c>
      <c r="C999">
        <v>34.58</v>
      </c>
      <c r="D999">
        <v>2</v>
      </c>
      <c r="E999" t="s">
        <v>10</v>
      </c>
      <c r="F999" t="s">
        <v>14</v>
      </c>
      <c r="G999" s="2">
        <v>16420.494549999999</v>
      </c>
      <c r="H999" t="str" cm="1">
        <f t="array" ref="H999">_xlfn.IFS(A999&lt;=30, "Youth", A999&lt;=50, "Adult", A999&gt;50, "Older")</f>
        <v>Older</v>
      </c>
      <c r="I999" t="str" cm="1">
        <f t="array" ref="I999">_xlfn.IFS(A999&lt;=25,"18-25",A999&lt;=35,"26-35",A999&lt;=45,"36-45",A999&lt;=60,"46-60",A999&gt;60,"60+")</f>
        <v>46-60</v>
      </c>
      <c r="J999" t="str" cm="1">
        <f t="array" ref="J999">_xlfn.IFS(C999&lt;18.5,"Underweight",C999&lt;25,"Normal",C999&lt;30,"Overweight",C999&gt;=30,"Obese")</f>
        <v>Obese</v>
      </c>
      <c r="K999" t="str" cm="1">
        <f t="array" ref="K999">_xlfn.IFS(G999&lt;10000, "Low", G999&lt;=25000, "Medium", G999&gt;25000, "High")</f>
        <v>Medium</v>
      </c>
    </row>
    <row r="1000" spans="1:11" x14ac:dyDescent="0.3">
      <c r="A1000">
        <v>51</v>
      </c>
      <c r="B1000" s="1" t="s">
        <v>7</v>
      </c>
      <c r="C1000">
        <v>34.58</v>
      </c>
      <c r="D1000">
        <v>2</v>
      </c>
      <c r="E1000" t="s">
        <v>10</v>
      </c>
      <c r="F1000" t="s">
        <v>13</v>
      </c>
      <c r="G1000" s="2">
        <v>16450.894700000001</v>
      </c>
      <c r="H1000" t="str" cm="1">
        <f t="array" ref="H1000">_xlfn.IFS(A1000&lt;=30, "Youth", A1000&lt;=50, "Adult", A1000&gt;50, "Older")</f>
        <v>Older</v>
      </c>
      <c r="I1000" t="str" cm="1">
        <f t="array" ref="I1000">_xlfn.IFS(A1000&lt;=25,"18-25",A1000&lt;=35,"26-35",A1000&lt;=45,"36-45",A1000&lt;=60,"46-60",A1000&gt;60,"60+")</f>
        <v>46-60</v>
      </c>
      <c r="J1000" t="str" cm="1">
        <f t="array" ref="J1000">_xlfn.IFS(C1000&lt;18.5,"Underweight",C1000&lt;25,"Normal",C1000&lt;30,"Overweight",C1000&gt;=30,"Obese")</f>
        <v>Obese</v>
      </c>
      <c r="K1000" t="str" cm="1">
        <f t="array" ref="K1000">_xlfn.IFS(G1000&lt;10000, "Low", G1000&lt;=25000, "Medium", G1000&gt;25000, "High")</f>
        <v>Medium</v>
      </c>
    </row>
    <row r="1001" spans="1:11" x14ac:dyDescent="0.3">
      <c r="A1001">
        <v>51</v>
      </c>
      <c r="B1001" s="1" t="s">
        <v>8</v>
      </c>
      <c r="C1001">
        <v>34.6</v>
      </c>
      <c r="D1001">
        <v>2</v>
      </c>
      <c r="E1001" t="s">
        <v>9</v>
      </c>
      <c r="F1001" t="s">
        <v>13</v>
      </c>
      <c r="G1001" s="2">
        <v>16455.707849999999</v>
      </c>
      <c r="H1001" t="str" cm="1">
        <f t="array" ref="H1001">_xlfn.IFS(A1001&lt;=30, "Youth", A1001&lt;=50, "Adult", A1001&gt;50, "Older")</f>
        <v>Older</v>
      </c>
      <c r="I1001" t="str" cm="1">
        <f t="array" ref="I1001">_xlfn.IFS(A1001&lt;=25,"18-25",A1001&lt;=35,"26-35",A1001&lt;=45,"36-45",A1001&lt;=60,"46-60",A1001&gt;60,"60+")</f>
        <v>46-60</v>
      </c>
      <c r="J1001" t="str" cm="1">
        <f t="array" ref="J1001">_xlfn.IFS(C1001&lt;18.5,"Underweight",C1001&lt;25,"Normal",C1001&lt;30,"Overweight",C1001&gt;=30,"Obese")</f>
        <v>Obese</v>
      </c>
      <c r="K1001" t="str" cm="1">
        <f t="array" ref="K1001">_xlfn.IFS(G1001&lt;10000, "Low", G1001&lt;=25000, "Medium", G1001&gt;25000, "High")</f>
        <v>Medium</v>
      </c>
    </row>
    <row r="1002" spans="1:11" x14ac:dyDescent="0.3">
      <c r="A1002">
        <v>51</v>
      </c>
      <c r="B1002" s="1" t="s">
        <v>8</v>
      </c>
      <c r="C1002">
        <v>34.6</v>
      </c>
      <c r="D1002">
        <v>2</v>
      </c>
      <c r="E1002" t="s">
        <v>9</v>
      </c>
      <c r="F1002" t="s">
        <v>11</v>
      </c>
      <c r="G1002" s="2">
        <v>16577.779500000001</v>
      </c>
      <c r="H1002" t="str" cm="1">
        <f t="array" ref="H1002">_xlfn.IFS(A1002&lt;=30, "Youth", A1002&lt;=50, "Adult", A1002&gt;50, "Older")</f>
        <v>Older</v>
      </c>
      <c r="I1002" t="str" cm="1">
        <f t="array" ref="I1002">_xlfn.IFS(A1002&lt;=25,"18-25",A1002&lt;=35,"26-35",A1002&lt;=45,"36-45",A1002&lt;=60,"46-60",A1002&gt;60,"60+")</f>
        <v>46-60</v>
      </c>
      <c r="J1002" t="str" cm="1">
        <f t="array" ref="J1002">_xlfn.IFS(C1002&lt;18.5,"Underweight",C1002&lt;25,"Normal",C1002&lt;30,"Overweight",C1002&gt;=30,"Obese")</f>
        <v>Obese</v>
      </c>
      <c r="K1002" t="str" cm="1">
        <f t="array" ref="K1002">_xlfn.IFS(G1002&lt;10000, "Low", G1002&lt;=25000, "Medium", G1002&gt;25000, "High")</f>
        <v>Medium</v>
      </c>
    </row>
    <row r="1003" spans="1:11" x14ac:dyDescent="0.3">
      <c r="A1003">
        <v>51</v>
      </c>
      <c r="B1003" s="1" t="s">
        <v>8</v>
      </c>
      <c r="C1003">
        <v>34.674999999999997</v>
      </c>
      <c r="D1003">
        <v>2</v>
      </c>
      <c r="E1003" t="s">
        <v>10</v>
      </c>
      <c r="F1003" t="s">
        <v>11</v>
      </c>
      <c r="G1003" s="2">
        <v>16586.49771</v>
      </c>
      <c r="H1003" t="str" cm="1">
        <f t="array" ref="H1003">_xlfn.IFS(A1003&lt;=30, "Youth", A1003&lt;=50, "Adult", A1003&gt;50, "Older")</f>
        <v>Older</v>
      </c>
      <c r="I1003" t="str" cm="1">
        <f t="array" ref="I1003">_xlfn.IFS(A1003&lt;=25,"18-25",A1003&lt;=35,"26-35",A1003&lt;=45,"36-45",A1003&lt;=60,"46-60",A1003&gt;60,"60+")</f>
        <v>46-60</v>
      </c>
      <c r="J1003" t="str" cm="1">
        <f t="array" ref="J1003">_xlfn.IFS(C1003&lt;18.5,"Underweight",C1003&lt;25,"Normal",C1003&lt;30,"Overweight",C1003&gt;=30,"Obese")</f>
        <v>Obese</v>
      </c>
      <c r="K1003" t="str" cm="1">
        <f t="array" ref="K1003">_xlfn.IFS(G1003&lt;10000, "Low", G1003&lt;=25000, "Medium", G1003&gt;25000, "High")</f>
        <v>Medium</v>
      </c>
    </row>
    <row r="1004" spans="1:11" x14ac:dyDescent="0.3">
      <c r="A1004">
        <v>51</v>
      </c>
      <c r="B1004" s="1" t="s">
        <v>8</v>
      </c>
      <c r="C1004">
        <v>34.700000000000003</v>
      </c>
      <c r="D1004">
        <v>2</v>
      </c>
      <c r="E1004" t="s">
        <v>10</v>
      </c>
      <c r="F1004" t="s">
        <v>11</v>
      </c>
      <c r="G1004" s="2">
        <v>16657.71745</v>
      </c>
      <c r="H1004" t="str" cm="1">
        <f t="array" ref="H1004">_xlfn.IFS(A1004&lt;=30, "Youth", A1004&lt;=50, "Adult", A1004&gt;50, "Older")</f>
        <v>Older</v>
      </c>
      <c r="I1004" t="str" cm="1">
        <f t="array" ref="I1004">_xlfn.IFS(A1004&lt;=25,"18-25",A1004&lt;=35,"26-35",A1004&lt;=45,"36-45",A1004&lt;=60,"46-60",A1004&gt;60,"60+")</f>
        <v>46-60</v>
      </c>
      <c r="J1004" t="str" cm="1">
        <f t="array" ref="J1004">_xlfn.IFS(C1004&lt;18.5,"Underweight",C1004&lt;25,"Normal",C1004&lt;30,"Overweight",C1004&gt;=30,"Obese")</f>
        <v>Obese</v>
      </c>
      <c r="K1004" t="str" cm="1">
        <f t="array" ref="K1004">_xlfn.IFS(G1004&lt;10000, "Low", G1004&lt;=25000, "Medium", G1004&gt;25000, "High")</f>
        <v>Medium</v>
      </c>
    </row>
    <row r="1005" spans="1:11" x14ac:dyDescent="0.3">
      <c r="A1005">
        <v>51</v>
      </c>
      <c r="B1005" s="1" t="s">
        <v>8</v>
      </c>
      <c r="C1005">
        <v>34.700000000000003</v>
      </c>
      <c r="D1005">
        <v>2</v>
      </c>
      <c r="E1005" t="s">
        <v>10</v>
      </c>
      <c r="F1005" t="s">
        <v>14</v>
      </c>
      <c r="G1005" s="2">
        <v>16776.304049999999</v>
      </c>
      <c r="H1005" t="str" cm="1">
        <f t="array" ref="H1005">_xlfn.IFS(A1005&lt;=30, "Youth", A1005&lt;=50, "Adult", A1005&gt;50, "Older")</f>
        <v>Older</v>
      </c>
      <c r="I1005" t="str" cm="1">
        <f t="array" ref="I1005">_xlfn.IFS(A1005&lt;=25,"18-25",A1005&lt;=35,"26-35",A1005&lt;=45,"36-45",A1005&lt;=60,"46-60",A1005&gt;60,"60+")</f>
        <v>46-60</v>
      </c>
      <c r="J1005" t="str" cm="1">
        <f t="array" ref="J1005">_xlfn.IFS(C1005&lt;18.5,"Underweight",C1005&lt;25,"Normal",C1005&lt;30,"Overweight",C1005&gt;=30,"Obese")</f>
        <v>Obese</v>
      </c>
      <c r="K1005" t="str" cm="1">
        <f t="array" ref="K1005">_xlfn.IFS(G1005&lt;10000, "Low", G1005&lt;=25000, "Medium", G1005&gt;25000, "High")</f>
        <v>Medium</v>
      </c>
    </row>
    <row r="1006" spans="1:11" x14ac:dyDescent="0.3">
      <c r="A1006">
        <v>51</v>
      </c>
      <c r="B1006" s="1" t="s">
        <v>8</v>
      </c>
      <c r="C1006">
        <v>34.770000000000003</v>
      </c>
      <c r="D1006">
        <v>2</v>
      </c>
      <c r="E1006" t="s">
        <v>10</v>
      </c>
      <c r="F1006" t="s">
        <v>13</v>
      </c>
      <c r="G1006" s="2">
        <v>16796.411940000002</v>
      </c>
      <c r="H1006" t="str" cm="1">
        <f t="array" ref="H1006">_xlfn.IFS(A1006&lt;=30, "Youth", A1006&lt;=50, "Adult", A1006&gt;50, "Older")</f>
        <v>Older</v>
      </c>
      <c r="I1006" t="str" cm="1">
        <f t="array" ref="I1006">_xlfn.IFS(A1006&lt;=25,"18-25",A1006&lt;=35,"26-35",A1006&lt;=45,"36-45",A1006&lt;=60,"46-60",A1006&gt;60,"60+")</f>
        <v>46-60</v>
      </c>
      <c r="J1006" t="str" cm="1">
        <f t="array" ref="J1006">_xlfn.IFS(C1006&lt;18.5,"Underweight",C1006&lt;25,"Normal",C1006&lt;30,"Overweight",C1006&gt;=30,"Obese")</f>
        <v>Obese</v>
      </c>
      <c r="K1006" t="str" cm="1">
        <f t="array" ref="K1006">_xlfn.IFS(G1006&lt;10000, "Low", G1006&lt;=25000, "Medium", G1006&gt;25000, "High")</f>
        <v>Medium</v>
      </c>
    </row>
    <row r="1007" spans="1:11" x14ac:dyDescent="0.3">
      <c r="A1007">
        <v>51</v>
      </c>
      <c r="B1007" s="1" t="s">
        <v>8</v>
      </c>
      <c r="C1007">
        <v>34.770000000000003</v>
      </c>
      <c r="D1007">
        <v>2</v>
      </c>
      <c r="E1007" t="s">
        <v>10</v>
      </c>
      <c r="F1007" t="s">
        <v>14</v>
      </c>
      <c r="G1007" s="2">
        <v>16884.923999999999</v>
      </c>
      <c r="H1007" t="str" cm="1">
        <f t="array" ref="H1007">_xlfn.IFS(A1007&lt;=30, "Youth", A1007&lt;=50, "Adult", A1007&gt;50, "Older")</f>
        <v>Older</v>
      </c>
      <c r="I1007" t="str" cm="1">
        <f t="array" ref="I1007">_xlfn.IFS(A1007&lt;=25,"18-25",A1007&lt;=35,"26-35",A1007&lt;=45,"36-45",A1007&lt;=60,"46-60",A1007&gt;60,"60+")</f>
        <v>46-60</v>
      </c>
      <c r="J1007" t="str" cm="1">
        <f t="array" ref="J1007">_xlfn.IFS(C1007&lt;18.5,"Underweight",C1007&lt;25,"Normal",C1007&lt;30,"Overweight",C1007&gt;=30,"Obese")</f>
        <v>Obese</v>
      </c>
      <c r="K1007" t="str" cm="1">
        <f t="array" ref="K1007">_xlfn.IFS(G1007&lt;10000, "Low", G1007&lt;=25000, "Medium", G1007&gt;25000, "High")</f>
        <v>Medium</v>
      </c>
    </row>
    <row r="1008" spans="1:11" x14ac:dyDescent="0.3">
      <c r="A1008">
        <v>51</v>
      </c>
      <c r="B1008" s="1" t="s">
        <v>8</v>
      </c>
      <c r="C1008">
        <v>34.770000000000003</v>
      </c>
      <c r="D1008">
        <v>2</v>
      </c>
      <c r="E1008" t="s">
        <v>9</v>
      </c>
      <c r="F1008" t="s">
        <v>13</v>
      </c>
      <c r="G1008" s="2">
        <v>17043.341400000001</v>
      </c>
      <c r="H1008" t="str" cm="1">
        <f t="array" ref="H1008">_xlfn.IFS(A1008&lt;=30, "Youth", A1008&lt;=50, "Adult", A1008&gt;50, "Older")</f>
        <v>Older</v>
      </c>
      <c r="I1008" t="str" cm="1">
        <f t="array" ref="I1008">_xlfn.IFS(A1008&lt;=25,"18-25",A1008&lt;=35,"26-35",A1008&lt;=45,"36-45",A1008&lt;=60,"46-60",A1008&gt;60,"60+")</f>
        <v>46-60</v>
      </c>
      <c r="J1008" t="str" cm="1">
        <f t="array" ref="J1008">_xlfn.IFS(C1008&lt;18.5,"Underweight",C1008&lt;25,"Normal",C1008&lt;30,"Overweight",C1008&gt;=30,"Obese")</f>
        <v>Obese</v>
      </c>
      <c r="K1008" t="str" cm="1">
        <f t="array" ref="K1008">_xlfn.IFS(G1008&lt;10000, "Low", G1008&lt;=25000, "Medium", G1008&gt;25000, "High")</f>
        <v>Medium</v>
      </c>
    </row>
    <row r="1009" spans="1:11" x14ac:dyDescent="0.3">
      <c r="A1009">
        <v>51</v>
      </c>
      <c r="B1009" s="1" t="s">
        <v>8</v>
      </c>
      <c r="C1009">
        <v>34.799999999999997</v>
      </c>
      <c r="D1009">
        <v>2</v>
      </c>
      <c r="E1009" t="s">
        <v>10</v>
      </c>
      <c r="F1009" t="s">
        <v>14</v>
      </c>
      <c r="G1009" s="2">
        <v>17081.080000000002</v>
      </c>
      <c r="H1009" t="str" cm="1">
        <f t="array" ref="H1009">_xlfn.IFS(A1009&lt;=30, "Youth", A1009&lt;=50, "Adult", A1009&gt;50, "Older")</f>
        <v>Older</v>
      </c>
      <c r="I1009" t="str" cm="1">
        <f t="array" ref="I1009">_xlfn.IFS(A1009&lt;=25,"18-25",A1009&lt;=35,"26-35",A1009&lt;=45,"36-45",A1009&lt;=60,"46-60",A1009&gt;60,"60+")</f>
        <v>46-60</v>
      </c>
      <c r="J1009" t="str" cm="1">
        <f t="array" ref="J1009">_xlfn.IFS(C1009&lt;18.5,"Underweight",C1009&lt;25,"Normal",C1009&lt;30,"Overweight",C1009&gt;=30,"Obese")</f>
        <v>Obese</v>
      </c>
      <c r="K1009" t="str" cm="1">
        <f t="array" ref="K1009">_xlfn.IFS(G1009&lt;10000, "Low", G1009&lt;=25000, "Medium", G1009&gt;25000, "High")</f>
        <v>Medium</v>
      </c>
    </row>
    <row r="1010" spans="1:11" x14ac:dyDescent="0.3">
      <c r="A1010">
        <v>51</v>
      </c>
      <c r="B1010" s="1" t="s">
        <v>8</v>
      </c>
      <c r="C1010">
        <v>34.799999999999997</v>
      </c>
      <c r="D1010">
        <v>2</v>
      </c>
      <c r="E1010" t="s">
        <v>10</v>
      </c>
      <c r="F1010" t="s">
        <v>14</v>
      </c>
      <c r="G1010" s="2">
        <v>17085.267599999999</v>
      </c>
      <c r="H1010" t="str" cm="1">
        <f t="array" ref="H1010">_xlfn.IFS(A1010&lt;=30, "Youth", A1010&lt;=50, "Adult", A1010&gt;50, "Older")</f>
        <v>Older</v>
      </c>
      <c r="I1010" t="str" cm="1">
        <f t="array" ref="I1010">_xlfn.IFS(A1010&lt;=25,"18-25",A1010&lt;=35,"26-35",A1010&lt;=45,"36-45",A1010&lt;=60,"46-60",A1010&gt;60,"60+")</f>
        <v>46-60</v>
      </c>
      <c r="J1010" t="str" cm="1">
        <f t="array" ref="J1010">_xlfn.IFS(C1010&lt;18.5,"Underweight",C1010&lt;25,"Normal",C1010&lt;30,"Overweight",C1010&gt;=30,"Obese")</f>
        <v>Obese</v>
      </c>
      <c r="K1010" t="str" cm="1">
        <f t="array" ref="K1010">_xlfn.IFS(G1010&lt;10000, "Low", G1010&lt;=25000, "Medium", G1010&gt;25000, "High")</f>
        <v>Medium</v>
      </c>
    </row>
    <row r="1011" spans="1:11" x14ac:dyDescent="0.3">
      <c r="A1011">
        <v>51</v>
      </c>
      <c r="B1011" s="1" t="s">
        <v>7</v>
      </c>
      <c r="C1011">
        <v>34.799999999999997</v>
      </c>
      <c r="D1011">
        <v>2</v>
      </c>
      <c r="E1011" t="s">
        <v>10</v>
      </c>
      <c r="F1011" t="s">
        <v>11</v>
      </c>
      <c r="G1011" s="2">
        <v>17128.426080000001</v>
      </c>
      <c r="H1011" t="str" cm="1">
        <f t="array" ref="H1011">_xlfn.IFS(A1011&lt;=30, "Youth", A1011&lt;=50, "Adult", A1011&gt;50, "Older")</f>
        <v>Older</v>
      </c>
      <c r="I1011" t="str" cm="1">
        <f t="array" ref="I1011">_xlfn.IFS(A1011&lt;=25,"18-25",A1011&lt;=35,"26-35",A1011&lt;=45,"36-45",A1011&lt;=60,"46-60",A1011&gt;60,"60+")</f>
        <v>46-60</v>
      </c>
      <c r="J1011" t="str" cm="1">
        <f t="array" ref="J1011">_xlfn.IFS(C1011&lt;18.5,"Underweight",C1011&lt;25,"Normal",C1011&lt;30,"Overweight",C1011&gt;=30,"Obese")</f>
        <v>Obese</v>
      </c>
      <c r="K1011" t="str" cm="1">
        <f t="array" ref="K1011">_xlfn.IFS(G1011&lt;10000, "Low", G1011&lt;=25000, "Medium", G1011&gt;25000, "High")</f>
        <v>Medium</v>
      </c>
    </row>
    <row r="1012" spans="1:11" x14ac:dyDescent="0.3">
      <c r="A1012">
        <v>52</v>
      </c>
      <c r="B1012" s="1" t="s">
        <v>8</v>
      </c>
      <c r="C1012">
        <v>34.799999999999997</v>
      </c>
      <c r="D1012">
        <v>2</v>
      </c>
      <c r="E1012" t="s">
        <v>9</v>
      </c>
      <c r="F1012" t="s">
        <v>12</v>
      </c>
      <c r="G1012" s="2">
        <v>17178.682400000002</v>
      </c>
      <c r="H1012" t="str" cm="1">
        <f t="array" ref="H1012">_xlfn.IFS(A1012&lt;=30, "Youth", A1012&lt;=50, "Adult", A1012&gt;50, "Older")</f>
        <v>Older</v>
      </c>
      <c r="I1012" t="str" cm="1">
        <f t="array" ref="I1012">_xlfn.IFS(A1012&lt;=25,"18-25",A1012&lt;=35,"26-35",A1012&lt;=45,"36-45",A1012&lt;=60,"46-60",A1012&gt;60,"60+")</f>
        <v>46-60</v>
      </c>
      <c r="J1012" t="str" cm="1">
        <f t="array" ref="J1012">_xlfn.IFS(C1012&lt;18.5,"Underweight",C1012&lt;25,"Normal",C1012&lt;30,"Overweight",C1012&gt;=30,"Obese")</f>
        <v>Obese</v>
      </c>
      <c r="K1012" t="str" cm="1">
        <f t="array" ref="K1012">_xlfn.IFS(G1012&lt;10000, "Low", G1012&lt;=25000, "Medium", G1012&gt;25000, "High")</f>
        <v>Medium</v>
      </c>
    </row>
    <row r="1013" spans="1:11" x14ac:dyDescent="0.3">
      <c r="A1013">
        <v>52</v>
      </c>
      <c r="B1013" s="1" t="s">
        <v>7</v>
      </c>
      <c r="C1013">
        <v>34.799999999999997</v>
      </c>
      <c r="D1013">
        <v>2</v>
      </c>
      <c r="E1013" t="s">
        <v>10</v>
      </c>
      <c r="F1013" t="s">
        <v>12</v>
      </c>
      <c r="G1013" s="2">
        <v>17179.522000000001</v>
      </c>
      <c r="H1013" t="str" cm="1">
        <f t="array" ref="H1013">_xlfn.IFS(A1013&lt;=30, "Youth", A1013&lt;=50, "Adult", A1013&gt;50, "Older")</f>
        <v>Older</v>
      </c>
      <c r="I1013" t="str" cm="1">
        <f t="array" ref="I1013">_xlfn.IFS(A1013&lt;=25,"18-25",A1013&lt;=35,"26-35",A1013&lt;=45,"36-45",A1013&lt;=60,"46-60",A1013&gt;60,"60+")</f>
        <v>46-60</v>
      </c>
      <c r="J1013" t="str" cm="1">
        <f t="array" ref="J1013">_xlfn.IFS(C1013&lt;18.5,"Underweight",C1013&lt;25,"Normal",C1013&lt;30,"Overweight",C1013&gt;=30,"Obese")</f>
        <v>Obese</v>
      </c>
      <c r="K1013" t="str" cm="1">
        <f t="array" ref="K1013">_xlfn.IFS(G1013&lt;10000, "Low", G1013&lt;=25000, "Medium", G1013&gt;25000, "High")</f>
        <v>Medium</v>
      </c>
    </row>
    <row r="1014" spans="1:11" x14ac:dyDescent="0.3">
      <c r="A1014">
        <v>52</v>
      </c>
      <c r="B1014" s="1" t="s">
        <v>8</v>
      </c>
      <c r="C1014">
        <v>34.799999999999997</v>
      </c>
      <c r="D1014">
        <v>2</v>
      </c>
      <c r="E1014" t="s">
        <v>10</v>
      </c>
      <c r="F1014" t="s">
        <v>13</v>
      </c>
      <c r="G1014" s="2">
        <v>17352.6803</v>
      </c>
      <c r="H1014" t="str" cm="1">
        <f t="array" ref="H1014">_xlfn.IFS(A1014&lt;=30, "Youth", A1014&lt;=50, "Adult", A1014&gt;50, "Older")</f>
        <v>Older</v>
      </c>
      <c r="I1014" t="str" cm="1">
        <f t="array" ref="I1014">_xlfn.IFS(A1014&lt;=25,"18-25",A1014&lt;=35,"26-35",A1014&lt;=45,"36-45",A1014&lt;=60,"46-60",A1014&gt;60,"60+")</f>
        <v>46-60</v>
      </c>
      <c r="J1014" t="str" cm="1">
        <f t="array" ref="J1014">_xlfn.IFS(C1014&lt;18.5,"Underweight",C1014&lt;25,"Normal",C1014&lt;30,"Overweight",C1014&gt;=30,"Obese")</f>
        <v>Obese</v>
      </c>
      <c r="K1014" t="str" cm="1">
        <f t="array" ref="K1014">_xlfn.IFS(G1014&lt;10000, "Low", G1014&lt;=25000, "Medium", G1014&gt;25000, "High")</f>
        <v>Medium</v>
      </c>
    </row>
    <row r="1015" spans="1:11" x14ac:dyDescent="0.3">
      <c r="A1015">
        <v>52</v>
      </c>
      <c r="B1015" s="1" t="s">
        <v>7</v>
      </c>
      <c r="C1015">
        <v>34.799999999999997</v>
      </c>
      <c r="D1015">
        <v>2</v>
      </c>
      <c r="E1015" t="s">
        <v>10</v>
      </c>
      <c r="F1015" t="s">
        <v>11</v>
      </c>
      <c r="G1015" s="2">
        <v>17361.766100000001</v>
      </c>
      <c r="H1015" t="str" cm="1">
        <f t="array" ref="H1015">_xlfn.IFS(A1015&lt;=30, "Youth", A1015&lt;=50, "Adult", A1015&gt;50, "Older")</f>
        <v>Older</v>
      </c>
      <c r="I1015" t="str" cm="1">
        <f t="array" ref="I1015">_xlfn.IFS(A1015&lt;=25,"18-25",A1015&lt;=35,"26-35",A1015&lt;=45,"36-45",A1015&lt;=60,"46-60",A1015&gt;60,"60+")</f>
        <v>46-60</v>
      </c>
      <c r="J1015" t="str" cm="1">
        <f t="array" ref="J1015">_xlfn.IFS(C1015&lt;18.5,"Underweight",C1015&lt;25,"Normal",C1015&lt;30,"Overweight",C1015&gt;=30,"Obese")</f>
        <v>Obese</v>
      </c>
      <c r="K1015" t="str" cm="1">
        <f t="array" ref="K1015">_xlfn.IFS(G1015&lt;10000, "Low", G1015&lt;=25000, "Medium", G1015&gt;25000, "High")</f>
        <v>Medium</v>
      </c>
    </row>
    <row r="1016" spans="1:11" x14ac:dyDescent="0.3">
      <c r="A1016">
        <v>52</v>
      </c>
      <c r="B1016" s="1" t="s">
        <v>8</v>
      </c>
      <c r="C1016">
        <v>34.865000000000002</v>
      </c>
      <c r="D1016">
        <v>2</v>
      </c>
      <c r="E1016" t="s">
        <v>10</v>
      </c>
      <c r="F1016" t="s">
        <v>13</v>
      </c>
      <c r="G1016" s="2">
        <v>17468.983899999999</v>
      </c>
      <c r="H1016" t="str" cm="1">
        <f t="array" ref="H1016">_xlfn.IFS(A1016&lt;=30, "Youth", A1016&lt;=50, "Adult", A1016&gt;50, "Older")</f>
        <v>Older</v>
      </c>
      <c r="I1016" t="str" cm="1">
        <f t="array" ref="I1016">_xlfn.IFS(A1016&lt;=25,"18-25",A1016&lt;=35,"26-35",A1016&lt;=45,"36-45",A1016&lt;=60,"46-60",A1016&gt;60,"60+")</f>
        <v>46-60</v>
      </c>
      <c r="J1016" t="str" cm="1">
        <f t="array" ref="J1016">_xlfn.IFS(C1016&lt;18.5,"Underweight",C1016&lt;25,"Normal",C1016&lt;30,"Overweight",C1016&gt;=30,"Obese")</f>
        <v>Obese</v>
      </c>
      <c r="K1016" t="str" cm="1">
        <f t="array" ref="K1016">_xlfn.IFS(G1016&lt;10000, "Low", G1016&lt;=25000, "Medium", G1016&gt;25000, "High")</f>
        <v>Medium</v>
      </c>
    </row>
    <row r="1017" spans="1:11" x14ac:dyDescent="0.3">
      <c r="A1017">
        <v>52</v>
      </c>
      <c r="B1017" s="1" t="s">
        <v>7</v>
      </c>
      <c r="C1017">
        <v>34.865000000000002</v>
      </c>
      <c r="D1017">
        <v>2</v>
      </c>
      <c r="E1017" t="s">
        <v>10</v>
      </c>
      <c r="F1017" t="s">
        <v>13</v>
      </c>
      <c r="G1017" s="2">
        <v>17496.306</v>
      </c>
      <c r="H1017" t="str" cm="1">
        <f t="array" ref="H1017">_xlfn.IFS(A1017&lt;=30, "Youth", A1017&lt;=50, "Adult", A1017&gt;50, "Older")</f>
        <v>Older</v>
      </c>
      <c r="I1017" t="str" cm="1">
        <f t="array" ref="I1017">_xlfn.IFS(A1017&lt;=25,"18-25",A1017&lt;=35,"26-35",A1017&lt;=45,"36-45",A1017&lt;=60,"46-60",A1017&gt;60,"60+")</f>
        <v>46-60</v>
      </c>
      <c r="J1017" t="str" cm="1">
        <f t="array" ref="J1017">_xlfn.IFS(C1017&lt;18.5,"Underweight",C1017&lt;25,"Normal",C1017&lt;30,"Overweight",C1017&gt;=30,"Obese")</f>
        <v>Obese</v>
      </c>
      <c r="K1017" t="str" cm="1">
        <f t="array" ref="K1017">_xlfn.IFS(G1017&lt;10000, "Low", G1017&lt;=25000, "Medium", G1017&gt;25000, "High")</f>
        <v>Medium</v>
      </c>
    </row>
    <row r="1018" spans="1:11" x14ac:dyDescent="0.3">
      <c r="A1018">
        <v>52</v>
      </c>
      <c r="B1018" s="1" t="s">
        <v>7</v>
      </c>
      <c r="C1018">
        <v>34.869999999999997</v>
      </c>
      <c r="D1018">
        <v>2</v>
      </c>
      <c r="E1018" t="s">
        <v>10</v>
      </c>
      <c r="F1018" t="s">
        <v>11</v>
      </c>
      <c r="G1018" s="2">
        <v>17560.37975</v>
      </c>
      <c r="H1018" t="str" cm="1">
        <f t="array" ref="H1018">_xlfn.IFS(A1018&lt;=30, "Youth", A1018&lt;=50, "Adult", A1018&gt;50, "Older")</f>
        <v>Older</v>
      </c>
      <c r="I1018" t="str" cm="1">
        <f t="array" ref="I1018">_xlfn.IFS(A1018&lt;=25,"18-25",A1018&lt;=35,"26-35",A1018&lt;=45,"36-45",A1018&lt;=60,"46-60",A1018&gt;60,"60+")</f>
        <v>46-60</v>
      </c>
      <c r="J1018" t="str" cm="1">
        <f t="array" ref="J1018">_xlfn.IFS(C1018&lt;18.5,"Underweight",C1018&lt;25,"Normal",C1018&lt;30,"Overweight",C1018&gt;=30,"Obese")</f>
        <v>Obese</v>
      </c>
      <c r="K1018" t="str" cm="1">
        <f t="array" ref="K1018">_xlfn.IFS(G1018&lt;10000, "Low", G1018&lt;=25000, "Medium", G1018&gt;25000, "High")</f>
        <v>Medium</v>
      </c>
    </row>
    <row r="1019" spans="1:11" x14ac:dyDescent="0.3">
      <c r="A1019">
        <v>52</v>
      </c>
      <c r="B1019" s="1" t="s">
        <v>7</v>
      </c>
      <c r="C1019">
        <v>34.9</v>
      </c>
      <c r="D1019">
        <v>2</v>
      </c>
      <c r="E1019" t="s">
        <v>10</v>
      </c>
      <c r="F1019" t="s">
        <v>13</v>
      </c>
      <c r="G1019" s="2">
        <v>17626.239509999999</v>
      </c>
      <c r="H1019" t="str" cm="1">
        <f t="array" ref="H1019">_xlfn.IFS(A1019&lt;=30, "Youth", A1019&lt;=50, "Adult", A1019&gt;50, "Older")</f>
        <v>Older</v>
      </c>
      <c r="I1019" t="str" cm="1">
        <f t="array" ref="I1019">_xlfn.IFS(A1019&lt;=25,"18-25",A1019&lt;=35,"26-35",A1019&lt;=45,"36-45",A1019&lt;=60,"46-60",A1019&gt;60,"60+")</f>
        <v>46-60</v>
      </c>
      <c r="J1019" t="str" cm="1">
        <f t="array" ref="J1019">_xlfn.IFS(C1019&lt;18.5,"Underweight",C1019&lt;25,"Normal",C1019&lt;30,"Overweight",C1019&gt;=30,"Obese")</f>
        <v>Obese</v>
      </c>
      <c r="K1019" t="str" cm="1">
        <f t="array" ref="K1019">_xlfn.IFS(G1019&lt;10000, "Low", G1019&lt;=25000, "Medium", G1019&gt;25000, "High")</f>
        <v>Medium</v>
      </c>
    </row>
    <row r="1020" spans="1:11" x14ac:dyDescent="0.3">
      <c r="A1020">
        <v>52</v>
      </c>
      <c r="B1020" s="1" t="s">
        <v>7</v>
      </c>
      <c r="C1020">
        <v>34.96</v>
      </c>
      <c r="D1020">
        <v>2</v>
      </c>
      <c r="E1020" t="s">
        <v>10</v>
      </c>
      <c r="F1020" t="s">
        <v>13</v>
      </c>
      <c r="G1020" s="2">
        <v>17663.144199999999</v>
      </c>
      <c r="H1020" t="str" cm="1">
        <f t="array" ref="H1020">_xlfn.IFS(A1020&lt;=30, "Youth", A1020&lt;=50, "Adult", A1020&gt;50, "Older")</f>
        <v>Older</v>
      </c>
      <c r="I1020" t="str" cm="1">
        <f t="array" ref="I1020">_xlfn.IFS(A1020&lt;=25,"18-25",A1020&lt;=35,"26-35",A1020&lt;=45,"36-45",A1020&lt;=60,"46-60",A1020&gt;60,"60+")</f>
        <v>46-60</v>
      </c>
      <c r="J1020" t="str" cm="1">
        <f t="array" ref="J1020">_xlfn.IFS(C1020&lt;18.5,"Underweight",C1020&lt;25,"Normal",C1020&lt;30,"Overweight",C1020&gt;=30,"Obese")</f>
        <v>Obese</v>
      </c>
      <c r="K1020" t="str" cm="1">
        <f t="array" ref="K1020">_xlfn.IFS(G1020&lt;10000, "Low", G1020&lt;=25000, "Medium", G1020&gt;25000, "High")</f>
        <v>Medium</v>
      </c>
    </row>
    <row r="1021" spans="1:11" x14ac:dyDescent="0.3">
      <c r="A1021">
        <v>52</v>
      </c>
      <c r="B1021" s="1" t="s">
        <v>8</v>
      </c>
      <c r="C1021">
        <v>34.96</v>
      </c>
      <c r="D1021">
        <v>2</v>
      </c>
      <c r="E1021" t="s">
        <v>10</v>
      </c>
      <c r="F1021" t="s">
        <v>11</v>
      </c>
      <c r="G1021" s="2">
        <v>17748.5062</v>
      </c>
      <c r="H1021" t="str" cm="1">
        <f t="array" ref="H1021">_xlfn.IFS(A1021&lt;=30, "Youth", A1021&lt;=50, "Adult", A1021&gt;50, "Older")</f>
        <v>Older</v>
      </c>
      <c r="I1021" t="str" cm="1">
        <f t="array" ref="I1021">_xlfn.IFS(A1021&lt;=25,"18-25",A1021&lt;=35,"26-35",A1021&lt;=45,"36-45",A1021&lt;=60,"46-60",A1021&gt;60,"60+")</f>
        <v>46-60</v>
      </c>
      <c r="J1021" t="str" cm="1">
        <f t="array" ref="J1021">_xlfn.IFS(C1021&lt;18.5,"Underweight",C1021&lt;25,"Normal",C1021&lt;30,"Overweight",C1021&gt;=30,"Obese")</f>
        <v>Obese</v>
      </c>
      <c r="K1021" t="str" cm="1">
        <f t="array" ref="K1021">_xlfn.IFS(G1021&lt;10000, "Low", G1021&lt;=25000, "Medium", G1021&gt;25000, "High")</f>
        <v>Medium</v>
      </c>
    </row>
    <row r="1022" spans="1:11" x14ac:dyDescent="0.3">
      <c r="A1022">
        <v>52</v>
      </c>
      <c r="B1022" s="1" t="s">
        <v>7</v>
      </c>
      <c r="C1022">
        <v>34.96</v>
      </c>
      <c r="D1022">
        <v>2</v>
      </c>
      <c r="E1022" t="s">
        <v>9</v>
      </c>
      <c r="F1022" t="s">
        <v>12</v>
      </c>
      <c r="G1022" s="2">
        <v>17878.900679999999</v>
      </c>
      <c r="H1022" t="str" cm="1">
        <f t="array" ref="H1022">_xlfn.IFS(A1022&lt;=30, "Youth", A1022&lt;=50, "Adult", A1022&gt;50, "Older")</f>
        <v>Older</v>
      </c>
      <c r="I1022" t="str" cm="1">
        <f t="array" ref="I1022">_xlfn.IFS(A1022&lt;=25,"18-25",A1022&lt;=35,"26-35",A1022&lt;=45,"36-45",A1022&lt;=60,"46-60",A1022&gt;60,"60+")</f>
        <v>46-60</v>
      </c>
      <c r="J1022" t="str" cm="1">
        <f t="array" ref="J1022">_xlfn.IFS(C1022&lt;18.5,"Underweight",C1022&lt;25,"Normal",C1022&lt;30,"Overweight",C1022&gt;=30,"Obese")</f>
        <v>Obese</v>
      </c>
      <c r="K1022" t="str" cm="1">
        <f t="array" ref="K1022">_xlfn.IFS(G1022&lt;10000, "Low", G1022&lt;=25000, "Medium", G1022&gt;25000, "High")</f>
        <v>Medium</v>
      </c>
    </row>
    <row r="1023" spans="1:11" x14ac:dyDescent="0.3">
      <c r="A1023">
        <v>52</v>
      </c>
      <c r="B1023" s="1" t="s">
        <v>8</v>
      </c>
      <c r="C1023">
        <v>35.090000000000003</v>
      </c>
      <c r="D1023">
        <v>2</v>
      </c>
      <c r="E1023" t="s">
        <v>9</v>
      </c>
      <c r="F1023" t="s">
        <v>12</v>
      </c>
      <c r="G1023" s="2">
        <v>17904.527050000001</v>
      </c>
      <c r="H1023" t="str" cm="1">
        <f t="array" ref="H1023">_xlfn.IFS(A1023&lt;=30, "Youth", A1023&lt;=50, "Adult", A1023&gt;50, "Older")</f>
        <v>Older</v>
      </c>
      <c r="I1023" t="str" cm="1">
        <f t="array" ref="I1023">_xlfn.IFS(A1023&lt;=25,"18-25",A1023&lt;=35,"26-35",A1023&lt;=45,"36-45",A1023&lt;=60,"46-60",A1023&gt;60,"60+")</f>
        <v>46-60</v>
      </c>
      <c r="J1023" t="str" cm="1">
        <f t="array" ref="J1023">_xlfn.IFS(C1023&lt;18.5,"Underweight",C1023&lt;25,"Normal",C1023&lt;30,"Overweight",C1023&gt;=30,"Obese")</f>
        <v>Obese</v>
      </c>
      <c r="K1023" t="str" cm="1">
        <f t="array" ref="K1023">_xlfn.IFS(G1023&lt;10000, "Low", G1023&lt;=25000, "Medium", G1023&gt;25000, "High")</f>
        <v>Medium</v>
      </c>
    </row>
    <row r="1024" spans="1:11" x14ac:dyDescent="0.3">
      <c r="A1024">
        <v>52</v>
      </c>
      <c r="B1024" s="1" t="s">
        <v>8</v>
      </c>
      <c r="C1024">
        <v>35.1</v>
      </c>
      <c r="D1024">
        <v>2</v>
      </c>
      <c r="E1024" t="s">
        <v>10</v>
      </c>
      <c r="F1024" t="s">
        <v>12</v>
      </c>
      <c r="G1024" s="2">
        <v>17929.303370000001</v>
      </c>
      <c r="H1024" t="str" cm="1">
        <f t="array" ref="H1024">_xlfn.IFS(A1024&lt;=30, "Youth", A1024&lt;=50, "Adult", A1024&gt;50, "Older")</f>
        <v>Older</v>
      </c>
      <c r="I1024" t="str" cm="1">
        <f t="array" ref="I1024">_xlfn.IFS(A1024&lt;=25,"18-25",A1024&lt;=35,"26-35",A1024&lt;=45,"36-45",A1024&lt;=60,"46-60",A1024&gt;60,"60+")</f>
        <v>46-60</v>
      </c>
      <c r="J1024" t="str" cm="1">
        <f t="array" ref="J1024">_xlfn.IFS(C1024&lt;18.5,"Underweight",C1024&lt;25,"Normal",C1024&lt;30,"Overweight",C1024&gt;=30,"Obese")</f>
        <v>Obese</v>
      </c>
      <c r="K1024" t="str" cm="1">
        <f t="array" ref="K1024">_xlfn.IFS(G1024&lt;10000, "Low", G1024&lt;=25000, "Medium", G1024&gt;25000, "High")</f>
        <v>Medium</v>
      </c>
    </row>
    <row r="1025" spans="1:11" x14ac:dyDescent="0.3">
      <c r="A1025">
        <v>52</v>
      </c>
      <c r="B1025" s="1" t="s">
        <v>7</v>
      </c>
      <c r="C1025">
        <v>35.15</v>
      </c>
      <c r="D1025">
        <v>2</v>
      </c>
      <c r="E1025" t="s">
        <v>10</v>
      </c>
      <c r="F1025" t="s">
        <v>12</v>
      </c>
      <c r="G1025" s="2">
        <v>17942.106</v>
      </c>
      <c r="H1025" t="str" cm="1">
        <f t="array" ref="H1025">_xlfn.IFS(A1025&lt;=30, "Youth", A1025&lt;=50, "Adult", A1025&gt;50, "Older")</f>
        <v>Older</v>
      </c>
      <c r="I1025" t="str" cm="1">
        <f t="array" ref="I1025">_xlfn.IFS(A1025&lt;=25,"18-25",A1025&lt;=35,"26-35",A1025&lt;=45,"36-45",A1025&lt;=60,"46-60",A1025&gt;60,"60+")</f>
        <v>46-60</v>
      </c>
      <c r="J1025" t="str" cm="1">
        <f t="array" ref="J1025">_xlfn.IFS(C1025&lt;18.5,"Underweight",C1025&lt;25,"Normal",C1025&lt;30,"Overweight",C1025&gt;=30,"Obese")</f>
        <v>Obese</v>
      </c>
      <c r="K1025" t="str" cm="1">
        <f t="array" ref="K1025">_xlfn.IFS(G1025&lt;10000, "Low", G1025&lt;=25000, "Medium", G1025&gt;25000, "High")</f>
        <v>Medium</v>
      </c>
    </row>
    <row r="1026" spans="1:11" x14ac:dyDescent="0.3">
      <c r="A1026">
        <v>52</v>
      </c>
      <c r="B1026" s="1" t="s">
        <v>7</v>
      </c>
      <c r="C1026">
        <v>35.200000000000003</v>
      </c>
      <c r="D1026">
        <v>2</v>
      </c>
      <c r="E1026" t="s">
        <v>10</v>
      </c>
      <c r="F1026" t="s">
        <v>11</v>
      </c>
      <c r="G1026" s="2">
        <v>18033.9679</v>
      </c>
      <c r="H1026" t="str" cm="1">
        <f t="array" ref="H1026">_xlfn.IFS(A1026&lt;=30, "Youth", A1026&lt;=50, "Adult", A1026&gt;50, "Older")</f>
        <v>Older</v>
      </c>
      <c r="I1026" t="str" cm="1">
        <f t="array" ref="I1026">_xlfn.IFS(A1026&lt;=25,"18-25",A1026&lt;=35,"26-35",A1026&lt;=45,"36-45",A1026&lt;=60,"46-60",A1026&gt;60,"60+")</f>
        <v>46-60</v>
      </c>
      <c r="J1026" t="str" cm="1">
        <f t="array" ref="J1026">_xlfn.IFS(C1026&lt;18.5,"Underweight",C1026&lt;25,"Normal",C1026&lt;30,"Overweight",C1026&gt;=30,"Obese")</f>
        <v>Obese</v>
      </c>
      <c r="K1026" t="str" cm="1">
        <f t="array" ref="K1026">_xlfn.IFS(G1026&lt;10000, "Low", G1026&lt;=25000, "Medium", G1026&gt;25000, "High")</f>
        <v>Medium</v>
      </c>
    </row>
    <row r="1027" spans="1:11" x14ac:dyDescent="0.3">
      <c r="A1027">
        <v>52</v>
      </c>
      <c r="B1027" s="1" t="s">
        <v>8</v>
      </c>
      <c r="C1027">
        <v>35.200000000000003</v>
      </c>
      <c r="D1027">
        <v>2</v>
      </c>
      <c r="E1027" t="s">
        <v>9</v>
      </c>
      <c r="F1027" t="s">
        <v>13</v>
      </c>
      <c r="G1027" s="2">
        <v>18157.876</v>
      </c>
      <c r="H1027" t="str" cm="1">
        <f t="array" ref="H1027">_xlfn.IFS(A1027&lt;=30, "Youth", A1027&lt;=50, "Adult", A1027&gt;50, "Older")</f>
        <v>Older</v>
      </c>
      <c r="I1027" t="str" cm="1">
        <f t="array" ref="I1027">_xlfn.IFS(A1027&lt;=25,"18-25",A1027&lt;=35,"26-35",A1027&lt;=45,"36-45",A1027&lt;=60,"46-60",A1027&gt;60,"60+")</f>
        <v>46-60</v>
      </c>
      <c r="J1027" t="str" cm="1">
        <f t="array" ref="J1027">_xlfn.IFS(C1027&lt;18.5,"Underweight",C1027&lt;25,"Normal",C1027&lt;30,"Overweight",C1027&gt;=30,"Obese")</f>
        <v>Obese</v>
      </c>
      <c r="K1027" t="str" cm="1">
        <f t="array" ref="K1027">_xlfn.IFS(G1027&lt;10000, "Low", G1027&lt;=25000, "Medium", G1027&gt;25000, "High")</f>
        <v>Medium</v>
      </c>
    </row>
    <row r="1028" spans="1:11" x14ac:dyDescent="0.3">
      <c r="A1028">
        <v>52</v>
      </c>
      <c r="B1028" s="1" t="s">
        <v>8</v>
      </c>
      <c r="C1028">
        <v>35.200000000000003</v>
      </c>
      <c r="D1028">
        <v>2</v>
      </c>
      <c r="E1028" t="s">
        <v>10</v>
      </c>
      <c r="F1028" t="s">
        <v>13</v>
      </c>
      <c r="G1028" s="2">
        <v>18218.161390000001</v>
      </c>
      <c r="H1028" t="str" cm="1">
        <f t="array" ref="H1028">_xlfn.IFS(A1028&lt;=30, "Youth", A1028&lt;=50, "Adult", A1028&gt;50, "Older")</f>
        <v>Older</v>
      </c>
      <c r="I1028" t="str" cm="1">
        <f t="array" ref="I1028">_xlfn.IFS(A1028&lt;=25,"18-25",A1028&lt;=35,"26-35",A1028&lt;=45,"36-45",A1028&lt;=60,"46-60",A1028&gt;60,"60+")</f>
        <v>46-60</v>
      </c>
      <c r="J1028" t="str" cm="1">
        <f t="array" ref="J1028">_xlfn.IFS(C1028&lt;18.5,"Underweight",C1028&lt;25,"Normal",C1028&lt;30,"Overweight",C1028&gt;=30,"Obese")</f>
        <v>Obese</v>
      </c>
      <c r="K1028" t="str" cm="1">
        <f t="array" ref="K1028">_xlfn.IFS(G1028&lt;10000, "Low", G1028&lt;=25000, "Medium", G1028&gt;25000, "High")</f>
        <v>Medium</v>
      </c>
    </row>
    <row r="1029" spans="1:11" x14ac:dyDescent="0.3">
      <c r="A1029">
        <v>52</v>
      </c>
      <c r="B1029" s="1" t="s">
        <v>8</v>
      </c>
      <c r="C1029">
        <v>35.200000000000003</v>
      </c>
      <c r="D1029">
        <v>2</v>
      </c>
      <c r="E1029" t="s">
        <v>10</v>
      </c>
      <c r="F1029" t="s">
        <v>11</v>
      </c>
      <c r="G1029" s="2">
        <v>18223.4512</v>
      </c>
      <c r="H1029" t="str" cm="1">
        <f t="array" ref="H1029">_xlfn.IFS(A1029&lt;=30, "Youth", A1029&lt;=50, "Adult", A1029&gt;50, "Older")</f>
        <v>Older</v>
      </c>
      <c r="I1029" t="str" cm="1">
        <f t="array" ref="I1029">_xlfn.IFS(A1029&lt;=25,"18-25",A1029&lt;=35,"26-35",A1029&lt;=45,"36-45",A1029&lt;=60,"46-60",A1029&gt;60,"60+")</f>
        <v>46-60</v>
      </c>
      <c r="J1029" t="str" cm="1">
        <f t="array" ref="J1029">_xlfn.IFS(C1029&lt;18.5,"Underweight",C1029&lt;25,"Normal",C1029&lt;30,"Overweight",C1029&gt;=30,"Obese")</f>
        <v>Obese</v>
      </c>
      <c r="K1029" t="str" cm="1">
        <f t="array" ref="K1029">_xlfn.IFS(G1029&lt;10000, "Low", G1029&lt;=25000, "Medium", G1029&gt;25000, "High")</f>
        <v>Medium</v>
      </c>
    </row>
    <row r="1030" spans="1:11" x14ac:dyDescent="0.3">
      <c r="A1030">
        <v>52</v>
      </c>
      <c r="B1030" s="1" t="s">
        <v>7</v>
      </c>
      <c r="C1030">
        <v>35.200000000000003</v>
      </c>
      <c r="D1030">
        <v>2</v>
      </c>
      <c r="E1030" t="s">
        <v>10</v>
      </c>
      <c r="F1030" t="s">
        <v>14</v>
      </c>
      <c r="G1030" s="2">
        <v>18246.495500000001</v>
      </c>
      <c r="H1030" t="str" cm="1">
        <f t="array" ref="H1030">_xlfn.IFS(A1030&lt;=30, "Youth", A1030&lt;=50, "Adult", A1030&gt;50, "Older")</f>
        <v>Older</v>
      </c>
      <c r="I1030" t="str" cm="1">
        <f t="array" ref="I1030">_xlfn.IFS(A1030&lt;=25,"18-25",A1030&lt;=35,"26-35",A1030&lt;=45,"36-45",A1030&lt;=60,"46-60",A1030&gt;60,"60+")</f>
        <v>46-60</v>
      </c>
      <c r="J1030" t="str" cm="1">
        <f t="array" ref="J1030">_xlfn.IFS(C1030&lt;18.5,"Underweight",C1030&lt;25,"Normal",C1030&lt;30,"Overweight",C1030&gt;=30,"Obese")</f>
        <v>Obese</v>
      </c>
      <c r="K1030" t="str" cm="1">
        <f t="array" ref="K1030">_xlfn.IFS(G1030&lt;10000, "Low", G1030&lt;=25000, "Medium", G1030&gt;25000, "High")</f>
        <v>Medium</v>
      </c>
    </row>
    <row r="1031" spans="1:11" x14ac:dyDescent="0.3">
      <c r="A1031">
        <v>52</v>
      </c>
      <c r="B1031" s="1" t="s">
        <v>7</v>
      </c>
      <c r="C1031">
        <v>35.200000000000003</v>
      </c>
      <c r="D1031">
        <v>2</v>
      </c>
      <c r="E1031" t="s">
        <v>9</v>
      </c>
      <c r="F1031" t="s">
        <v>13</v>
      </c>
      <c r="G1031" s="2">
        <v>18259.216</v>
      </c>
      <c r="H1031" t="str" cm="1">
        <f t="array" ref="H1031">_xlfn.IFS(A1031&lt;=30, "Youth", A1031&lt;=50, "Adult", A1031&gt;50, "Older")</f>
        <v>Older</v>
      </c>
      <c r="I1031" t="str" cm="1">
        <f t="array" ref="I1031">_xlfn.IFS(A1031&lt;=25,"18-25",A1031&lt;=35,"26-35",A1031&lt;=45,"36-45",A1031&lt;=60,"46-60",A1031&gt;60,"60+")</f>
        <v>46-60</v>
      </c>
      <c r="J1031" t="str" cm="1">
        <f t="array" ref="J1031">_xlfn.IFS(C1031&lt;18.5,"Underweight",C1031&lt;25,"Normal",C1031&lt;30,"Overweight",C1031&gt;=30,"Obese")</f>
        <v>Obese</v>
      </c>
      <c r="K1031" t="str" cm="1">
        <f t="array" ref="K1031">_xlfn.IFS(G1031&lt;10000, "Low", G1031&lt;=25000, "Medium", G1031&gt;25000, "High")</f>
        <v>Medium</v>
      </c>
    </row>
    <row r="1032" spans="1:11" x14ac:dyDescent="0.3">
      <c r="A1032">
        <v>52</v>
      </c>
      <c r="B1032" s="1" t="s">
        <v>7</v>
      </c>
      <c r="C1032">
        <v>35.200000000000003</v>
      </c>
      <c r="D1032">
        <v>2</v>
      </c>
      <c r="E1032" t="s">
        <v>9</v>
      </c>
      <c r="F1032" t="s">
        <v>12</v>
      </c>
      <c r="G1032" s="2">
        <v>18310.741999999998</v>
      </c>
      <c r="H1032" t="str" cm="1">
        <f t="array" ref="H1032">_xlfn.IFS(A1032&lt;=30, "Youth", A1032&lt;=50, "Adult", A1032&gt;50, "Older")</f>
        <v>Older</v>
      </c>
      <c r="I1032" t="str" cm="1">
        <f t="array" ref="I1032">_xlfn.IFS(A1032&lt;=25,"18-25",A1032&lt;=35,"26-35",A1032&lt;=45,"36-45",A1032&lt;=60,"46-60",A1032&gt;60,"60+")</f>
        <v>46-60</v>
      </c>
      <c r="J1032" t="str" cm="1">
        <f t="array" ref="J1032">_xlfn.IFS(C1032&lt;18.5,"Underweight",C1032&lt;25,"Normal",C1032&lt;30,"Overweight",C1032&gt;=30,"Obese")</f>
        <v>Obese</v>
      </c>
      <c r="K1032" t="str" cm="1">
        <f t="array" ref="K1032">_xlfn.IFS(G1032&lt;10000, "Low", G1032&lt;=25000, "Medium", G1032&gt;25000, "High")</f>
        <v>Medium</v>
      </c>
    </row>
    <row r="1033" spans="1:11" x14ac:dyDescent="0.3">
      <c r="A1033">
        <v>52</v>
      </c>
      <c r="B1033" s="1" t="s">
        <v>7</v>
      </c>
      <c r="C1033">
        <v>35.244999999999997</v>
      </c>
      <c r="D1033">
        <v>2</v>
      </c>
      <c r="E1033" t="s">
        <v>10</v>
      </c>
      <c r="F1033" t="s">
        <v>14</v>
      </c>
      <c r="G1033" s="2">
        <v>18328.238099999999</v>
      </c>
      <c r="H1033" t="str" cm="1">
        <f t="array" ref="H1033">_xlfn.IFS(A1033&lt;=30, "Youth", A1033&lt;=50, "Adult", A1033&gt;50, "Older")</f>
        <v>Older</v>
      </c>
      <c r="I1033" t="str" cm="1">
        <f t="array" ref="I1033">_xlfn.IFS(A1033&lt;=25,"18-25",A1033&lt;=35,"26-35",A1033&lt;=45,"36-45",A1033&lt;=60,"46-60",A1033&gt;60,"60+")</f>
        <v>46-60</v>
      </c>
      <c r="J1033" t="str" cm="1">
        <f t="array" ref="J1033">_xlfn.IFS(C1033&lt;18.5,"Underweight",C1033&lt;25,"Normal",C1033&lt;30,"Overweight",C1033&gt;=30,"Obese")</f>
        <v>Obese</v>
      </c>
      <c r="K1033" t="str" cm="1">
        <f t="array" ref="K1033">_xlfn.IFS(G1033&lt;10000, "Low", G1033&lt;=25000, "Medium", G1033&gt;25000, "High")</f>
        <v>Medium</v>
      </c>
    </row>
    <row r="1034" spans="1:11" x14ac:dyDescent="0.3">
      <c r="A1034">
        <v>52</v>
      </c>
      <c r="B1034" s="1" t="s">
        <v>8</v>
      </c>
      <c r="C1034">
        <v>35.244999999999997</v>
      </c>
      <c r="D1034">
        <v>2</v>
      </c>
      <c r="E1034" t="s">
        <v>9</v>
      </c>
      <c r="F1034" t="s">
        <v>14</v>
      </c>
      <c r="G1034" s="2">
        <v>18608.261999999999</v>
      </c>
      <c r="H1034" t="str" cm="1">
        <f t="array" ref="H1034">_xlfn.IFS(A1034&lt;=30, "Youth", A1034&lt;=50, "Adult", A1034&gt;50, "Older")</f>
        <v>Older</v>
      </c>
      <c r="I1034" t="str" cm="1">
        <f t="array" ref="I1034">_xlfn.IFS(A1034&lt;=25,"18-25",A1034&lt;=35,"26-35",A1034&lt;=45,"36-45",A1034&lt;=60,"46-60",A1034&gt;60,"60+")</f>
        <v>46-60</v>
      </c>
      <c r="J1034" t="str" cm="1">
        <f t="array" ref="J1034">_xlfn.IFS(C1034&lt;18.5,"Underweight",C1034&lt;25,"Normal",C1034&lt;30,"Overweight",C1034&gt;=30,"Obese")</f>
        <v>Obese</v>
      </c>
      <c r="K1034" t="str" cm="1">
        <f t="array" ref="K1034">_xlfn.IFS(G1034&lt;10000, "Low", G1034&lt;=25000, "Medium", G1034&gt;25000, "High")</f>
        <v>Medium</v>
      </c>
    </row>
    <row r="1035" spans="1:11" x14ac:dyDescent="0.3">
      <c r="A1035">
        <v>52</v>
      </c>
      <c r="B1035" s="1" t="s">
        <v>8</v>
      </c>
      <c r="C1035">
        <v>35.299999999999997</v>
      </c>
      <c r="D1035">
        <v>2</v>
      </c>
      <c r="E1035" t="s">
        <v>10</v>
      </c>
      <c r="F1035" t="s">
        <v>13</v>
      </c>
      <c r="G1035" s="2">
        <v>18648.421699999999</v>
      </c>
      <c r="H1035" t="str" cm="1">
        <f t="array" ref="H1035">_xlfn.IFS(A1035&lt;=30, "Youth", A1035&lt;=50, "Adult", A1035&gt;50, "Older")</f>
        <v>Older</v>
      </c>
      <c r="I1035" t="str" cm="1">
        <f t="array" ref="I1035">_xlfn.IFS(A1035&lt;=25,"18-25",A1035&lt;=35,"26-35",A1035&lt;=45,"36-45",A1035&lt;=60,"46-60",A1035&gt;60,"60+")</f>
        <v>46-60</v>
      </c>
      <c r="J1035" t="str" cm="1">
        <f t="array" ref="J1035">_xlfn.IFS(C1035&lt;18.5,"Underweight",C1035&lt;25,"Normal",C1035&lt;30,"Overweight",C1035&gt;=30,"Obese")</f>
        <v>Obese</v>
      </c>
      <c r="K1035" t="str" cm="1">
        <f t="array" ref="K1035">_xlfn.IFS(G1035&lt;10000, "Low", G1035&lt;=25000, "Medium", G1035&gt;25000, "High")</f>
        <v>Medium</v>
      </c>
    </row>
    <row r="1036" spans="1:11" x14ac:dyDescent="0.3">
      <c r="A1036">
        <v>52</v>
      </c>
      <c r="B1036" s="1" t="s">
        <v>7</v>
      </c>
      <c r="C1036">
        <v>35.299999999999997</v>
      </c>
      <c r="D1036">
        <v>2</v>
      </c>
      <c r="E1036" t="s">
        <v>10</v>
      </c>
      <c r="F1036" t="s">
        <v>11</v>
      </c>
      <c r="G1036" s="2">
        <v>18765.87545</v>
      </c>
      <c r="H1036" t="str" cm="1">
        <f t="array" ref="H1036">_xlfn.IFS(A1036&lt;=30, "Youth", A1036&lt;=50, "Adult", A1036&gt;50, "Older")</f>
        <v>Older</v>
      </c>
      <c r="I1036" t="str" cm="1">
        <f t="array" ref="I1036">_xlfn.IFS(A1036&lt;=25,"18-25",A1036&lt;=35,"26-35",A1036&lt;=45,"36-45",A1036&lt;=60,"46-60",A1036&gt;60,"60+")</f>
        <v>46-60</v>
      </c>
      <c r="J1036" t="str" cm="1">
        <f t="array" ref="J1036">_xlfn.IFS(C1036&lt;18.5,"Underweight",C1036&lt;25,"Normal",C1036&lt;30,"Overweight",C1036&gt;=30,"Obese")</f>
        <v>Obese</v>
      </c>
      <c r="K1036" t="str" cm="1">
        <f t="array" ref="K1036">_xlfn.IFS(G1036&lt;10000, "Low", G1036&lt;=25000, "Medium", G1036&gt;25000, "High")</f>
        <v>Medium</v>
      </c>
    </row>
    <row r="1037" spans="1:11" x14ac:dyDescent="0.3">
      <c r="A1037">
        <v>52</v>
      </c>
      <c r="B1037" s="1" t="s">
        <v>8</v>
      </c>
      <c r="C1037">
        <v>35.299999999999997</v>
      </c>
      <c r="D1037">
        <v>2</v>
      </c>
      <c r="E1037" t="s">
        <v>9</v>
      </c>
      <c r="F1037" t="s">
        <v>12</v>
      </c>
      <c r="G1037" s="2">
        <v>18767.737700000001</v>
      </c>
      <c r="H1037" t="str" cm="1">
        <f t="array" ref="H1037">_xlfn.IFS(A1037&lt;=30, "Youth", A1037&lt;=50, "Adult", A1037&gt;50, "Older")</f>
        <v>Older</v>
      </c>
      <c r="I1037" t="str" cm="1">
        <f t="array" ref="I1037">_xlfn.IFS(A1037&lt;=25,"18-25",A1037&lt;=35,"26-35",A1037&lt;=45,"36-45",A1037&lt;=60,"46-60",A1037&gt;60,"60+")</f>
        <v>46-60</v>
      </c>
      <c r="J1037" t="str" cm="1">
        <f t="array" ref="J1037">_xlfn.IFS(C1037&lt;18.5,"Underweight",C1037&lt;25,"Normal",C1037&lt;30,"Overweight",C1037&gt;=30,"Obese")</f>
        <v>Obese</v>
      </c>
      <c r="K1037" t="str" cm="1">
        <f t="array" ref="K1037">_xlfn.IFS(G1037&lt;10000, "Low", G1037&lt;=25000, "Medium", G1037&gt;25000, "High")</f>
        <v>Medium</v>
      </c>
    </row>
    <row r="1038" spans="1:11" x14ac:dyDescent="0.3">
      <c r="A1038">
        <v>52</v>
      </c>
      <c r="B1038" s="1" t="s">
        <v>7</v>
      </c>
      <c r="C1038">
        <v>35.299999999999997</v>
      </c>
      <c r="D1038">
        <v>2</v>
      </c>
      <c r="E1038" t="s">
        <v>9</v>
      </c>
      <c r="F1038" t="s">
        <v>13</v>
      </c>
      <c r="G1038" s="2">
        <v>18804.752400000001</v>
      </c>
      <c r="H1038" t="str" cm="1">
        <f t="array" ref="H1038">_xlfn.IFS(A1038&lt;=30, "Youth", A1038&lt;=50, "Adult", A1038&gt;50, "Older")</f>
        <v>Older</v>
      </c>
      <c r="I1038" t="str" cm="1">
        <f t="array" ref="I1038">_xlfn.IFS(A1038&lt;=25,"18-25",A1038&lt;=35,"26-35",A1038&lt;=45,"36-45",A1038&lt;=60,"46-60",A1038&gt;60,"60+")</f>
        <v>46-60</v>
      </c>
      <c r="J1038" t="str" cm="1">
        <f t="array" ref="J1038">_xlfn.IFS(C1038&lt;18.5,"Underweight",C1038&lt;25,"Normal",C1038&lt;30,"Overweight",C1038&gt;=30,"Obese")</f>
        <v>Obese</v>
      </c>
      <c r="K1038" t="str" cm="1">
        <f t="array" ref="K1038">_xlfn.IFS(G1038&lt;10000, "Low", G1038&lt;=25000, "Medium", G1038&gt;25000, "High")</f>
        <v>Medium</v>
      </c>
    </row>
    <row r="1039" spans="1:11" x14ac:dyDescent="0.3">
      <c r="A1039">
        <v>52</v>
      </c>
      <c r="B1039" s="1" t="s">
        <v>8</v>
      </c>
      <c r="C1039">
        <v>35.31</v>
      </c>
      <c r="D1039">
        <v>2</v>
      </c>
      <c r="E1039" t="s">
        <v>10</v>
      </c>
      <c r="F1039" t="s">
        <v>14</v>
      </c>
      <c r="G1039" s="2">
        <v>18806.145469999999</v>
      </c>
      <c r="H1039" t="str" cm="1">
        <f t="array" ref="H1039">_xlfn.IFS(A1039&lt;=30, "Youth", A1039&lt;=50, "Adult", A1039&gt;50, "Older")</f>
        <v>Older</v>
      </c>
      <c r="I1039" t="str" cm="1">
        <f t="array" ref="I1039">_xlfn.IFS(A1039&lt;=25,"18-25",A1039&lt;=35,"26-35",A1039&lt;=45,"36-45",A1039&lt;=60,"46-60",A1039&gt;60,"60+")</f>
        <v>46-60</v>
      </c>
      <c r="J1039" t="str" cm="1">
        <f t="array" ref="J1039">_xlfn.IFS(C1039&lt;18.5,"Underweight",C1039&lt;25,"Normal",C1039&lt;30,"Overweight",C1039&gt;=30,"Obese")</f>
        <v>Obese</v>
      </c>
      <c r="K1039" t="str" cm="1">
        <f t="array" ref="K1039">_xlfn.IFS(G1039&lt;10000, "Low", G1039&lt;=25000, "Medium", G1039&gt;25000, "High")</f>
        <v>Medium</v>
      </c>
    </row>
    <row r="1040" spans="1:11" x14ac:dyDescent="0.3">
      <c r="A1040">
        <v>52</v>
      </c>
      <c r="B1040" s="1" t="s">
        <v>8</v>
      </c>
      <c r="C1040">
        <v>35.31</v>
      </c>
      <c r="D1040">
        <v>2</v>
      </c>
      <c r="E1040" t="s">
        <v>10</v>
      </c>
      <c r="F1040" t="s">
        <v>13</v>
      </c>
      <c r="G1040" s="2">
        <v>18838.703659999999</v>
      </c>
      <c r="H1040" t="str" cm="1">
        <f t="array" ref="H1040">_xlfn.IFS(A1040&lt;=30, "Youth", A1040&lt;=50, "Adult", A1040&gt;50, "Older")</f>
        <v>Older</v>
      </c>
      <c r="I1040" t="str" cm="1">
        <f t="array" ref="I1040">_xlfn.IFS(A1040&lt;=25,"18-25",A1040&lt;=35,"26-35",A1040&lt;=45,"36-45",A1040&lt;=60,"46-60",A1040&gt;60,"60+")</f>
        <v>46-60</v>
      </c>
      <c r="J1040" t="str" cm="1">
        <f t="array" ref="J1040">_xlfn.IFS(C1040&lt;18.5,"Underweight",C1040&lt;25,"Normal",C1040&lt;30,"Overweight",C1040&gt;=30,"Obese")</f>
        <v>Obese</v>
      </c>
      <c r="K1040" t="str" cm="1">
        <f t="array" ref="K1040">_xlfn.IFS(G1040&lt;10000, "Low", G1040&lt;=25000, "Medium", G1040&gt;25000, "High")</f>
        <v>Medium</v>
      </c>
    </row>
    <row r="1041" spans="1:11" x14ac:dyDescent="0.3">
      <c r="A1041">
        <v>53</v>
      </c>
      <c r="B1041" s="1" t="s">
        <v>7</v>
      </c>
      <c r="C1041">
        <v>35.4</v>
      </c>
      <c r="D1041">
        <v>2</v>
      </c>
      <c r="E1041" t="s">
        <v>9</v>
      </c>
      <c r="F1041" t="s">
        <v>13</v>
      </c>
      <c r="G1041" s="2">
        <v>18903.491409999999</v>
      </c>
      <c r="H1041" t="str" cm="1">
        <f t="array" ref="H1041">_xlfn.IFS(A1041&lt;=30, "Youth", A1041&lt;=50, "Adult", A1041&gt;50, "Older")</f>
        <v>Older</v>
      </c>
      <c r="I1041" t="str" cm="1">
        <f t="array" ref="I1041">_xlfn.IFS(A1041&lt;=25,"18-25",A1041&lt;=35,"26-35",A1041&lt;=45,"36-45",A1041&lt;=60,"46-60",A1041&gt;60,"60+")</f>
        <v>46-60</v>
      </c>
      <c r="J1041" t="str" cm="1">
        <f t="array" ref="J1041">_xlfn.IFS(C1041&lt;18.5,"Underweight",C1041&lt;25,"Normal",C1041&lt;30,"Overweight",C1041&gt;=30,"Obese")</f>
        <v>Obese</v>
      </c>
      <c r="K1041" t="str" cm="1">
        <f t="array" ref="K1041">_xlfn.IFS(G1041&lt;10000, "Low", G1041&lt;=25000, "Medium", G1041&gt;25000, "High")</f>
        <v>Medium</v>
      </c>
    </row>
    <row r="1042" spans="1:11" x14ac:dyDescent="0.3">
      <c r="A1042">
        <v>53</v>
      </c>
      <c r="B1042" s="1" t="s">
        <v>8</v>
      </c>
      <c r="C1042">
        <v>35.42</v>
      </c>
      <c r="D1042">
        <v>2</v>
      </c>
      <c r="E1042" t="s">
        <v>10</v>
      </c>
      <c r="F1042" t="s">
        <v>14</v>
      </c>
      <c r="G1042" s="2">
        <v>18955.220170000001</v>
      </c>
      <c r="H1042" t="str" cm="1">
        <f t="array" ref="H1042">_xlfn.IFS(A1042&lt;=30, "Youth", A1042&lt;=50, "Adult", A1042&gt;50, "Older")</f>
        <v>Older</v>
      </c>
      <c r="I1042" t="str" cm="1">
        <f t="array" ref="I1042">_xlfn.IFS(A1042&lt;=25,"18-25",A1042&lt;=35,"26-35",A1042&lt;=45,"36-45",A1042&lt;=60,"46-60",A1042&gt;60,"60+")</f>
        <v>46-60</v>
      </c>
      <c r="J1042" t="str" cm="1">
        <f t="array" ref="J1042">_xlfn.IFS(C1042&lt;18.5,"Underweight",C1042&lt;25,"Normal",C1042&lt;30,"Overweight",C1042&gt;=30,"Obese")</f>
        <v>Obese</v>
      </c>
      <c r="K1042" t="str" cm="1">
        <f t="array" ref="K1042">_xlfn.IFS(G1042&lt;10000, "Low", G1042&lt;=25000, "Medium", G1042&gt;25000, "High")</f>
        <v>Medium</v>
      </c>
    </row>
    <row r="1043" spans="1:11" x14ac:dyDescent="0.3">
      <c r="A1043">
        <v>53</v>
      </c>
      <c r="B1043" s="1" t="s">
        <v>8</v>
      </c>
      <c r="C1043">
        <v>35.435000000000002</v>
      </c>
      <c r="D1043">
        <v>2</v>
      </c>
      <c r="E1043" t="s">
        <v>9</v>
      </c>
      <c r="F1043" t="s">
        <v>14</v>
      </c>
      <c r="G1043" s="2">
        <v>18963.171920000001</v>
      </c>
      <c r="H1043" t="str" cm="1">
        <f t="array" ref="H1043">_xlfn.IFS(A1043&lt;=30, "Youth", A1043&lt;=50, "Adult", A1043&gt;50, "Older")</f>
        <v>Older</v>
      </c>
      <c r="I1043" t="str" cm="1">
        <f t="array" ref="I1043">_xlfn.IFS(A1043&lt;=25,"18-25",A1043&lt;=35,"26-35",A1043&lt;=45,"36-45",A1043&lt;=60,"46-60",A1043&gt;60,"60+")</f>
        <v>46-60</v>
      </c>
      <c r="J1043" t="str" cm="1">
        <f t="array" ref="J1043">_xlfn.IFS(C1043&lt;18.5,"Underweight",C1043&lt;25,"Normal",C1043&lt;30,"Overweight",C1043&gt;=30,"Obese")</f>
        <v>Obese</v>
      </c>
      <c r="K1043" t="str" cm="1">
        <f t="array" ref="K1043">_xlfn.IFS(G1043&lt;10000, "Low", G1043&lt;=25000, "Medium", G1043&gt;25000, "High")</f>
        <v>Medium</v>
      </c>
    </row>
    <row r="1044" spans="1:11" x14ac:dyDescent="0.3">
      <c r="A1044">
        <v>53</v>
      </c>
      <c r="B1044" s="1" t="s">
        <v>7</v>
      </c>
      <c r="C1044">
        <v>35.5</v>
      </c>
      <c r="D1044">
        <v>2</v>
      </c>
      <c r="E1044" t="s">
        <v>10</v>
      </c>
      <c r="F1044" t="s">
        <v>11</v>
      </c>
      <c r="G1044" s="2">
        <v>18972.494999999999</v>
      </c>
      <c r="H1044" t="str" cm="1">
        <f t="array" ref="H1044">_xlfn.IFS(A1044&lt;=30, "Youth", A1044&lt;=50, "Adult", A1044&gt;50, "Older")</f>
        <v>Older</v>
      </c>
      <c r="I1044" t="str" cm="1">
        <f t="array" ref="I1044">_xlfn.IFS(A1044&lt;=25,"18-25",A1044&lt;=35,"26-35",A1044&lt;=45,"36-45",A1044&lt;=60,"46-60",A1044&gt;60,"60+")</f>
        <v>46-60</v>
      </c>
      <c r="J1044" t="str" cm="1">
        <f t="array" ref="J1044">_xlfn.IFS(C1044&lt;18.5,"Underweight",C1044&lt;25,"Normal",C1044&lt;30,"Overweight",C1044&gt;=30,"Obese")</f>
        <v>Obese</v>
      </c>
      <c r="K1044" t="str" cm="1">
        <f t="array" ref="K1044">_xlfn.IFS(G1044&lt;10000, "Low", G1044&lt;=25000, "Medium", G1044&gt;25000, "High")</f>
        <v>Medium</v>
      </c>
    </row>
    <row r="1045" spans="1:11" x14ac:dyDescent="0.3">
      <c r="A1045">
        <v>53</v>
      </c>
      <c r="B1045" s="1" t="s">
        <v>8</v>
      </c>
      <c r="C1045">
        <v>35.53</v>
      </c>
      <c r="D1045">
        <v>2</v>
      </c>
      <c r="E1045" t="s">
        <v>10</v>
      </c>
      <c r="F1045" t="s">
        <v>14</v>
      </c>
      <c r="G1045" s="2">
        <v>19023.259999999998</v>
      </c>
      <c r="H1045" t="str" cm="1">
        <f t="array" ref="H1045">_xlfn.IFS(A1045&lt;=30, "Youth", A1045&lt;=50, "Adult", A1045&gt;50, "Older")</f>
        <v>Older</v>
      </c>
      <c r="I1045" t="str" cm="1">
        <f t="array" ref="I1045">_xlfn.IFS(A1045&lt;=25,"18-25",A1045&lt;=35,"26-35",A1045&lt;=45,"36-45",A1045&lt;=60,"46-60",A1045&gt;60,"60+")</f>
        <v>46-60</v>
      </c>
      <c r="J1045" t="str" cm="1">
        <f t="array" ref="J1045">_xlfn.IFS(C1045&lt;18.5,"Underweight",C1045&lt;25,"Normal",C1045&lt;30,"Overweight",C1045&gt;=30,"Obese")</f>
        <v>Obese</v>
      </c>
      <c r="K1045" t="str" cm="1">
        <f t="array" ref="K1045">_xlfn.IFS(G1045&lt;10000, "Low", G1045&lt;=25000, "Medium", G1045&gt;25000, "High")</f>
        <v>Medium</v>
      </c>
    </row>
    <row r="1046" spans="1:11" x14ac:dyDescent="0.3">
      <c r="A1046">
        <v>53</v>
      </c>
      <c r="B1046" s="1" t="s">
        <v>7</v>
      </c>
      <c r="C1046">
        <v>35.53</v>
      </c>
      <c r="D1046">
        <v>2</v>
      </c>
      <c r="E1046" t="s">
        <v>9</v>
      </c>
      <c r="F1046" t="s">
        <v>13</v>
      </c>
      <c r="G1046" s="2">
        <v>19040.876</v>
      </c>
      <c r="H1046" t="str" cm="1">
        <f t="array" ref="H1046">_xlfn.IFS(A1046&lt;=30, "Youth", A1046&lt;=50, "Adult", A1046&gt;50, "Older")</f>
        <v>Older</v>
      </c>
      <c r="I1046" t="str" cm="1">
        <f t="array" ref="I1046">_xlfn.IFS(A1046&lt;=25,"18-25",A1046&lt;=35,"26-35",A1046&lt;=45,"36-45",A1046&lt;=60,"46-60",A1046&gt;60,"60+")</f>
        <v>46-60</v>
      </c>
      <c r="J1046" t="str" cm="1">
        <f t="array" ref="J1046">_xlfn.IFS(C1046&lt;18.5,"Underweight",C1046&lt;25,"Normal",C1046&lt;30,"Overweight",C1046&gt;=30,"Obese")</f>
        <v>Obese</v>
      </c>
      <c r="K1046" t="str" cm="1">
        <f t="array" ref="K1046">_xlfn.IFS(G1046&lt;10000, "Low", G1046&lt;=25000, "Medium", G1046&gt;25000, "High")</f>
        <v>Medium</v>
      </c>
    </row>
    <row r="1047" spans="1:11" x14ac:dyDescent="0.3">
      <c r="A1047">
        <v>53</v>
      </c>
      <c r="B1047" s="1" t="s">
        <v>7</v>
      </c>
      <c r="C1047">
        <v>35.53</v>
      </c>
      <c r="D1047">
        <v>2</v>
      </c>
      <c r="E1047" t="s">
        <v>10</v>
      </c>
      <c r="F1047" t="s">
        <v>14</v>
      </c>
      <c r="G1047" s="2">
        <v>19107.779600000002</v>
      </c>
      <c r="H1047" t="str" cm="1">
        <f t="array" ref="H1047">_xlfn.IFS(A1047&lt;=30, "Youth", A1047&lt;=50, "Adult", A1047&gt;50, "Older")</f>
        <v>Older</v>
      </c>
      <c r="I1047" t="str" cm="1">
        <f t="array" ref="I1047">_xlfn.IFS(A1047&lt;=25,"18-25",A1047&lt;=35,"26-35",A1047&lt;=45,"36-45",A1047&lt;=60,"46-60",A1047&gt;60,"60+")</f>
        <v>46-60</v>
      </c>
      <c r="J1047" t="str" cm="1">
        <f t="array" ref="J1047">_xlfn.IFS(C1047&lt;18.5,"Underweight",C1047&lt;25,"Normal",C1047&lt;30,"Overweight",C1047&gt;=30,"Obese")</f>
        <v>Obese</v>
      </c>
      <c r="K1047" t="str" cm="1">
        <f t="array" ref="K1047">_xlfn.IFS(G1047&lt;10000, "Low", G1047&lt;=25000, "Medium", G1047&gt;25000, "High")</f>
        <v>Medium</v>
      </c>
    </row>
    <row r="1048" spans="1:11" x14ac:dyDescent="0.3">
      <c r="A1048">
        <v>53</v>
      </c>
      <c r="B1048" s="1" t="s">
        <v>8</v>
      </c>
      <c r="C1048">
        <v>35.53</v>
      </c>
      <c r="D1048">
        <v>2</v>
      </c>
      <c r="E1048" t="s">
        <v>9</v>
      </c>
      <c r="F1048" t="s">
        <v>12</v>
      </c>
      <c r="G1048" s="2">
        <v>19144.576519999999</v>
      </c>
      <c r="H1048" t="str" cm="1">
        <f t="array" ref="H1048">_xlfn.IFS(A1048&lt;=30, "Youth", A1048&lt;=50, "Adult", A1048&gt;50, "Older")</f>
        <v>Older</v>
      </c>
      <c r="I1048" t="str" cm="1">
        <f t="array" ref="I1048">_xlfn.IFS(A1048&lt;=25,"18-25",A1048&lt;=35,"26-35",A1048&lt;=45,"36-45",A1048&lt;=60,"46-60",A1048&gt;60,"60+")</f>
        <v>46-60</v>
      </c>
      <c r="J1048" t="str" cm="1">
        <f t="array" ref="J1048">_xlfn.IFS(C1048&lt;18.5,"Underweight",C1048&lt;25,"Normal",C1048&lt;30,"Overweight",C1048&gt;=30,"Obese")</f>
        <v>Obese</v>
      </c>
      <c r="K1048" t="str" cm="1">
        <f t="array" ref="K1048">_xlfn.IFS(G1048&lt;10000, "Low", G1048&lt;=25000, "Medium", G1048&gt;25000, "High")</f>
        <v>Medium</v>
      </c>
    </row>
    <row r="1049" spans="1:11" x14ac:dyDescent="0.3">
      <c r="A1049">
        <v>53</v>
      </c>
      <c r="B1049" s="1" t="s">
        <v>7</v>
      </c>
      <c r="C1049">
        <v>35.53</v>
      </c>
      <c r="D1049">
        <v>2</v>
      </c>
      <c r="E1049" t="s">
        <v>10</v>
      </c>
      <c r="F1049" t="s">
        <v>13</v>
      </c>
      <c r="G1049" s="2">
        <v>19199.944</v>
      </c>
      <c r="H1049" t="str" cm="1">
        <f t="array" ref="H1049">_xlfn.IFS(A1049&lt;=30, "Youth", A1049&lt;=50, "Adult", A1049&gt;50, "Older")</f>
        <v>Older</v>
      </c>
      <c r="I1049" t="str" cm="1">
        <f t="array" ref="I1049">_xlfn.IFS(A1049&lt;=25,"18-25",A1049&lt;=35,"26-35",A1049&lt;=45,"36-45",A1049&lt;=60,"46-60",A1049&gt;60,"60+")</f>
        <v>46-60</v>
      </c>
      <c r="J1049" t="str" cm="1">
        <f t="array" ref="J1049">_xlfn.IFS(C1049&lt;18.5,"Underweight",C1049&lt;25,"Normal",C1049&lt;30,"Overweight",C1049&gt;=30,"Obese")</f>
        <v>Obese</v>
      </c>
      <c r="K1049" t="str" cm="1">
        <f t="array" ref="K1049">_xlfn.IFS(G1049&lt;10000, "Low", G1049&lt;=25000, "Medium", G1049&gt;25000, "High")</f>
        <v>Medium</v>
      </c>
    </row>
    <row r="1050" spans="1:11" x14ac:dyDescent="0.3">
      <c r="A1050">
        <v>53</v>
      </c>
      <c r="B1050" s="1" t="s">
        <v>8</v>
      </c>
      <c r="C1050">
        <v>35.53</v>
      </c>
      <c r="D1050">
        <v>2</v>
      </c>
      <c r="E1050" t="s">
        <v>9</v>
      </c>
      <c r="F1050" t="s">
        <v>11</v>
      </c>
      <c r="G1050" s="2">
        <v>19214.705529999999</v>
      </c>
      <c r="H1050" t="str" cm="1">
        <f t="array" ref="H1050">_xlfn.IFS(A1050&lt;=30, "Youth", A1050&lt;=50, "Adult", A1050&gt;50, "Older")</f>
        <v>Older</v>
      </c>
      <c r="I1050" t="str" cm="1">
        <f t="array" ref="I1050">_xlfn.IFS(A1050&lt;=25,"18-25",A1050&lt;=35,"26-35",A1050&lt;=45,"36-45",A1050&lt;=60,"46-60",A1050&gt;60,"60+")</f>
        <v>46-60</v>
      </c>
      <c r="J1050" t="str" cm="1">
        <f t="array" ref="J1050">_xlfn.IFS(C1050&lt;18.5,"Underweight",C1050&lt;25,"Normal",C1050&lt;30,"Overweight",C1050&gt;=30,"Obese")</f>
        <v>Obese</v>
      </c>
      <c r="K1050" t="str" cm="1">
        <f t="array" ref="K1050">_xlfn.IFS(G1050&lt;10000, "Low", G1050&lt;=25000, "Medium", G1050&gt;25000, "High")</f>
        <v>Medium</v>
      </c>
    </row>
    <row r="1051" spans="1:11" x14ac:dyDescent="0.3">
      <c r="A1051">
        <v>53</v>
      </c>
      <c r="B1051" s="1" t="s">
        <v>7</v>
      </c>
      <c r="C1051">
        <v>35.6</v>
      </c>
      <c r="D1051">
        <v>2</v>
      </c>
      <c r="E1051" t="s">
        <v>10</v>
      </c>
      <c r="F1051" t="s">
        <v>13</v>
      </c>
      <c r="G1051" s="2">
        <v>19350.368900000001</v>
      </c>
      <c r="H1051" t="str" cm="1">
        <f t="array" ref="H1051">_xlfn.IFS(A1051&lt;=30, "Youth", A1051&lt;=50, "Adult", A1051&gt;50, "Older")</f>
        <v>Older</v>
      </c>
      <c r="I1051" t="str" cm="1">
        <f t="array" ref="I1051">_xlfn.IFS(A1051&lt;=25,"18-25",A1051&lt;=35,"26-35",A1051&lt;=45,"36-45",A1051&lt;=60,"46-60",A1051&gt;60,"60+")</f>
        <v>46-60</v>
      </c>
      <c r="J1051" t="str" cm="1">
        <f t="array" ref="J1051">_xlfn.IFS(C1051&lt;18.5,"Underweight",C1051&lt;25,"Normal",C1051&lt;30,"Overweight",C1051&gt;=30,"Obese")</f>
        <v>Obese</v>
      </c>
      <c r="K1051" t="str" cm="1">
        <f t="array" ref="K1051">_xlfn.IFS(G1051&lt;10000, "Low", G1051&lt;=25000, "Medium", G1051&gt;25000, "High")</f>
        <v>Medium</v>
      </c>
    </row>
    <row r="1052" spans="1:11" x14ac:dyDescent="0.3">
      <c r="A1052">
        <v>53</v>
      </c>
      <c r="B1052" s="1" t="s">
        <v>8</v>
      </c>
      <c r="C1052">
        <v>35.625</v>
      </c>
      <c r="D1052">
        <v>2</v>
      </c>
      <c r="E1052" t="s">
        <v>10</v>
      </c>
      <c r="F1052" t="s">
        <v>14</v>
      </c>
      <c r="G1052" s="2">
        <v>19361.998800000001</v>
      </c>
      <c r="H1052" t="str" cm="1">
        <f t="array" ref="H1052">_xlfn.IFS(A1052&lt;=30, "Youth", A1052&lt;=50, "Adult", A1052&gt;50, "Older")</f>
        <v>Older</v>
      </c>
      <c r="I1052" t="str" cm="1">
        <f t="array" ref="I1052">_xlfn.IFS(A1052&lt;=25,"18-25",A1052&lt;=35,"26-35",A1052&lt;=45,"36-45",A1052&lt;=60,"46-60",A1052&gt;60,"60+")</f>
        <v>46-60</v>
      </c>
      <c r="J1052" t="str" cm="1">
        <f t="array" ref="J1052">_xlfn.IFS(C1052&lt;18.5,"Underweight",C1052&lt;25,"Normal",C1052&lt;30,"Overweight",C1052&gt;=30,"Obese")</f>
        <v>Obese</v>
      </c>
      <c r="K1052" t="str" cm="1">
        <f t="array" ref="K1052">_xlfn.IFS(G1052&lt;10000, "Low", G1052&lt;=25000, "Medium", G1052&gt;25000, "High")</f>
        <v>Medium</v>
      </c>
    </row>
    <row r="1053" spans="1:11" x14ac:dyDescent="0.3">
      <c r="A1053">
        <v>53</v>
      </c>
      <c r="B1053" s="1" t="s">
        <v>8</v>
      </c>
      <c r="C1053">
        <v>35.625</v>
      </c>
      <c r="D1053">
        <v>2</v>
      </c>
      <c r="E1053" t="s">
        <v>10</v>
      </c>
      <c r="F1053" t="s">
        <v>14</v>
      </c>
      <c r="G1053" s="2">
        <v>19442.353500000001</v>
      </c>
      <c r="H1053" t="str" cm="1">
        <f t="array" ref="H1053">_xlfn.IFS(A1053&lt;=30, "Youth", A1053&lt;=50, "Adult", A1053&gt;50, "Older")</f>
        <v>Older</v>
      </c>
      <c r="I1053" t="str" cm="1">
        <f t="array" ref="I1053">_xlfn.IFS(A1053&lt;=25,"18-25",A1053&lt;=35,"26-35",A1053&lt;=45,"36-45",A1053&lt;=60,"46-60",A1053&gt;60,"60+")</f>
        <v>46-60</v>
      </c>
      <c r="J1053" t="str" cm="1">
        <f t="array" ref="J1053">_xlfn.IFS(C1053&lt;18.5,"Underweight",C1053&lt;25,"Normal",C1053&lt;30,"Overweight",C1053&gt;=30,"Obese")</f>
        <v>Obese</v>
      </c>
      <c r="K1053" t="str" cm="1">
        <f t="array" ref="K1053">_xlfn.IFS(G1053&lt;10000, "Low", G1053&lt;=25000, "Medium", G1053&gt;25000, "High")</f>
        <v>Medium</v>
      </c>
    </row>
    <row r="1054" spans="1:11" x14ac:dyDescent="0.3">
      <c r="A1054">
        <v>53</v>
      </c>
      <c r="B1054" s="1" t="s">
        <v>8</v>
      </c>
      <c r="C1054">
        <v>35.625</v>
      </c>
      <c r="D1054">
        <v>2</v>
      </c>
      <c r="E1054" t="s">
        <v>9</v>
      </c>
      <c r="F1054" t="s">
        <v>11</v>
      </c>
      <c r="G1054" s="2">
        <v>19444.265800000001</v>
      </c>
      <c r="H1054" t="str" cm="1">
        <f t="array" ref="H1054">_xlfn.IFS(A1054&lt;=30, "Youth", A1054&lt;=50, "Adult", A1054&gt;50, "Older")</f>
        <v>Older</v>
      </c>
      <c r="I1054" t="str" cm="1">
        <f t="array" ref="I1054">_xlfn.IFS(A1054&lt;=25,"18-25",A1054&lt;=35,"26-35",A1054&lt;=45,"36-45",A1054&lt;=60,"46-60",A1054&gt;60,"60+")</f>
        <v>46-60</v>
      </c>
      <c r="J1054" t="str" cm="1">
        <f t="array" ref="J1054">_xlfn.IFS(C1054&lt;18.5,"Underweight",C1054&lt;25,"Normal",C1054&lt;30,"Overweight",C1054&gt;=30,"Obese")</f>
        <v>Obese</v>
      </c>
      <c r="K1054" t="str" cm="1">
        <f t="array" ref="K1054">_xlfn.IFS(G1054&lt;10000, "Low", G1054&lt;=25000, "Medium", G1054&gt;25000, "High")</f>
        <v>Medium</v>
      </c>
    </row>
    <row r="1055" spans="1:11" x14ac:dyDescent="0.3">
      <c r="A1055">
        <v>53</v>
      </c>
      <c r="B1055" s="1" t="s">
        <v>7</v>
      </c>
      <c r="C1055">
        <v>35.625</v>
      </c>
      <c r="D1055">
        <v>2</v>
      </c>
      <c r="E1055" t="s">
        <v>10</v>
      </c>
      <c r="F1055" t="s">
        <v>13</v>
      </c>
      <c r="G1055" s="2">
        <v>19496.71917</v>
      </c>
      <c r="H1055" t="str" cm="1">
        <f t="array" ref="H1055">_xlfn.IFS(A1055&lt;=30, "Youth", A1055&lt;=50, "Adult", A1055&gt;50, "Older")</f>
        <v>Older</v>
      </c>
      <c r="I1055" t="str" cm="1">
        <f t="array" ref="I1055">_xlfn.IFS(A1055&lt;=25,"18-25",A1055&lt;=35,"26-35",A1055&lt;=45,"36-45",A1055&lt;=60,"46-60",A1055&gt;60,"60+")</f>
        <v>46-60</v>
      </c>
      <c r="J1055" t="str" cm="1">
        <f t="array" ref="J1055">_xlfn.IFS(C1055&lt;18.5,"Underweight",C1055&lt;25,"Normal",C1055&lt;30,"Overweight",C1055&gt;=30,"Obese")</f>
        <v>Obese</v>
      </c>
      <c r="K1055" t="str" cm="1">
        <f t="array" ref="K1055">_xlfn.IFS(G1055&lt;10000, "Low", G1055&lt;=25000, "Medium", G1055&gt;25000, "High")</f>
        <v>Medium</v>
      </c>
    </row>
    <row r="1056" spans="1:11" x14ac:dyDescent="0.3">
      <c r="A1056">
        <v>53</v>
      </c>
      <c r="B1056" s="1" t="s">
        <v>8</v>
      </c>
      <c r="C1056">
        <v>35.64</v>
      </c>
      <c r="D1056">
        <v>2</v>
      </c>
      <c r="E1056" t="s">
        <v>10</v>
      </c>
      <c r="F1056" t="s">
        <v>13</v>
      </c>
      <c r="G1056" s="2">
        <v>19515.5416</v>
      </c>
      <c r="H1056" t="str" cm="1">
        <f t="array" ref="H1056">_xlfn.IFS(A1056&lt;=30, "Youth", A1056&lt;=50, "Adult", A1056&gt;50, "Older")</f>
        <v>Older</v>
      </c>
      <c r="I1056" t="str" cm="1">
        <f t="array" ref="I1056">_xlfn.IFS(A1056&lt;=25,"18-25",A1056&lt;=35,"26-35",A1056&lt;=45,"36-45",A1056&lt;=60,"46-60",A1056&gt;60,"60+")</f>
        <v>46-60</v>
      </c>
      <c r="J1056" t="str" cm="1">
        <f t="array" ref="J1056">_xlfn.IFS(C1056&lt;18.5,"Underweight",C1056&lt;25,"Normal",C1056&lt;30,"Overweight",C1056&gt;=30,"Obese")</f>
        <v>Obese</v>
      </c>
      <c r="K1056" t="str" cm="1">
        <f t="array" ref="K1056">_xlfn.IFS(G1056&lt;10000, "Low", G1056&lt;=25000, "Medium", G1056&gt;25000, "High")</f>
        <v>Medium</v>
      </c>
    </row>
    <row r="1057" spans="1:11" x14ac:dyDescent="0.3">
      <c r="A1057">
        <v>53</v>
      </c>
      <c r="B1057" s="1" t="s">
        <v>7</v>
      </c>
      <c r="C1057">
        <v>35.700000000000003</v>
      </c>
      <c r="D1057">
        <v>2</v>
      </c>
      <c r="E1057" t="s">
        <v>10</v>
      </c>
      <c r="F1057" t="s">
        <v>11</v>
      </c>
      <c r="G1057" s="2">
        <v>19521.968199999999</v>
      </c>
      <c r="H1057" t="str" cm="1">
        <f t="array" ref="H1057">_xlfn.IFS(A1057&lt;=30, "Youth", A1057&lt;=50, "Adult", A1057&gt;50, "Older")</f>
        <v>Older</v>
      </c>
      <c r="I1057" t="str" cm="1">
        <f t="array" ref="I1057">_xlfn.IFS(A1057&lt;=25,"18-25",A1057&lt;=35,"26-35",A1057&lt;=45,"36-45",A1057&lt;=60,"46-60",A1057&gt;60,"60+")</f>
        <v>46-60</v>
      </c>
      <c r="J1057" t="str" cm="1">
        <f t="array" ref="J1057">_xlfn.IFS(C1057&lt;18.5,"Underweight",C1057&lt;25,"Normal",C1057&lt;30,"Overweight",C1057&gt;=30,"Obese")</f>
        <v>Obese</v>
      </c>
      <c r="K1057" t="str" cm="1">
        <f t="array" ref="K1057">_xlfn.IFS(G1057&lt;10000, "Low", G1057&lt;=25000, "Medium", G1057&gt;25000, "High")</f>
        <v>Medium</v>
      </c>
    </row>
    <row r="1058" spans="1:11" x14ac:dyDescent="0.3">
      <c r="A1058">
        <v>53</v>
      </c>
      <c r="B1058" s="1" t="s">
        <v>7</v>
      </c>
      <c r="C1058">
        <v>35.72</v>
      </c>
      <c r="D1058">
        <v>2</v>
      </c>
      <c r="E1058" t="s">
        <v>10</v>
      </c>
      <c r="F1058" t="s">
        <v>12</v>
      </c>
      <c r="G1058" s="2">
        <v>19539.242999999999</v>
      </c>
      <c r="H1058" t="str" cm="1">
        <f t="array" ref="H1058">_xlfn.IFS(A1058&lt;=30, "Youth", A1058&lt;=50, "Adult", A1058&gt;50, "Older")</f>
        <v>Older</v>
      </c>
      <c r="I1058" t="str" cm="1">
        <f t="array" ref="I1058">_xlfn.IFS(A1058&lt;=25,"18-25",A1058&lt;=35,"26-35",A1058&lt;=45,"36-45",A1058&lt;=60,"46-60",A1058&gt;60,"60+")</f>
        <v>46-60</v>
      </c>
      <c r="J1058" t="str" cm="1">
        <f t="array" ref="J1058">_xlfn.IFS(C1058&lt;18.5,"Underweight",C1058&lt;25,"Normal",C1058&lt;30,"Overweight",C1058&gt;=30,"Obese")</f>
        <v>Obese</v>
      </c>
      <c r="K1058" t="str" cm="1">
        <f t="array" ref="K1058">_xlfn.IFS(G1058&lt;10000, "Low", G1058&lt;=25000, "Medium", G1058&gt;25000, "High")</f>
        <v>Medium</v>
      </c>
    </row>
    <row r="1059" spans="1:11" x14ac:dyDescent="0.3">
      <c r="A1059">
        <v>53</v>
      </c>
      <c r="B1059" s="1" t="s">
        <v>7</v>
      </c>
      <c r="C1059">
        <v>35.72</v>
      </c>
      <c r="D1059">
        <v>2</v>
      </c>
      <c r="E1059" t="s">
        <v>10</v>
      </c>
      <c r="F1059" t="s">
        <v>12</v>
      </c>
      <c r="G1059" s="2">
        <v>19594.809649999999</v>
      </c>
      <c r="H1059" t="str" cm="1">
        <f t="array" ref="H1059">_xlfn.IFS(A1059&lt;=30, "Youth", A1059&lt;=50, "Adult", A1059&gt;50, "Older")</f>
        <v>Older</v>
      </c>
      <c r="I1059" t="str" cm="1">
        <f t="array" ref="I1059">_xlfn.IFS(A1059&lt;=25,"18-25",A1059&lt;=35,"26-35",A1059&lt;=45,"36-45",A1059&lt;=60,"46-60",A1059&gt;60,"60+")</f>
        <v>46-60</v>
      </c>
      <c r="J1059" t="str" cm="1">
        <f t="array" ref="J1059">_xlfn.IFS(C1059&lt;18.5,"Underweight",C1059&lt;25,"Normal",C1059&lt;30,"Overweight",C1059&gt;=30,"Obese")</f>
        <v>Obese</v>
      </c>
      <c r="K1059" t="str" cm="1">
        <f t="array" ref="K1059">_xlfn.IFS(G1059&lt;10000, "Low", G1059&lt;=25000, "Medium", G1059&gt;25000, "High")</f>
        <v>Medium</v>
      </c>
    </row>
    <row r="1060" spans="1:11" x14ac:dyDescent="0.3">
      <c r="A1060">
        <v>53</v>
      </c>
      <c r="B1060" s="1" t="s">
        <v>8</v>
      </c>
      <c r="C1060">
        <v>35.75</v>
      </c>
      <c r="D1060">
        <v>2</v>
      </c>
      <c r="E1060" t="s">
        <v>10</v>
      </c>
      <c r="F1060" t="s">
        <v>13</v>
      </c>
      <c r="G1060" s="2">
        <v>19673.335729999999</v>
      </c>
      <c r="H1060" t="str" cm="1">
        <f t="array" ref="H1060">_xlfn.IFS(A1060&lt;=30, "Youth", A1060&lt;=50, "Adult", A1060&gt;50, "Older")</f>
        <v>Older</v>
      </c>
      <c r="I1060" t="str" cm="1">
        <f t="array" ref="I1060">_xlfn.IFS(A1060&lt;=25,"18-25",A1060&lt;=35,"26-35",A1060&lt;=45,"36-45",A1060&lt;=60,"46-60",A1060&gt;60,"60+")</f>
        <v>46-60</v>
      </c>
      <c r="J1060" t="str" cm="1">
        <f t="array" ref="J1060">_xlfn.IFS(C1060&lt;18.5,"Underweight",C1060&lt;25,"Normal",C1060&lt;30,"Overweight",C1060&gt;=30,"Obese")</f>
        <v>Obese</v>
      </c>
      <c r="K1060" t="str" cm="1">
        <f t="array" ref="K1060">_xlfn.IFS(G1060&lt;10000, "Low", G1060&lt;=25000, "Medium", G1060&gt;25000, "High")</f>
        <v>Medium</v>
      </c>
    </row>
    <row r="1061" spans="1:11" x14ac:dyDescent="0.3">
      <c r="A1061">
        <v>53</v>
      </c>
      <c r="B1061" s="1" t="s">
        <v>8</v>
      </c>
      <c r="C1061">
        <v>35.75</v>
      </c>
      <c r="D1061">
        <v>2</v>
      </c>
      <c r="E1061" t="s">
        <v>10</v>
      </c>
      <c r="F1061" t="s">
        <v>12</v>
      </c>
      <c r="G1061" s="2">
        <v>19719.6947</v>
      </c>
      <c r="H1061" t="str" cm="1">
        <f t="array" ref="H1061">_xlfn.IFS(A1061&lt;=30, "Youth", A1061&lt;=50, "Adult", A1061&gt;50, "Older")</f>
        <v>Older</v>
      </c>
      <c r="I1061" t="str" cm="1">
        <f t="array" ref="I1061">_xlfn.IFS(A1061&lt;=25,"18-25",A1061&lt;=35,"26-35",A1061&lt;=45,"36-45",A1061&lt;=60,"46-60",A1061&gt;60,"60+")</f>
        <v>46-60</v>
      </c>
      <c r="J1061" t="str" cm="1">
        <f t="array" ref="J1061">_xlfn.IFS(C1061&lt;18.5,"Underweight",C1061&lt;25,"Normal",C1061&lt;30,"Overweight",C1061&gt;=30,"Obese")</f>
        <v>Obese</v>
      </c>
      <c r="K1061" t="str" cm="1">
        <f t="array" ref="K1061">_xlfn.IFS(G1061&lt;10000, "Low", G1061&lt;=25000, "Medium", G1061&gt;25000, "High")</f>
        <v>Medium</v>
      </c>
    </row>
    <row r="1062" spans="1:11" x14ac:dyDescent="0.3">
      <c r="A1062">
        <v>53</v>
      </c>
      <c r="B1062" s="1" t="s">
        <v>8</v>
      </c>
      <c r="C1062">
        <v>35.75</v>
      </c>
      <c r="D1062">
        <v>2</v>
      </c>
      <c r="E1062" t="s">
        <v>10</v>
      </c>
      <c r="F1062" t="s">
        <v>12</v>
      </c>
      <c r="G1062" s="2">
        <v>19749.383379999999</v>
      </c>
      <c r="H1062" t="str" cm="1">
        <f t="array" ref="H1062">_xlfn.IFS(A1062&lt;=30, "Youth", A1062&lt;=50, "Adult", A1062&gt;50, "Older")</f>
        <v>Older</v>
      </c>
      <c r="I1062" t="str" cm="1">
        <f t="array" ref="I1062">_xlfn.IFS(A1062&lt;=25,"18-25",A1062&lt;=35,"26-35",A1062&lt;=45,"36-45",A1062&lt;=60,"46-60",A1062&gt;60,"60+")</f>
        <v>46-60</v>
      </c>
      <c r="J1062" t="str" cm="1">
        <f t="array" ref="J1062">_xlfn.IFS(C1062&lt;18.5,"Underweight",C1062&lt;25,"Normal",C1062&lt;30,"Overweight",C1062&gt;=30,"Obese")</f>
        <v>Obese</v>
      </c>
      <c r="K1062" t="str" cm="1">
        <f t="array" ref="K1062">_xlfn.IFS(G1062&lt;10000, "Low", G1062&lt;=25000, "Medium", G1062&gt;25000, "High")</f>
        <v>Medium</v>
      </c>
    </row>
    <row r="1063" spans="1:11" x14ac:dyDescent="0.3">
      <c r="A1063">
        <v>53</v>
      </c>
      <c r="B1063" s="1" t="s">
        <v>8</v>
      </c>
      <c r="C1063">
        <v>35.799999999999997</v>
      </c>
      <c r="D1063">
        <v>2</v>
      </c>
      <c r="E1063" t="s">
        <v>9</v>
      </c>
      <c r="F1063" t="s">
        <v>12</v>
      </c>
      <c r="G1063" s="2">
        <v>19798.054550000001</v>
      </c>
      <c r="H1063" t="str" cm="1">
        <f t="array" ref="H1063">_xlfn.IFS(A1063&lt;=30, "Youth", A1063&lt;=50, "Adult", A1063&gt;50, "Older")</f>
        <v>Older</v>
      </c>
      <c r="I1063" t="str" cm="1">
        <f t="array" ref="I1063">_xlfn.IFS(A1063&lt;=25,"18-25",A1063&lt;=35,"26-35",A1063&lt;=45,"36-45",A1063&lt;=60,"46-60",A1063&gt;60,"60+")</f>
        <v>46-60</v>
      </c>
      <c r="J1063" t="str" cm="1">
        <f t="array" ref="J1063">_xlfn.IFS(C1063&lt;18.5,"Underweight",C1063&lt;25,"Normal",C1063&lt;30,"Overweight",C1063&gt;=30,"Obese")</f>
        <v>Obese</v>
      </c>
      <c r="K1063" t="str" cm="1">
        <f t="array" ref="K1063">_xlfn.IFS(G1063&lt;10000, "Low", G1063&lt;=25000, "Medium", G1063&gt;25000, "High")</f>
        <v>Medium</v>
      </c>
    </row>
    <row r="1064" spans="1:11" x14ac:dyDescent="0.3">
      <c r="A1064">
        <v>53</v>
      </c>
      <c r="B1064" s="1" t="s">
        <v>8</v>
      </c>
      <c r="C1064">
        <v>35.799999999999997</v>
      </c>
      <c r="D1064">
        <v>2</v>
      </c>
      <c r="E1064" t="s">
        <v>10</v>
      </c>
      <c r="F1064" t="s">
        <v>13</v>
      </c>
      <c r="G1064" s="2">
        <v>19933.457999999999</v>
      </c>
      <c r="H1064" t="str" cm="1">
        <f t="array" ref="H1064">_xlfn.IFS(A1064&lt;=30, "Youth", A1064&lt;=50, "Adult", A1064&gt;50, "Older")</f>
        <v>Older</v>
      </c>
      <c r="I1064" t="str" cm="1">
        <f t="array" ref="I1064">_xlfn.IFS(A1064&lt;=25,"18-25",A1064&lt;=35,"26-35",A1064&lt;=45,"36-45",A1064&lt;=60,"46-60",A1064&gt;60,"60+")</f>
        <v>46-60</v>
      </c>
      <c r="J1064" t="str" cm="1">
        <f t="array" ref="J1064">_xlfn.IFS(C1064&lt;18.5,"Underweight",C1064&lt;25,"Normal",C1064&lt;30,"Overweight",C1064&gt;=30,"Obese")</f>
        <v>Obese</v>
      </c>
      <c r="K1064" t="str" cm="1">
        <f t="array" ref="K1064">_xlfn.IFS(G1064&lt;10000, "Low", G1064&lt;=25000, "Medium", G1064&gt;25000, "High")</f>
        <v>Medium</v>
      </c>
    </row>
    <row r="1065" spans="1:11" x14ac:dyDescent="0.3">
      <c r="A1065">
        <v>53</v>
      </c>
      <c r="B1065" s="1" t="s">
        <v>7</v>
      </c>
      <c r="C1065">
        <v>35.814999999999998</v>
      </c>
      <c r="D1065">
        <v>2</v>
      </c>
      <c r="E1065" t="s">
        <v>10</v>
      </c>
      <c r="F1065" t="s">
        <v>11</v>
      </c>
      <c r="G1065" s="2">
        <v>19964.746299999999</v>
      </c>
      <c r="H1065" t="str" cm="1">
        <f t="array" ref="H1065">_xlfn.IFS(A1065&lt;=30, "Youth", A1065&lt;=50, "Adult", A1065&gt;50, "Older")</f>
        <v>Older</v>
      </c>
      <c r="I1065" t="str" cm="1">
        <f t="array" ref="I1065">_xlfn.IFS(A1065&lt;=25,"18-25",A1065&lt;=35,"26-35",A1065&lt;=45,"36-45",A1065&lt;=60,"46-60",A1065&gt;60,"60+")</f>
        <v>46-60</v>
      </c>
      <c r="J1065" t="str" cm="1">
        <f t="array" ref="J1065">_xlfn.IFS(C1065&lt;18.5,"Underweight",C1065&lt;25,"Normal",C1065&lt;30,"Overweight",C1065&gt;=30,"Obese")</f>
        <v>Obese</v>
      </c>
      <c r="K1065" t="str" cm="1">
        <f t="array" ref="K1065">_xlfn.IFS(G1065&lt;10000, "Low", G1065&lt;=25000, "Medium", G1065&gt;25000, "High")</f>
        <v>Medium</v>
      </c>
    </row>
    <row r="1066" spans="1:11" x14ac:dyDescent="0.3">
      <c r="A1066">
        <v>53</v>
      </c>
      <c r="B1066" s="1" t="s">
        <v>7</v>
      </c>
      <c r="C1066">
        <v>35.814999999999998</v>
      </c>
      <c r="D1066">
        <v>2</v>
      </c>
      <c r="E1066" t="s">
        <v>10</v>
      </c>
      <c r="F1066" t="s">
        <v>11</v>
      </c>
      <c r="G1066" s="2">
        <v>20009.63365</v>
      </c>
      <c r="H1066" t="str" cm="1">
        <f t="array" ref="H1066">_xlfn.IFS(A1066&lt;=30, "Youth", A1066&lt;=50, "Adult", A1066&gt;50, "Older")</f>
        <v>Older</v>
      </c>
      <c r="I1066" t="str" cm="1">
        <f t="array" ref="I1066">_xlfn.IFS(A1066&lt;=25,"18-25",A1066&lt;=35,"26-35",A1066&lt;=45,"36-45",A1066&lt;=60,"46-60",A1066&gt;60,"60+")</f>
        <v>46-60</v>
      </c>
      <c r="J1066" t="str" cm="1">
        <f t="array" ref="J1066">_xlfn.IFS(C1066&lt;18.5,"Underweight",C1066&lt;25,"Normal",C1066&lt;30,"Overweight",C1066&gt;=30,"Obese")</f>
        <v>Obese</v>
      </c>
      <c r="K1066" t="str" cm="1">
        <f t="array" ref="K1066">_xlfn.IFS(G1066&lt;10000, "Low", G1066&lt;=25000, "Medium", G1066&gt;25000, "High")</f>
        <v>Medium</v>
      </c>
    </row>
    <row r="1067" spans="1:11" x14ac:dyDescent="0.3">
      <c r="A1067">
        <v>53</v>
      </c>
      <c r="B1067" s="1" t="s">
        <v>8</v>
      </c>
      <c r="C1067">
        <v>35.814999999999998</v>
      </c>
      <c r="D1067">
        <v>2</v>
      </c>
      <c r="E1067" t="s">
        <v>10</v>
      </c>
      <c r="F1067" t="s">
        <v>12</v>
      </c>
      <c r="G1067" s="2">
        <v>20149.322899999999</v>
      </c>
      <c r="H1067" t="str" cm="1">
        <f t="array" ref="H1067">_xlfn.IFS(A1067&lt;=30, "Youth", A1067&lt;=50, "Adult", A1067&gt;50, "Older")</f>
        <v>Older</v>
      </c>
      <c r="I1067" t="str" cm="1">
        <f t="array" ref="I1067">_xlfn.IFS(A1067&lt;=25,"18-25",A1067&lt;=35,"26-35",A1067&lt;=45,"36-45",A1067&lt;=60,"46-60",A1067&gt;60,"60+")</f>
        <v>46-60</v>
      </c>
      <c r="J1067" t="str" cm="1">
        <f t="array" ref="J1067">_xlfn.IFS(C1067&lt;18.5,"Underweight",C1067&lt;25,"Normal",C1067&lt;30,"Overweight",C1067&gt;=30,"Obese")</f>
        <v>Obese</v>
      </c>
      <c r="K1067" t="str" cm="1">
        <f t="array" ref="K1067">_xlfn.IFS(G1067&lt;10000, "Low", G1067&lt;=25000, "Medium", G1067&gt;25000, "High")</f>
        <v>Medium</v>
      </c>
    </row>
    <row r="1068" spans="1:11" x14ac:dyDescent="0.3">
      <c r="A1068">
        <v>53</v>
      </c>
      <c r="B1068" s="1" t="s">
        <v>8</v>
      </c>
      <c r="C1068">
        <v>35.814999999999998</v>
      </c>
      <c r="D1068">
        <v>2</v>
      </c>
      <c r="E1068" t="s">
        <v>10</v>
      </c>
      <c r="F1068" t="s">
        <v>14</v>
      </c>
      <c r="G1068" s="2">
        <v>20167.336029999999</v>
      </c>
      <c r="H1068" t="str" cm="1">
        <f t="array" ref="H1068">_xlfn.IFS(A1068&lt;=30, "Youth", A1068&lt;=50, "Adult", A1068&gt;50, "Older")</f>
        <v>Older</v>
      </c>
      <c r="I1068" t="str" cm="1">
        <f t="array" ref="I1068">_xlfn.IFS(A1068&lt;=25,"18-25",A1068&lt;=35,"26-35",A1068&lt;=45,"36-45",A1068&lt;=60,"46-60",A1068&gt;60,"60+")</f>
        <v>46-60</v>
      </c>
      <c r="J1068" t="str" cm="1">
        <f t="array" ref="J1068">_xlfn.IFS(C1068&lt;18.5,"Underweight",C1068&lt;25,"Normal",C1068&lt;30,"Overweight",C1068&gt;=30,"Obese")</f>
        <v>Obese</v>
      </c>
      <c r="K1068" t="str" cm="1">
        <f t="array" ref="K1068">_xlfn.IFS(G1068&lt;10000, "Low", G1068&lt;=25000, "Medium", G1068&gt;25000, "High")</f>
        <v>Medium</v>
      </c>
    </row>
    <row r="1069" spans="1:11" x14ac:dyDescent="0.3">
      <c r="A1069">
        <v>54</v>
      </c>
      <c r="B1069" s="1" t="s">
        <v>8</v>
      </c>
      <c r="C1069">
        <v>35.86</v>
      </c>
      <c r="D1069">
        <v>2</v>
      </c>
      <c r="E1069" t="s">
        <v>10</v>
      </c>
      <c r="F1069" t="s">
        <v>13</v>
      </c>
      <c r="G1069" s="2">
        <v>20177.671129999999</v>
      </c>
      <c r="H1069" t="str" cm="1">
        <f t="array" ref="H1069">_xlfn.IFS(A1069&lt;=30, "Youth", A1069&lt;=50, "Adult", A1069&gt;50, "Older")</f>
        <v>Older</v>
      </c>
      <c r="I1069" t="str" cm="1">
        <f t="array" ref="I1069">_xlfn.IFS(A1069&lt;=25,"18-25",A1069&lt;=35,"26-35",A1069&lt;=45,"36-45",A1069&lt;=60,"46-60",A1069&gt;60,"60+")</f>
        <v>46-60</v>
      </c>
      <c r="J1069" t="str" cm="1">
        <f t="array" ref="J1069">_xlfn.IFS(C1069&lt;18.5,"Underweight",C1069&lt;25,"Normal",C1069&lt;30,"Overweight",C1069&gt;=30,"Obese")</f>
        <v>Obese</v>
      </c>
      <c r="K1069" t="str" cm="1">
        <f t="array" ref="K1069">_xlfn.IFS(G1069&lt;10000, "Low", G1069&lt;=25000, "Medium", G1069&gt;25000, "High")</f>
        <v>Medium</v>
      </c>
    </row>
    <row r="1070" spans="1:11" x14ac:dyDescent="0.3">
      <c r="A1070">
        <v>54</v>
      </c>
      <c r="B1070" s="1" t="s">
        <v>7</v>
      </c>
      <c r="C1070">
        <v>35.86</v>
      </c>
      <c r="D1070">
        <v>2</v>
      </c>
      <c r="E1070" t="s">
        <v>10</v>
      </c>
      <c r="F1070" t="s">
        <v>12</v>
      </c>
      <c r="G1070" s="2">
        <v>20234.854749999999</v>
      </c>
      <c r="H1070" t="str" cm="1">
        <f t="array" ref="H1070">_xlfn.IFS(A1070&lt;=30, "Youth", A1070&lt;=50, "Adult", A1070&gt;50, "Older")</f>
        <v>Older</v>
      </c>
      <c r="I1070" t="str" cm="1">
        <f t="array" ref="I1070">_xlfn.IFS(A1070&lt;=25,"18-25",A1070&lt;=35,"26-35",A1070&lt;=45,"36-45",A1070&lt;=60,"46-60",A1070&gt;60,"60+")</f>
        <v>46-60</v>
      </c>
      <c r="J1070" t="str" cm="1">
        <f t="array" ref="J1070">_xlfn.IFS(C1070&lt;18.5,"Underweight",C1070&lt;25,"Normal",C1070&lt;30,"Overweight",C1070&gt;=30,"Obese")</f>
        <v>Obese</v>
      </c>
      <c r="K1070" t="str" cm="1">
        <f t="array" ref="K1070">_xlfn.IFS(G1070&lt;10000, "Low", G1070&lt;=25000, "Medium", G1070&gt;25000, "High")</f>
        <v>Medium</v>
      </c>
    </row>
    <row r="1071" spans="1:11" x14ac:dyDescent="0.3">
      <c r="A1071">
        <v>54</v>
      </c>
      <c r="B1071" s="1" t="s">
        <v>8</v>
      </c>
      <c r="C1071">
        <v>35.86</v>
      </c>
      <c r="D1071">
        <v>2</v>
      </c>
      <c r="E1071" t="s">
        <v>9</v>
      </c>
      <c r="F1071" t="s">
        <v>12</v>
      </c>
      <c r="G1071" s="2">
        <v>20277.807509999999</v>
      </c>
      <c r="H1071" t="str" cm="1">
        <f t="array" ref="H1071">_xlfn.IFS(A1071&lt;=30, "Youth", A1071&lt;=50, "Adult", A1071&gt;50, "Older")</f>
        <v>Older</v>
      </c>
      <c r="I1071" t="str" cm="1">
        <f t="array" ref="I1071">_xlfn.IFS(A1071&lt;=25,"18-25",A1071&lt;=35,"26-35",A1071&lt;=45,"36-45",A1071&lt;=60,"46-60",A1071&gt;60,"60+")</f>
        <v>46-60</v>
      </c>
      <c r="J1071" t="str" cm="1">
        <f t="array" ref="J1071">_xlfn.IFS(C1071&lt;18.5,"Underweight",C1071&lt;25,"Normal",C1071&lt;30,"Overweight",C1071&gt;=30,"Obese")</f>
        <v>Obese</v>
      </c>
      <c r="K1071" t="str" cm="1">
        <f t="array" ref="K1071">_xlfn.IFS(G1071&lt;10000, "Low", G1071&lt;=25000, "Medium", G1071&gt;25000, "High")</f>
        <v>Medium</v>
      </c>
    </row>
    <row r="1072" spans="1:11" x14ac:dyDescent="0.3">
      <c r="A1072">
        <v>54</v>
      </c>
      <c r="B1072" s="1" t="s">
        <v>8</v>
      </c>
      <c r="C1072">
        <v>35.86</v>
      </c>
      <c r="D1072">
        <v>2</v>
      </c>
      <c r="E1072" t="s">
        <v>10</v>
      </c>
      <c r="F1072" t="s">
        <v>14</v>
      </c>
      <c r="G1072" s="2">
        <v>20296.863450000001</v>
      </c>
      <c r="H1072" t="str" cm="1">
        <f t="array" ref="H1072">_xlfn.IFS(A1072&lt;=30, "Youth", A1072&lt;=50, "Adult", A1072&gt;50, "Older")</f>
        <v>Older</v>
      </c>
      <c r="I1072" t="str" cm="1">
        <f t="array" ref="I1072">_xlfn.IFS(A1072&lt;=25,"18-25",A1072&lt;=35,"26-35",A1072&lt;=45,"36-45",A1072&lt;=60,"46-60",A1072&gt;60,"60+")</f>
        <v>46-60</v>
      </c>
      <c r="J1072" t="str" cm="1">
        <f t="array" ref="J1072">_xlfn.IFS(C1072&lt;18.5,"Underweight",C1072&lt;25,"Normal",C1072&lt;30,"Overweight",C1072&gt;=30,"Obese")</f>
        <v>Obese</v>
      </c>
      <c r="K1072" t="str" cm="1">
        <f t="array" ref="K1072">_xlfn.IFS(G1072&lt;10000, "Low", G1072&lt;=25000, "Medium", G1072&gt;25000, "High")</f>
        <v>Medium</v>
      </c>
    </row>
    <row r="1073" spans="1:11" x14ac:dyDescent="0.3">
      <c r="A1073">
        <v>54</v>
      </c>
      <c r="B1073" s="1" t="s">
        <v>8</v>
      </c>
      <c r="C1073">
        <v>35.9</v>
      </c>
      <c r="D1073">
        <v>2</v>
      </c>
      <c r="E1073" t="s">
        <v>10</v>
      </c>
      <c r="F1073" t="s">
        <v>13</v>
      </c>
      <c r="G1073" s="2">
        <v>20420.604650000001</v>
      </c>
      <c r="H1073" t="str" cm="1">
        <f t="array" ref="H1073">_xlfn.IFS(A1073&lt;=30, "Youth", A1073&lt;=50, "Adult", A1073&gt;50, "Older")</f>
        <v>Older</v>
      </c>
      <c r="I1073" t="str" cm="1">
        <f t="array" ref="I1073">_xlfn.IFS(A1073&lt;=25,"18-25",A1073&lt;=35,"26-35",A1073&lt;=45,"36-45",A1073&lt;=60,"46-60",A1073&gt;60,"60+")</f>
        <v>46-60</v>
      </c>
      <c r="J1073" t="str" cm="1">
        <f t="array" ref="J1073">_xlfn.IFS(C1073&lt;18.5,"Underweight",C1073&lt;25,"Normal",C1073&lt;30,"Overweight",C1073&gt;=30,"Obese")</f>
        <v>Obese</v>
      </c>
      <c r="K1073" t="str" cm="1">
        <f t="array" ref="K1073">_xlfn.IFS(G1073&lt;10000, "Low", G1073&lt;=25000, "Medium", G1073&gt;25000, "High")</f>
        <v>Medium</v>
      </c>
    </row>
    <row r="1074" spans="1:11" x14ac:dyDescent="0.3">
      <c r="A1074">
        <v>54</v>
      </c>
      <c r="B1074" s="1" t="s">
        <v>7</v>
      </c>
      <c r="C1074">
        <v>35.909999999999997</v>
      </c>
      <c r="D1074">
        <v>2</v>
      </c>
      <c r="E1074" t="s">
        <v>10</v>
      </c>
      <c r="F1074" t="s">
        <v>14</v>
      </c>
      <c r="G1074" s="2">
        <v>20462.997660000001</v>
      </c>
      <c r="H1074" t="str" cm="1">
        <f t="array" ref="H1074">_xlfn.IFS(A1074&lt;=30, "Youth", A1074&lt;=50, "Adult", A1074&gt;50, "Older")</f>
        <v>Older</v>
      </c>
      <c r="I1074" t="str" cm="1">
        <f t="array" ref="I1074">_xlfn.IFS(A1074&lt;=25,"18-25",A1074&lt;=35,"26-35",A1074&lt;=45,"36-45",A1074&lt;=60,"46-60",A1074&gt;60,"60+")</f>
        <v>46-60</v>
      </c>
      <c r="J1074" t="str" cm="1">
        <f t="array" ref="J1074">_xlfn.IFS(C1074&lt;18.5,"Underweight",C1074&lt;25,"Normal",C1074&lt;30,"Overweight",C1074&gt;=30,"Obese")</f>
        <v>Obese</v>
      </c>
      <c r="K1074" t="str" cm="1">
        <f t="array" ref="K1074">_xlfn.IFS(G1074&lt;10000, "Low", G1074&lt;=25000, "Medium", G1074&gt;25000, "High")</f>
        <v>Medium</v>
      </c>
    </row>
    <row r="1075" spans="1:11" x14ac:dyDescent="0.3">
      <c r="A1075">
        <v>54</v>
      </c>
      <c r="B1075" s="1" t="s">
        <v>7</v>
      </c>
      <c r="C1075">
        <v>35.909999999999997</v>
      </c>
      <c r="D1075">
        <v>2</v>
      </c>
      <c r="E1075" t="s">
        <v>10</v>
      </c>
      <c r="F1075" t="s">
        <v>14</v>
      </c>
      <c r="G1075" s="2">
        <v>20630.283510000001</v>
      </c>
      <c r="H1075" t="str" cm="1">
        <f t="array" ref="H1075">_xlfn.IFS(A1075&lt;=30, "Youth", A1075&lt;=50, "Adult", A1075&gt;50, "Older")</f>
        <v>Older</v>
      </c>
      <c r="I1075" t="str" cm="1">
        <f t="array" ref="I1075">_xlfn.IFS(A1075&lt;=25,"18-25",A1075&lt;=35,"26-35",A1075&lt;=45,"36-45",A1075&lt;=60,"46-60",A1075&gt;60,"60+")</f>
        <v>46-60</v>
      </c>
      <c r="J1075" t="str" cm="1">
        <f t="array" ref="J1075">_xlfn.IFS(C1075&lt;18.5,"Underweight",C1075&lt;25,"Normal",C1075&lt;30,"Overweight",C1075&gt;=30,"Obese")</f>
        <v>Obese</v>
      </c>
      <c r="K1075" t="str" cm="1">
        <f t="array" ref="K1075">_xlfn.IFS(G1075&lt;10000, "Low", G1075&lt;=25000, "Medium", G1075&gt;25000, "High")</f>
        <v>Medium</v>
      </c>
    </row>
    <row r="1076" spans="1:11" x14ac:dyDescent="0.3">
      <c r="A1076">
        <v>54</v>
      </c>
      <c r="B1076" s="1" t="s">
        <v>7</v>
      </c>
      <c r="C1076">
        <v>35.97</v>
      </c>
      <c r="D1076">
        <v>2</v>
      </c>
      <c r="E1076" t="s">
        <v>10</v>
      </c>
      <c r="F1076" t="s">
        <v>12</v>
      </c>
      <c r="G1076" s="2">
        <v>20709.020339999999</v>
      </c>
      <c r="H1076" t="str" cm="1">
        <f t="array" ref="H1076">_xlfn.IFS(A1076&lt;=30, "Youth", A1076&lt;=50, "Adult", A1076&gt;50, "Older")</f>
        <v>Older</v>
      </c>
      <c r="I1076" t="str" cm="1">
        <f t="array" ref="I1076">_xlfn.IFS(A1076&lt;=25,"18-25",A1076&lt;=35,"26-35",A1076&lt;=45,"36-45",A1076&lt;=60,"46-60",A1076&gt;60,"60+")</f>
        <v>46-60</v>
      </c>
      <c r="J1076" t="str" cm="1">
        <f t="array" ref="J1076">_xlfn.IFS(C1076&lt;18.5,"Underweight",C1076&lt;25,"Normal",C1076&lt;30,"Overweight",C1076&gt;=30,"Obese")</f>
        <v>Obese</v>
      </c>
      <c r="K1076" t="str" cm="1">
        <f t="array" ref="K1076">_xlfn.IFS(G1076&lt;10000, "Low", G1076&lt;=25000, "Medium", G1076&gt;25000, "High")</f>
        <v>Medium</v>
      </c>
    </row>
    <row r="1077" spans="1:11" x14ac:dyDescent="0.3">
      <c r="A1077">
        <v>54</v>
      </c>
      <c r="B1077" s="1" t="s">
        <v>7</v>
      </c>
      <c r="C1077">
        <v>35.97</v>
      </c>
      <c r="D1077">
        <v>2</v>
      </c>
      <c r="E1077" t="s">
        <v>10</v>
      </c>
      <c r="F1077" t="s">
        <v>11</v>
      </c>
      <c r="G1077" s="2">
        <v>20745.989099999999</v>
      </c>
      <c r="H1077" t="str" cm="1">
        <f t="array" ref="H1077">_xlfn.IFS(A1077&lt;=30, "Youth", A1077&lt;=50, "Adult", A1077&gt;50, "Older")</f>
        <v>Older</v>
      </c>
      <c r="I1077" t="str" cm="1">
        <f t="array" ref="I1077">_xlfn.IFS(A1077&lt;=25,"18-25",A1077&lt;=35,"26-35",A1077&lt;=45,"36-45",A1077&lt;=60,"46-60",A1077&gt;60,"60+")</f>
        <v>46-60</v>
      </c>
      <c r="J1077" t="str" cm="1">
        <f t="array" ref="J1077">_xlfn.IFS(C1077&lt;18.5,"Underweight",C1077&lt;25,"Normal",C1077&lt;30,"Overweight",C1077&gt;=30,"Obese")</f>
        <v>Obese</v>
      </c>
      <c r="K1077" t="str" cm="1">
        <f t="array" ref="K1077">_xlfn.IFS(G1077&lt;10000, "Low", G1077&lt;=25000, "Medium", G1077&gt;25000, "High")</f>
        <v>Medium</v>
      </c>
    </row>
    <row r="1078" spans="1:11" x14ac:dyDescent="0.3">
      <c r="A1078">
        <v>54</v>
      </c>
      <c r="B1078" s="1" t="s">
        <v>8</v>
      </c>
      <c r="C1078">
        <v>35.97</v>
      </c>
      <c r="D1078">
        <v>2</v>
      </c>
      <c r="E1078" t="s">
        <v>10</v>
      </c>
      <c r="F1078" t="s">
        <v>14</v>
      </c>
      <c r="G1078" s="2">
        <v>20773.62775</v>
      </c>
      <c r="H1078" t="str" cm="1">
        <f t="array" ref="H1078">_xlfn.IFS(A1078&lt;=30, "Youth", A1078&lt;=50, "Adult", A1078&gt;50, "Older")</f>
        <v>Older</v>
      </c>
      <c r="I1078" t="str" cm="1">
        <f t="array" ref="I1078">_xlfn.IFS(A1078&lt;=25,"18-25",A1078&lt;=35,"26-35",A1078&lt;=45,"36-45",A1078&lt;=60,"46-60",A1078&gt;60,"60+")</f>
        <v>46-60</v>
      </c>
      <c r="J1078" t="str" cm="1">
        <f t="array" ref="J1078">_xlfn.IFS(C1078&lt;18.5,"Underweight",C1078&lt;25,"Normal",C1078&lt;30,"Overweight",C1078&gt;=30,"Obese")</f>
        <v>Obese</v>
      </c>
      <c r="K1078" t="str" cm="1">
        <f t="array" ref="K1078">_xlfn.IFS(G1078&lt;10000, "Low", G1078&lt;=25000, "Medium", G1078&gt;25000, "High")</f>
        <v>Medium</v>
      </c>
    </row>
    <row r="1079" spans="1:11" x14ac:dyDescent="0.3">
      <c r="A1079">
        <v>54</v>
      </c>
      <c r="B1079" s="1" t="s">
        <v>8</v>
      </c>
      <c r="C1079">
        <v>35.97</v>
      </c>
      <c r="D1079">
        <v>2</v>
      </c>
      <c r="E1079" t="s">
        <v>9</v>
      </c>
      <c r="F1079" t="s">
        <v>12</v>
      </c>
      <c r="G1079" s="2">
        <v>20781.48892</v>
      </c>
      <c r="H1079" t="str" cm="1">
        <f t="array" ref="H1079">_xlfn.IFS(A1079&lt;=30, "Youth", A1079&lt;=50, "Adult", A1079&gt;50, "Older")</f>
        <v>Older</v>
      </c>
      <c r="I1079" t="str" cm="1">
        <f t="array" ref="I1079">_xlfn.IFS(A1079&lt;=25,"18-25",A1079&lt;=35,"26-35",A1079&lt;=45,"36-45",A1079&lt;=60,"46-60",A1079&gt;60,"60+")</f>
        <v>46-60</v>
      </c>
      <c r="J1079" t="str" cm="1">
        <f t="array" ref="J1079">_xlfn.IFS(C1079&lt;18.5,"Underweight",C1079&lt;25,"Normal",C1079&lt;30,"Overweight",C1079&gt;=30,"Obese")</f>
        <v>Obese</v>
      </c>
      <c r="K1079" t="str" cm="1">
        <f t="array" ref="K1079">_xlfn.IFS(G1079&lt;10000, "Low", G1079&lt;=25000, "Medium", G1079&gt;25000, "High")</f>
        <v>Medium</v>
      </c>
    </row>
    <row r="1080" spans="1:11" x14ac:dyDescent="0.3">
      <c r="A1080">
        <v>54</v>
      </c>
      <c r="B1080" s="1" t="s">
        <v>8</v>
      </c>
      <c r="C1080">
        <v>36</v>
      </c>
      <c r="D1080">
        <v>2</v>
      </c>
      <c r="E1080" t="s">
        <v>10</v>
      </c>
      <c r="F1080" t="s">
        <v>12</v>
      </c>
      <c r="G1080" s="2">
        <v>20878.78443</v>
      </c>
      <c r="H1080" t="str" cm="1">
        <f t="array" ref="H1080">_xlfn.IFS(A1080&lt;=30, "Youth", A1080&lt;=50, "Adult", A1080&gt;50, "Older")</f>
        <v>Older</v>
      </c>
      <c r="I1080" t="str" cm="1">
        <f t="array" ref="I1080">_xlfn.IFS(A1080&lt;=25,"18-25",A1080&lt;=35,"26-35",A1080&lt;=45,"36-45",A1080&lt;=60,"46-60",A1080&gt;60,"60+")</f>
        <v>46-60</v>
      </c>
      <c r="J1080" t="str" cm="1">
        <f t="array" ref="J1080">_xlfn.IFS(C1080&lt;18.5,"Underweight",C1080&lt;25,"Normal",C1080&lt;30,"Overweight",C1080&gt;=30,"Obese")</f>
        <v>Obese</v>
      </c>
      <c r="K1080" t="str" cm="1">
        <f t="array" ref="K1080">_xlfn.IFS(G1080&lt;10000, "Low", G1080&lt;=25000, "Medium", G1080&gt;25000, "High")</f>
        <v>Medium</v>
      </c>
    </row>
    <row r="1081" spans="1:11" x14ac:dyDescent="0.3">
      <c r="A1081">
        <v>54</v>
      </c>
      <c r="B1081" s="1" t="s">
        <v>8</v>
      </c>
      <c r="C1081">
        <v>36</v>
      </c>
      <c r="D1081">
        <v>2</v>
      </c>
      <c r="E1081" t="s">
        <v>10</v>
      </c>
      <c r="F1081" t="s">
        <v>12</v>
      </c>
      <c r="G1081" s="2">
        <v>20984.0936</v>
      </c>
      <c r="H1081" t="str" cm="1">
        <f t="array" ref="H1081">_xlfn.IFS(A1081&lt;=30, "Youth", A1081&lt;=50, "Adult", A1081&gt;50, "Older")</f>
        <v>Older</v>
      </c>
      <c r="I1081" t="str" cm="1">
        <f t="array" ref="I1081">_xlfn.IFS(A1081&lt;=25,"18-25",A1081&lt;=35,"26-35",A1081&lt;=45,"36-45",A1081&lt;=60,"46-60",A1081&gt;60,"60+")</f>
        <v>46-60</v>
      </c>
      <c r="J1081" t="str" cm="1">
        <f t="array" ref="J1081">_xlfn.IFS(C1081&lt;18.5,"Underweight",C1081&lt;25,"Normal",C1081&lt;30,"Overweight",C1081&gt;=30,"Obese")</f>
        <v>Obese</v>
      </c>
      <c r="K1081" t="str" cm="1">
        <f t="array" ref="K1081">_xlfn.IFS(G1081&lt;10000, "Low", G1081&lt;=25000, "Medium", G1081&gt;25000, "High")</f>
        <v>Medium</v>
      </c>
    </row>
    <row r="1082" spans="1:11" x14ac:dyDescent="0.3">
      <c r="A1082">
        <v>54</v>
      </c>
      <c r="B1082" s="1" t="s">
        <v>8</v>
      </c>
      <c r="C1082">
        <v>36.005000000000003</v>
      </c>
      <c r="D1082">
        <v>2</v>
      </c>
      <c r="E1082" t="s">
        <v>10</v>
      </c>
      <c r="F1082" t="s">
        <v>13</v>
      </c>
      <c r="G1082" s="2">
        <v>21082.16</v>
      </c>
      <c r="H1082" t="str" cm="1">
        <f t="array" ref="H1082">_xlfn.IFS(A1082&lt;=30, "Youth", A1082&lt;=50, "Adult", A1082&gt;50, "Older")</f>
        <v>Older</v>
      </c>
      <c r="I1082" t="str" cm="1">
        <f t="array" ref="I1082">_xlfn.IFS(A1082&lt;=25,"18-25",A1082&lt;=35,"26-35",A1082&lt;=45,"36-45",A1082&lt;=60,"46-60",A1082&gt;60,"60+")</f>
        <v>46-60</v>
      </c>
      <c r="J1082" t="str" cm="1">
        <f t="array" ref="J1082">_xlfn.IFS(C1082&lt;18.5,"Underweight",C1082&lt;25,"Normal",C1082&lt;30,"Overweight",C1082&gt;=30,"Obese")</f>
        <v>Obese</v>
      </c>
      <c r="K1082" t="str" cm="1">
        <f t="array" ref="K1082">_xlfn.IFS(G1082&lt;10000, "Low", G1082&lt;=25000, "Medium", G1082&gt;25000, "High")</f>
        <v>Medium</v>
      </c>
    </row>
    <row r="1083" spans="1:11" x14ac:dyDescent="0.3">
      <c r="A1083">
        <v>54</v>
      </c>
      <c r="B1083" s="1" t="s">
        <v>8</v>
      </c>
      <c r="C1083">
        <v>36.08</v>
      </c>
      <c r="D1083">
        <v>2</v>
      </c>
      <c r="E1083" t="s">
        <v>10</v>
      </c>
      <c r="F1083" t="s">
        <v>13</v>
      </c>
      <c r="G1083" s="2">
        <v>21098.554049999999</v>
      </c>
      <c r="H1083" t="str" cm="1">
        <f t="array" ref="H1083">_xlfn.IFS(A1083&lt;=30, "Youth", A1083&lt;=50, "Adult", A1083&gt;50, "Older")</f>
        <v>Older</v>
      </c>
      <c r="I1083" t="str" cm="1">
        <f t="array" ref="I1083">_xlfn.IFS(A1083&lt;=25,"18-25",A1083&lt;=35,"26-35",A1083&lt;=45,"36-45",A1083&lt;=60,"46-60",A1083&gt;60,"60+")</f>
        <v>46-60</v>
      </c>
      <c r="J1083" t="str" cm="1">
        <f t="array" ref="J1083">_xlfn.IFS(C1083&lt;18.5,"Underweight",C1083&lt;25,"Normal",C1083&lt;30,"Overweight",C1083&gt;=30,"Obese")</f>
        <v>Obese</v>
      </c>
      <c r="K1083" t="str" cm="1">
        <f t="array" ref="K1083">_xlfn.IFS(G1083&lt;10000, "Low", G1083&lt;=25000, "Medium", G1083&gt;25000, "High")</f>
        <v>Medium</v>
      </c>
    </row>
    <row r="1084" spans="1:11" x14ac:dyDescent="0.3">
      <c r="A1084">
        <v>54</v>
      </c>
      <c r="B1084" s="1" t="s">
        <v>8</v>
      </c>
      <c r="C1084">
        <v>36.08</v>
      </c>
      <c r="D1084">
        <v>2</v>
      </c>
      <c r="E1084" t="s">
        <v>10</v>
      </c>
      <c r="F1084" t="s">
        <v>11</v>
      </c>
      <c r="G1084" s="2">
        <v>21195.817999999999</v>
      </c>
      <c r="H1084" t="str" cm="1">
        <f t="array" ref="H1084">_xlfn.IFS(A1084&lt;=30, "Youth", A1084&lt;=50, "Adult", A1084&gt;50, "Older")</f>
        <v>Older</v>
      </c>
      <c r="I1084" t="str" cm="1">
        <f t="array" ref="I1084">_xlfn.IFS(A1084&lt;=25,"18-25",A1084&lt;=35,"26-35",A1084&lt;=45,"36-45",A1084&lt;=60,"46-60",A1084&gt;60,"60+")</f>
        <v>46-60</v>
      </c>
      <c r="J1084" t="str" cm="1">
        <f t="array" ref="J1084">_xlfn.IFS(C1084&lt;18.5,"Underweight",C1084&lt;25,"Normal",C1084&lt;30,"Overweight",C1084&gt;=30,"Obese")</f>
        <v>Obese</v>
      </c>
      <c r="K1084" t="str" cm="1">
        <f t="array" ref="K1084">_xlfn.IFS(G1084&lt;10000, "Low", G1084&lt;=25000, "Medium", G1084&gt;25000, "High")</f>
        <v>Medium</v>
      </c>
    </row>
    <row r="1085" spans="1:11" x14ac:dyDescent="0.3">
      <c r="A1085">
        <v>54</v>
      </c>
      <c r="B1085" s="1" t="s">
        <v>7</v>
      </c>
      <c r="C1085">
        <v>36.08</v>
      </c>
      <c r="D1085">
        <v>2</v>
      </c>
      <c r="E1085" t="s">
        <v>10</v>
      </c>
      <c r="F1085" t="s">
        <v>13</v>
      </c>
      <c r="G1085" s="2">
        <v>21223.675800000001</v>
      </c>
      <c r="H1085" t="str" cm="1">
        <f t="array" ref="H1085">_xlfn.IFS(A1085&lt;=30, "Youth", A1085&lt;=50, "Adult", A1085&gt;50, "Older")</f>
        <v>Older</v>
      </c>
      <c r="I1085" t="str" cm="1">
        <f t="array" ref="I1085">_xlfn.IFS(A1085&lt;=25,"18-25",A1085&lt;=35,"26-35",A1085&lt;=45,"36-45",A1085&lt;=60,"46-60",A1085&gt;60,"60+")</f>
        <v>46-60</v>
      </c>
      <c r="J1085" t="str" cm="1">
        <f t="array" ref="J1085">_xlfn.IFS(C1085&lt;18.5,"Underweight",C1085&lt;25,"Normal",C1085&lt;30,"Overweight",C1085&gt;=30,"Obese")</f>
        <v>Obese</v>
      </c>
      <c r="K1085" t="str" cm="1">
        <f t="array" ref="K1085">_xlfn.IFS(G1085&lt;10000, "Low", G1085&lt;=25000, "Medium", G1085&gt;25000, "High")</f>
        <v>Medium</v>
      </c>
    </row>
    <row r="1086" spans="1:11" x14ac:dyDescent="0.3">
      <c r="A1086">
        <v>54</v>
      </c>
      <c r="B1086" s="1" t="s">
        <v>7</v>
      </c>
      <c r="C1086">
        <v>36.08</v>
      </c>
      <c r="D1086">
        <v>2</v>
      </c>
      <c r="E1086" t="s">
        <v>9</v>
      </c>
      <c r="F1086" t="s">
        <v>11</v>
      </c>
      <c r="G1086" s="2">
        <v>21232.182260000001</v>
      </c>
      <c r="H1086" t="str" cm="1">
        <f t="array" ref="H1086">_xlfn.IFS(A1086&lt;=30, "Youth", A1086&lt;=50, "Adult", A1086&gt;50, "Older")</f>
        <v>Older</v>
      </c>
      <c r="I1086" t="str" cm="1">
        <f t="array" ref="I1086">_xlfn.IFS(A1086&lt;=25,"18-25",A1086&lt;=35,"26-35",A1086&lt;=45,"36-45",A1086&lt;=60,"46-60",A1086&gt;60,"60+")</f>
        <v>46-60</v>
      </c>
      <c r="J1086" t="str" cm="1">
        <f t="array" ref="J1086">_xlfn.IFS(C1086&lt;18.5,"Underweight",C1086&lt;25,"Normal",C1086&lt;30,"Overweight",C1086&gt;=30,"Obese")</f>
        <v>Obese</v>
      </c>
      <c r="K1086" t="str" cm="1">
        <f t="array" ref="K1086">_xlfn.IFS(G1086&lt;10000, "Low", G1086&lt;=25000, "Medium", G1086&gt;25000, "High")</f>
        <v>Medium</v>
      </c>
    </row>
    <row r="1087" spans="1:11" x14ac:dyDescent="0.3">
      <c r="A1087">
        <v>54</v>
      </c>
      <c r="B1087" s="1" t="s">
        <v>8</v>
      </c>
      <c r="C1087">
        <v>36.1</v>
      </c>
      <c r="D1087">
        <v>2</v>
      </c>
      <c r="E1087" t="s">
        <v>10</v>
      </c>
      <c r="F1087" t="s">
        <v>14</v>
      </c>
      <c r="G1087" s="2">
        <v>21259.377949999998</v>
      </c>
      <c r="H1087" t="str" cm="1">
        <f t="array" ref="H1087">_xlfn.IFS(A1087&lt;=30, "Youth", A1087&lt;=50, "Adult", A1087&gt;50, "Older")</f>
        <v>Older</v>
      </c>
      <c r="I1087" t="str" cm="1">
        <f t="array" ref="I1087">_xlfn.IFS(A1087&lt;=25,"18-25",A1087&lt;=35,"26-35",A1087&lt;=45,"36-45",A1087&lt;=60,"46-60",A1087&gt;60,"60+")</f>
        <v>46-60</v>
      </c>
      <c r="J1087" t="str" cm="1">
        <f t="array" ref="J1087">_xlfn.IFS(C1087&lt;18.5,"Underweight",C1087&lt;25,"Normal",C1087&lt;30,"Overweight",C1087&gt;=30,"Obese")</f>
        <v>Obese</v>
      </c>
      <c r="K1087" t="str" cm="1">
        <f t="array" ref="K1087">_xlfn.IFS(G1087&lt;10000, "Low", G1087&lt;=25000, "Medium", G1087&gt;25000, "High")</f>
        <v>Medium</v>
      </c>
    </row>
    <row r="1088" spans="1:11" x14ac:dyDescent="0.3">
      <c r="A1088">
        <v>54</v>
      </c>
      <c r="B1088" s="1" t="s">
        <v>8</v>
      </c>
      <c r="C1088">
        <v>36.1</v>
      </c>
      <c r="D1088">
        <v>2</v>
      </c>
      <c r="E1088" t="s">
        <v>10</v>
      </c>
      <c r="F1088" t="s">
        <v>13</v>
      </c>
      <c r="G1088" s="2">
        <v>21344.846699999998</v>
      </c>
      <c r="H1088" t="str" cm="1">
        <f t="array" ref="H1088">_xlfn.IFS(A1088&lt;=30, "Youth", A1088&lt;=50, "Adult", A1088&gt;50, "Older")</f>
        <v>Older</v>
      </c>
      <c r="I1088" t="str" cm="1">
        <f t="array" ref="I1088">_xlfn.IFS(A1088&lt;=25,"18-25",A1088&lt;=35,"26-35",A1088&lt;=45,"36-45",A1088&lt;=60,"46-60",A1088&gt;60,"60+")</f>
        <v>46-60</v>
      </c>
      <c r="J1088" t="str" cm="1">
        <f t="array" ref="J1088">_xlfn.IFS(C1088&lt;18.5,"Underweight",C1088&lt;25,"Normal",C1088&lt;30,"Overweight",C1088&gt;=30,"Obese")</f>
        <v>Obese</v>
      </c>
      <c r="K1088" t="str" cm="1">
        <f t="array" ref="K1088">_xlfn.IFS(G1088&lt;10000, "Low", G1088&lt;=25000, "Medium", G1088&gt;25000, "High")</f>
        <v>Medium</v>
      </c>
    </row>
    <row r="1089" spans="1:11" x14ac:dyDescent="0.3">
      <c r="A1089">
        <v>54</v>
      </c>
      <c r="B1089" s="1" t="s">
        <v>8</v>
      </c>
      <c r="C1089">
        <v>36.1</v>
      </c>
      <c r="D1089">
        <v>2</v>
      </c>
      <c r="E1089" t="s">
        <v>10</v>
      </c>
      <c r="F1089" t="s">
        <v>12</v>
      </c>
      <c r="G1089" s="2">
        <v>21348.705999999998</v>
      </c>
      <c r="H1089" t="str" cm="1">
        <f t="array" ref="H1089">_xlfn.IFS(A1089&lt;=30, "Youth", A1089&lt;=50, "Adult", A1089&gt;50, "Older")</f>
        <v>Older</v>
      </c>
      <c r="I1089" t="str" cm="1">
        <f t="array" ref="I1089">_xlfn.IFS(A1089&lt;=25,"18-25",A1089&lt;=35,"26-35",A1089&lt;=45,"36-45",A1089&lt;=60,"46-60",A1089&gt;60,"60+")</f>
        <v>46-60</v>
      </c>
      <c r="J1089" t="str" cm="1">
        <f t="array" ref="J1089">_xlfn.IFS(C1089&lt;18.5,"Underweight",C1089&lt;25,"Normal",C1089&lt;30,"Overweight",C1089&gt;=30,"Obese")</f>
        <v>Obese</v>
      </c>
      <c r="K1089" t="str" cm="1">
        <f t="array" ref="K1089">_xlfn.IFS(G1089&lt;10000, "Low", G1089&lt;=25000, "Medium", G1089&gt;25000, "High")</f>
        <v>Medium</v>
      </c>
    </row>
    <row r="1090" spans="1:11" x14ac:dyDescent="0.3">
      <c r="A1090">
        <v>54</v>
      </c>
      <c r="B1090" s="1" t="s">
        <v>8</v>
      </c>
      <c r="C1090">
        <v>36.19</v>
      </c>
      <c r="D1090">
        <v>2</v>
      </c>
      <c r="E1090" t="s">
        <v>10</v>
      </c>
      <c r="F1090" t="s">
        <v>11</v>
      </c>
      <c r="G1090" s="2">
        <v>21472.478800000001</v>
      </c>
      <c r="H1090" t="str" cm="1">
        <f t="array" ref="H1090">_xlfn.IFS(A1090&lt;=30, "Youth", A1090&lt;=50, "Adult", A1090&gt;50, "Older")</f>
        <v>Older</v>
      </c>
      <c r="I1090" t="str" cm="1">
        <f t="array" ref="I1090">_xlfn.IFS(A1090&lt;=25,"18-25",A1090&lt;=35,"26-35",A1090&lt;=45,"36-45",A1090&lt;=60,"46-60",A1090&gt;60,"60+")</f>
        <v>46-60</v>
      </c>
      <c r="J1090" t="str" cm="1">
        <f t="array" ref="J1090">_xlfn.IFS(C1090&lt;18.5,"Underweight",C1090&lt;25,"Normal",C1090&lt;30,"Overweight",C1090&gt;=30,"Obese")</f>
        <v>Obese</v>
      </c>
      <c r="K1090" t="str" cm="1">
        <f t="array" ref="K1090">_xlfn.IFS(G1090&lt;10000, "Low", G1090&lt;=25000, "Medium", G1090&gt;25000, "High")</f>
        <v>Medium</v>
      </c>
    </row>
    <row r="1091" spans="1:11" x14ac:dyDescent="0.3">
      <c r="A1091">
        <v>54</v>
      </c>
      <c r="B1091" s="1" t="s">
        <v>8</v>
      </c>
      <c r="C1091">
        <v>36.19</v>
      </c>
      <c r="D1091">
        <v>2</v>
      </c>
      <c r="E1091" t="s">
        <v>9</v>
      </c>
      <c r="F1091" t="s">
        <v>12</v>
      </c>
      <c r="G1091" s="2">
        <v>21595.382290000001</v>
      </c>
      <c r="H1091" t="str" cm="1">
        <f t="array" ref="H1091">_xlfn.IFS(A1091&lt;=30, "Youth", A1091&lt;=50, "Adult", A1091&gt;50, "Older")</f>
        <v>Older</v>
      </c>
      <c r="I1091" t="str" cm="1">
        <f t="array" ref="I1091">_xlfn.IFS(A1091&lt;=25,"18-25",A1091&lt;=35,"26-35",A1091&lt;=45,"36-45",A1091&lt;=60,"46-60",A1091&gt;60,"60+")</f>
        <v>46-60</v>
      </c>
      <c r="J1091" t="str" cm="1">
        <f t="array" ref="J1091">_xlfn.IFS(C1091&lt;18.5,"Underweight",C1091&lt;25,"Normal",C1091&lt;30,"Overweight",C1091&gt;=30,"Obese")</f>
        <v>Obese</v>
      </c>
      <c r="K1091" t="str" cm="1">
        <f t="array" ref="K1091">_xlfn.IFS(G1091&lt;10000, "Low", G1091&lt;=25000, "Medium", G1091&gt;25000, "High")</f>
        <v>Medium</v>
      </c>
    </row>
    <row r="1092" spans="1:11" x14ac:dyDescent="0.3">
      <c r="A1092">
        <v>54</v>
      </c>
      <c r="B1092" s="1" t="s">
        <v>7</v>
      </c>
      <c r="C1092">
        <v>36.19</v>
      </c>
      <c r="D1092">
        <v>2</v>
      </c>
      <c r="E1092" t="s">
        <v>10</v>
      </c>
      <c r="F1092" t="s">
        <v>14</v>
      </c>
      <c r="G1092" s="2">
        <v>21659.930100000001</v>
      </c>
      <c r="H1092" t="str" cm="1">
        <f t="array" ref="H1092">_xlfn.IFS(A1092&lt;=30, "Youth", A1092&lt;=50, "Adult", A1092&gt;50, "Older")</f>
        <v>Older</v>
      </c>
      <c r="I1092" t="str" cm="1">
        <f t="array" ref="I1092">_xlfn.IFS(A1092&lt;=25,"18-25",A1092&lt;=35,"26-35",A1092&lt;=45,"36-45",A1092&lt;=60,"46-60",A1092&gt;60,"60+")</f>
        <v>46-60</v>
      </c>
      <c r="J1092" t="str" cm="1">
        <f t="array" ref="J1092">_xlfn.IFS(C1092&lt;18.5,"Underweight",C1092&lt;25,"Normal",C1092&lt;30,"Overweight",C1092&gt;=30,"Obese")</f>
        <v>Obese</v>
      </c>
      <c r="K1092" t="str" cm="1">
        <f t="array" ref="K1092">_xlfn.IFS(G1092&lt;10000, "Low", G1092&lt;=25000, "Medium", G1092&gt;25000, "High")</f>
        <v>Medium</v>
      </c>
    </row>
    <row r="1093" spans="1:11" x14ac:dyDescent="0.3">
      <c r="A1093">
        <v>54</v>
      </c>
      <c r="B1093" s="1" t="s">
        <v>8</v>
      </c>
      <c r="C1093">
        <v>36.195</v>
      </c>
      <c r="D1093">
        <v>2</v>
      </c>
      <c r="E1093" t="s">
        <v>10</v>
      </c>
      <c r="F1093" t="s">
        <v>11</v>
      </c>
      <c r="G1093" s="2">
        <v>21677.283449999999</v>
      </c>
      <c r="H1093" t="str" cm="1">
        <f t="array" ref="H1093">_xlfn.IFS(A1093&lt;=30, "Youth", A1093&lt;=50, "Adult", A1093&gt;50, "Older")</f>
        <v>Older</v>
      </c>
      <c r="I1093" t="str" cm="1">
        <f t="array" ref="I1093">_xlfn.IFS(A1093&lt;=25,"18-25",A1093&lt;=35,"26-35",A1093&lt;=45,"36-45",A1093&lt;=60,"46-60",A1093&gt;60,"60+")</f>
        <v>46-60</v>
      </c>
      <c r="J1093" t="str" cm="1">
        <f t="array" ref="J1093">_xlfn.IFS(C1093&lt;18.5,"Underweight",C1093&lt;25,"Normal",C1093&lt;30,"Overweight",C1093&gt;=30,"Obese")</f>
        <v>Obese</v>
      </c>
      <c r="K1093" t="str" cm="1">
        <f t="array" ref="K1093">_xlfn.IFS(G1093&lt;10000, "Low", G1093&lt;=25000, "Medium", G1093&gt;25000, "High")</f>
        <v>Medium</v>
      </c>
    </row>
    <row r="1094" spans="1:11" x14ac:dyDescent="0.3">
      <c r="A1094">
        <v>54</v>
      </c>
      <c r="B1094" s="1" t="s">
        <v>7</v>
      </c>
      <c r="C1094">
        <v>36.200000000000003</v>
      </c>
      <c r="D1094">
        <v>2</v>
      </c>
      <c r="E1094" t="s">
        <v>9</v>
      </c>
      <c r="F1094" t="s">
        <v>13</v>
      </c>
      <c r="G1094" s="2">
        <v>21771.3423</v>
      </c>
      <c r="H1094" t="str" cm="1">
        <f t="array" ref="H1094">_xlfn.IFS(A1094&lt;=30, "Youth", A1094&lt;=50, "Adult", A1094&gt;50, "Older")</f>
        <v>Older</v>
      </c>
      <c r="I1094" t="str" cm="1">
        <f t="array" ref="I1094">_xlfn.IFS(A1094&lt;=25,"18-25",A1094&lt;=35,"26-35",A1094&lt;=45,"36-45",A1094&lt;=60,"46-60",A1094&gt;60,"60+")</f>
        <v>46-60</v>
      </c>
      <c r="J1094" t="str" cm="1">
        <f t="array" ref="J1094">_xlfn.IFS(C1094&lt;18.5,"Underweight",C1094&lt;25,"Normal",C1094&lt;30,"Overweight",C1094&gt;=30,"Obese")</f>
        <v>Obese</v>
      </c>
      <c r="K1094" t="str" cm="1">
        <f t="array" ref="K1094">_xlfn.IFS(G1094&lt;10000, "Low", G1094&lt;=25000, "Medium", G1094&gt;25000, "High")</f>
        <v>Medium</v>
      </c>
    </row>
    <row r="1095" spans="1:11" x14ac:dyDescent="0.3">
      <c r="A1095">
        <v>54</v>
      </c>
      <c r="B1095" s="1" t="s">
        <v>7</v>
      </c>
      <c r="C1095">
        <v>36.200000000000003</v>
      </c>
      <c r="D1095">
        <v>2</v>
      </c>
      <c r="E1095" t="s">
        <v>10</v>
      </c>
      <c r="F1095" t="s">
        <v>11</v>
      </c>
      <c r="G1095" s="2">
        <v>21774.32215</v>
      </c>
      <c r="H1095" t="str" cm="1">
        <f t="array" ref="H1095">_xlfn.IFS(A1095&lt;=30, "Youth", A1095&lt;=50, "Adult", A1095&gt;50, "Older")</f>
        <v>Older</v>
      </c>
      <c r="I1095" t="str" cm="1">
        <f t="array" ref="I1095">_xlfn.IFS(A1095&lt;=25,"18-25",A1095&lt;=35,"26-35",A1095&lt;=45,"36-45",A1095&lt;=60,"46-60",A1095&gt;60,"60+")</f>
        <v>46-60</v>
      </c>
      <c r="J1095" t="str" cm="1">
        <f t="array" ref="J1095">_xlfn.IFS(C1095&lt;18.5,"Underweight",C1095&lt;25,"Normal",C1095&lt;30,"Overweight",C1095&gt;=30,"Obese")</f>
        <v>Obese</v>
      </c>
      <c r="K1095" t="str" cm="1">
        <f t="array" ref="K1095">_xlfn.IFS(G1095&lt;10000, "Low", G1095&lt;=25000, "Medium", G1095&gt;25000, "High")</f>
        <v>Medium</v>
      </c>
    </row>
    <row r="1096" spans="1:11" x14ac:dyDescent="0.3">
      <c r="A1096">
        <v>54</v>
      </c>
      <c r="B1096" s="1" t="s">
        <v>7</v>
      </c>
      <c r="C1096">
        <v>36.29</v>
      </c>
      <c r="D1096">
        <v>2</v>
      </c>
      <c r="E1096" t="s">
        <v>10</v>
      </c>
      <c r="F1096" t="s">
        <v>14</v>
      </c>
      <c r="G1096" s="2">
        <v>21797.000400000001</v>
      </c>
      <c r="H1096" t="str" cm="1">
        <f t="array" ref="H1096">_xlfn.IFS(A1096&lt;=30, "Youth", A1096&lt;=50, "Adult", A1096&gt;50, "Older")</f>
        <v>Older</v>
      </c>
      <c r="I1096" t="str" cm="1">
        <f t="array" ref="I1096">_xlfn.IFS(A1096&lt;=25,"18-25",A1096&lt;=35,"26-35",A1096&lt;=45,"36-45",A1096&lt;=60,"46-60",A1096&gt;60,"60+")</f>
        <v>46-60</v>
      </c>
      <c r="J1096" t="str" cm="1">
        <f t="array" ref="J1096">_xlfn.IFS(C1096&lt;18.5,"Underweight",C1096&lt;25,"Normal",C1096&lt;30,"Overweight",C1096&gt;=30,"Obese")</f>
        <v>Obese</v>
      </c>
      <c r="K1096" t="str" cm="1">
        <f t="array" ref="K1096">_xlfn.IFS(G1096&lt;10000, "Low", G1096&lt;=25000, "Medium", G1096&gt;25000, "High")</f>
        <v>Medium</v>
      </c>
    </row>
    <row r="1097" spans="1:11" x14ac:dyDescent="0.3">
      <c r="A1097">
        <v>55</v>
      </c>
      <c r="B1097" s="1" t="s">
        <v>7</v>
      </c>
      <c r="C1097">
        <v>36.299999999999997</v>
      </c>
      <c r="D1097">
        <v>2</v>
      </c>
      <c r="E1097" t="s">
        <v>9</v>
      </c>
      <c r="F1097" t="s">
        <v>14</v>
      </c>
      <c r="G1097" s="2">
        <v>21880.82</v>
      </c>
      <c r="H1097" t="str" cm="1">
        <f t="array" ref="H1097">_xlfn.IFS(A1097&lt;=30, "Youth", A1097&lt;=50, "Adult", A1097&gt;50, "Older")</f>
        <v>Older</v>
      </c>
      <c r="I1097" t="str" cm="1">
        <f t="array" ref="I1097">_xlfn.IFS(A1097&lt;=25,"18-25",A1097&lt;=35,"26-35",A1097&lt;=45,"36-45",A1097&lt;=60,"46-60",A1097&gt;60,"60+")</f>
        <v>46-60</v>
      </c>
      <c r="J1097" t="str" cm="1">
        <f t="array" ref="J1097">_xlfn.IFS(C1097&lt;18.5,"Underweight",C1097&lt;25,"Normal",C1097&lt;30,"Overweight",C1097&gt;=30,"Obese")</f>
        <v>Obese</v>
      </c>
      <c r="K1097" t="str" cm="1">
        <f t="array" ref="K1097">_xlfn.IFS(G1097&lt;10000, "Low", G1097&lt;=25000, "Medium", G1097&gt;25000, "High")</f>
        <v>Medium</v>
      </c>
    </row>
    <row r="1098" spans="1:11" x14ac:dyDescent="0.3">
      <c r="A1098">
        <v>55</v>
      </c>
      <c r="B1098" s="1" t="s">
        <v>8</v>
      </c>
      <c r="C1098">
        <v>36.299999999999997</v>
      </c>
      <c r="D1098">
        <v>2</v>
      </c>
      <c r="E1098" t="s">
        <v>10</v>
      </c>
      <c r="F1098" t="s">
        <v>12</v>
      </c>
      <c r="G1098" s="2">
        <v>21978.676899999999</v>
      </c>
      <c r="H1098" t="str" cm="1">
        <f t="array" ref="H1098">_xlfn.IFS(A1098&lt;=30, "Youth", A1098&lt;=50, "Adult", A1098&gt;50, "Older")</f>
        <v>Older</v>
      </c>
      <c r="I1098" t="str" cm="1">
        <f t="array" ref="I1098">_xlfn.IFS(A1098&lt;=25,"18-25",A1098&lt;=35,"26-35",A1098&lt;=45,"36-45",A1098&lt;=60,"46-60",A1098&gt;60,"60+")</f>
        <v>46-60</v>
      </c>
      <c r="J1098" t="str" cm="1">
        <f t="array" ref="J1098">_xlfn.IFS(C1098&lt;18.5,"Underweight",C1098&lt;25,"Normal",C1098&lt;30,"Overweight",C1098&gt;=30,"Obese")</f>
        <v>Obese</v>
      </c>
      <c r="K1098" t="str" cm="1">
        <f t="array" ref="K1098">_xlfn.IFS(G1098&lt;10000, "Low", G1098&lt;=25000, "Medium", G1098&gt;25000, "High")</f>
        <v>Medium</v>
      </c>
    </row>
    <row r="1099" spans="1:11" x14ac:dyDescent="0.3">
      <c r="A1099">
        <v>55</v>
      </c>
      <c r="B1099" s="1" t="s">
        <v>7</v>
      </c>
      <c r="C1099">
        <v>36.299999999999997</v>
      </c>
      <c r="D1099">
        <v>2</v>
      </c>
      <c r="E1099" t="s">
        <v>10</v>
      </c>
      <c r="F1099" t="s">
        <v>14</v>
      </c>
      <c r="G1099" s="2">
        <v>21984.47061</v>
      </c>
      <c r="H1099" t="str" cm="1">
        <f t="array" ref="H1099">_xlfn.IFS(A1099&lt;=30, "Youth", A1099&lt;=50, "Adult", A1099&gt;50, "Older")</f>
        <v>Older</v>
      </c>
      <c r="I1099" t="str" cm="1">
        <f t="array" ref="I1099">_xlfn.IFS(A1099&lt;=25,"18-25",A1099&lt;=35,"26-35",A1099&lt;=45,"36-45",A1099&lt;=60,"46-60",A1099&gt;60,"60+")</f>
        <v>46-60</v>
      </c>
      <c r="J1099" t="str" cm="1">
        <f t="array" ref="J1099">_xlfn.IFS(C1099&lt;18.5,"Underweight",C1099&lt;25,"Normal",C1099&lt;30,"Overweight",C1099&gt;=30,"Obese")</f>
        <v>Obese</v>
      </c>
      <c r="K1099" t="str" cm="1">
        <f t="array" ref="K1099">_xlfn.IFS(G1099&lt;10000, "Low", G1099&lt;=25000, "Medium", G1099&gt;25000, "High")</f>
        <v>Medium</v>
      </c>
    </row>
    <row r="1100" spans="1:11" x14ac:dyDescent="0.3">
      <c r="A1100">
        <v>55</v>
      </c>
      <c r="B1100" s="1" t="s">
        <v>7</v>
      </c>
      <c r="C1100">
        <v>36.299999999999997</v>
      </c>
      <c r="D1100">
        <v>2</v>
      </c>
      <c r="E1100" t="s">
        <v>10</v>
      </c>
      <c r="F1100" t="s">
        <v>12</v>
      </c>
      <c r="G1100" s="2">
        <v>22144.031999999999</v>
      </c>
      <c r="H1100" t="str" cm="1">
        <f t="array" ref="H1100">_xlfn.IFS(A1100&lt;=30, "Youth", A1100&lt;=50, "Adult", A1100&gt;50, "Older")</f>
        <v>Older</v>
      </c>
      <c r="I1100" t="str" cm="1">
        <f t="array" ref="I1100">_xlfn.IFS(A1100&lt;=25,"18-25",A1100&lt;=35,"26-35",A1100&lt;=45,"36-45",A1100&lt;=60,"46-60",A1100&gt;60,"60+")</f>
        <v>46-60</v>
      </c>
      <c r="J1100" t="str" cm="1">
        <f t="array" ref="J1100">_xlfn.IFS(C1100&lt;18.5,"Underweight",C1100&lt;25,"Normal",C1100&lt;30,"Overweight",C1100&gt;=30,"Obese")</f>
        <v>Obese</v>
      </c>
      <c r="K1100" t="str" cm="1">
        <f t="array" ref="K1100">_xlfn.IFS(G1100&lt;10000, "Low", G1100&lt;=25000, "Medium", G1100&gt;25000, "High")</f>
        <v>Medium</v>
      </c>
    </row>
    <row r="1101" spans="1:11" x14ac:dyDescent="0.3">
      <c r="A1101">
        <v>55</v>
      </c>
      <c r="B1101" s="1" t="s">
        <v>7</v>
      </c>
      <c r="C1101">
        <v>36.384999999999998</v>
      </c>
      <c r="D1101">
        <v>2</v>
      </c>
      <c r="E1101" t="s">
        <v>9</v>
      </c>
      <c r="F1101" t="s">
        <v>14</v>
      </c>
      <c r="G1101" s="2">
        <v>22192.437109999999</v>
      </c>
      <c r="H1101" t="str" cm="1">
        <f t="array" ref="H1101">_xlfn.IFS(A1101&lt;=30, "Youth", A1101&lt;=50, "Adult", A1101&gt;50, "Older")</f>
        <v>Older</v>
      </c>
      <c r="I1101" t="str" cm="1">
        <f t="array" ref="I1101">_xlfn.IFS(A1101&lt;=25,"18-25",A1101&lt;=35,"26-35",A1101&lt;=45,"36-45",A1101&lt;=60,"46-60",A1101&gt;60,"60+")</f>
        <v>46-60</v>
      </c>
      <c r="J1101" t="str" cm="1">
        <f t="array" ref="J1101">_xlfn.IFS(C1101&lt;18.5,"Underweight",C1101&lt;25,"Normal",C1101&lt;30,"Overweight",C1101&gt;=30,"Obese")</f>
        <v>Obese</v>
      </c>
      <c r="K1101" t="str" cm="1">
        <f t="array" ref="K1101">_xlfn.IFS(G1101&lt;10000, "Low", G1101&lt;=25000, "Medium", G1101&gt;25000, "High")</f>
        <v>Medium</v>
      </c>
    </row>
    <row r="1102" spans="1:11" x14ac:dyDescent="0.3">
      <c r="A1102">
        <v>55</v>
      </c>
      <c r="B1102" s="1" t="s">
        <v>8</v>
      </c>
      <c r="C1102">
        <v>36.384999999999998</v>
      </c>
      <c r="D1102">
        <v>2</v>
      </c>
      <c r="E1102" t="s">
        <v>10</v>
      </c>
      <c r="F1102" t="s">
        <v>11</v>
      </c>
      <c r="G1102" s="2">
        <v>22218.1149</v>
      </c>
      <c r="H1102" t="str" cm="1">
        <f t="array" ref="H1102">_xlfn.IFS(A1102&lt;=30, "Youth", A1102&lt;=50, "Adult", A1102&gt;50, "Older")</f>
        <v>Older</v>
      </c>
      <c r="I1102" t="str" cm="1">
        <f t="array" ref="I1102">_xlfn.IFS(A1102&lt;=25,"18-25",A1102&lt;=35,"26-35",A1102&lt;=45,"36-45",A1102&lt;=60,"46-60",A1102&gt;60,"60+")</f>
        <v>46-60</v>
      </c>
      <c r="J1102" t="str" cm="1">
        <f t="array" ref="J1102">_xlfn.IFS(C1102&lt;18.5,"Underweight",C1102&lt;25,"Normal",C1102&lt;30,"Overweight",C1102&gt;=30,"Obese")</f>
        <v>Obese</v>
      </c>
      <c r="K1102" t="str" cm="1">
        <f t="array" ref="K1102">_xlfn.IFS(G1102&lt;10000, "Low", G1102&lt;=25000, "Medium", G1102&gt;25000, "High")</f>
        <v>Medium</v>
      </c>
    </row>
    <row r="1103" spans="1:11" x14ac:dyDescent="0.3">
      <c r="A1103">
        <v>55</v>
      </c>
      <c r="B1103" s="1" t="s">
        <v>8</v>
      </c>
      <c r="C1103">
        <v>36.4</v>
      </c>
      <c r="D1103">
        <v>2</v>
      </c>
      <c r="E1103" t="s">
        <v>10</v>
      </c>
      <c r="F1103" t="s">
        <v>12</v>
      </c>
      <c r="G1103" s="2">
        <v>22331.566800000001</v>
      </c>
      <c r="H1103" t="str" cm="1">
        <f t="array" ref="H1103">_xlfn.IFS(A1103&lt;=30, "Youth", A1103&lt;=50, "Adult", A1103&gt;50, "Older")</f>
        <v>Older</v>
      </c>
      <c r="I1103" t="str" cm="1">
        <f t="array" ref="I1103">_xlfn.IFS(A1103&lt;=25,"18-25",A1103&lt;=35,"26-35",A1103&lt;=45,"36-45",A1103&lt;=60,"46-60",A1103&gt;60,"60+")</f>
        <v>46-60</v>
      </c>
      <c r="J1103" t="str" cm="1">
        <f t="array" ref="J1103">_xlfn.IFS(C1103&lt;18.5,"Underweight",C1103&lt;25,"Normal",C1103&lt;30,"Overweight",C1103&gt;=30,"Obese")</f>
        <v>Obese</v>
      </c>
      <c r="K1103" t="str" cm="1">
        <f t="array" ref="K1103">_xlfn.IFS(G1103&lt;10000, "Low", G1103&lt;=25000, "Medium", G1103&gt;25000, "High")</f>
        <v>Medium</v>
      </c>
    </row>
    <row r="1104" spans="1:11" x14ac:dyDescent="0.3">
      <c r="A1104">
        <v>55</v>
      </c>
      <c r="B1104" s="1" t="s">
        <v>8</v>
      </c>
      <c r="C1104">
        <v>36.479999999999997</v>
      </c>
      <c r="D1104">
        <v>2</v>
      </c>
      <c r="E1104" t="s">
        <v>10</v>
      </c>
      <c r="F1104" t="s">
        <v>12</v>
      </c>
      <c r="G1104" s="2">
        <v>22395.74424</v>
      </c>
      <c r="H1104" t="str" cm="1">
        <f t="array" ref="H1104">_xlfn.IFS(A1104&lt;=30, "Youth", A1104&lt;=50, "Adult", A1104&gt;50, "Older")</f>
        <v>Older</v>
      </c>
      <c r="I1104" t="str" cm="1">
        <f t="array" ref="I1104">_xlfn.IFS(A1104&lt;=25,"18-25",A1104&lt;=35,"26-35",A1104&lt;=45,"36-45",A1104&lt;=60,"46-60",A1104&gt;60,"60+")</f>
        <v>46-60</v>
      </c>
      <c r="J1104" t="str" cm="1">
        <f t="array" ref="J1104">_xlfn.IFS(C1104&lt;18.5,"Underweight",C1104&lt;25,"Normal",C1104&lt;30,"Overweight",C1104&gt;=30,"Obese")</f>
        <v>Obese</v>
      </c>
      <c r="K1104" t="str" cm="1">
        <f t="array" ref="K1104">_xlfn.IFS(G1104&lt;10000, "Low", G1104&lt;=25000, "Medium", G1104&gt;25000, "High")</f>
        <v>Medium</v>
      </c>
    </row>
    <row r="1105" spans="1:11" x14ac:dyDescent="0.3">
      <c r="A1105">
        <v>55</v>
      </c>
      <c r="B1105" s="1" t="s">
        <v>8</v>
      </c>
      <c r="C1105">
        <v>36.479999999999997</v>
      </c>
      <c r="D1105">
        <v>2</v>
      </c>
      <c r="E1105" t="s">
        <v>10</v>
      </c>
      <c r="F1105" t="s">
        <v>11</v>
      </c>
      <c r="G1105" s="2">
        <v>22412.648499999999</v>
      </c>
      <c r="H1105" t="str" cm="1">
        <f t="array" ref="H1105">_xlfn.IFS(A1105&lt;=30, "Youth", A1105&lt;=50, "Adult", A1105&gt;50, "Older")</f>
        <v>Older</v>
      </c>
      <c r="I1105" t="str" cm="1">
        <f t="array" ref="I1105">_xlfn.IFS(A1105&lt;=25,"18-25",A1105&lt;=35,"26-35",A1105&lt;=45,"36-45",A1105&lt;=60,"46-60",A1105&gt;60,"60+")</f>
        <v>46-60</v>
      </c>
      <c r="J1105" t="str" cm="1">
        <f t="array" ref="J1105">_xlfn.IFS(C1105&lt;18.5,"Underweight",C1105&lt;25,"Normal",C1105&lt;30,"Overweight",C1105&gt;=30,"Obese")</f>
        <v>Obese</v>
      </c>
      <c r="K1105" t="str" cm="1">
        <f t="array" ref="K1105">_xlfn.IFS(G1105&lt;10000, "Low", G1105&lt;=25000, "Medium", G1105&gt;25000, "High")</f>
        <v>Medium</v>
      </c>
    </row>
    <row r="1106" spans="1:11" x14ac:dyDescent="0.3">
      <c r="A1106">
        <v>55</v>
      </c>
      <c r="B1106" s="1" t="s">
        <v>7</v>
      </c>
      <c r="C1106">
        <v>36.479999999999997</v>
      </c>
      <c r="D1106">
        <v>2</v>
      </c>
      <c r="E1106" t="s">
        <v>10</v>
      </c>
      <c r="F1106" t="s">
        <v>12</v>
      </c>
      <c r="G1106" s="2">
        <v>22462.043750000001</v>
      </c>
      <c r="H1106" t="str" cm="1">
        <f t="array" ref="H1106">_xlfn.IFS(A1106&lt;=30, "Youth", A1106&lt;=50, "Adult", A1106&gt;50, "Older")</f>
        <v>Older</v>
      </c>
      <c r="I1106" t="str" cm="1">
        <f t="array" ref="I1106">_xlfn.IFS(A1106&lt;=25,"18-25",A1106&lt;=35,"26-35",A1106&lt;=45,"36-45",A1106&lt;=60,"46-60",A1106&gt;60,"60+")</f>
        <v>46-60</v>
      </c>
      <c r="J1106" t="str" cm="1">
        <f t="array" ref="J1106">_xlfn.IFS(C1106&lt;18.5,"Underweight",C1106&lt;25,"Normal",C1106&lt;30,"Overweight",C1106&gt;=30,"Obese")</f>
        <v>Obese</v>
      </c>
      <c r="K1106" t="str" cm="1">
        <f t="array" ref="K1106">_xlfn.IFS(G1106&lt;10000, "Low", G1106&lt;=25000, "Medium", G1106&gt;25000, "High")</f>
        <v>Medium</v>
      </c>
    </row>
    <row r="1107" spans="1:11" x14ac:dyDescent="0.3">
      <c r="A1107">
        <v>55</v>
      </c>
      <c r="B1107" s="1" t="s">
        <v>7</v>
      </c>
      <c r="C1107">
        <v>36.520000000000003</v>
      </c>
      <c r="D1107">
        <v>2</v>
      </c>
      <c r="E1107" t="s">
        <v>10</v>
      </c>
      <c r="F1107" t="s">
        <v>13</v>
      </c>
      <c r="G1107" s="2">
        <v>22478.6</v>
      </c>
      <c r="H1107" t="str" cm="1">
        <f t="array" ref="H1107">_xlfn.IFS(A1107&lt;=30, "Youth", A1107&lt;=50, "Adult", A1107&gt;50, "Older")</f>
        <v>Older</v>
      </c>
      <c r="I1107" t="str" cm="1">
        <f t="array" ref="I1107">_xlfn.IFS(A1107&lt;=25,"18-25",A1107&lt;=35,"26-35",A1107&lt;=45,"36-45",A1107&lt;=60,"46-60",A1107&gt;60,"60+")</f>
        <v>46-60</v>
      </c>
      <c r="J1107" t="str" cm="1">
        <f t="array" ref="J1107">_xlfn.IFS(C1107&lt;18.5,"Underweight",C1107&lt;25,"Normal",C1107&lt;30,"Overweight",C1107&gt;=30,"Obese")</f>
        <v>Obese</v>
      </c>
      <c r="K1107" t="str" cm="1">
        <f t="array" ref="K1107">_xlfn.IFS(G1107&lt;10000, "Low", G1107&lt;=25000, "Medium", G1107&gt;25000, "High")</f>
        <v>Medium</v>
      </c>
    </row>
    <row r="1108" spans="1:11" x14ac:dyDescent="0.3">
      <c r="A1108">
        <v>55</v>
      </c>
      <c r="B1108" s="1" t="s">
        <v>7</v>
      </c>
      <c r="C1108">
        <v>36.575000000000003</v>
      </c>
      <c r="D1108">
        <v>2</v>
      </c>
      <c r="E1108" t="s">
        <v>10</v>
      </c>
      <c r="F1108" t="s">
        <v>13</v>
      </c>
      <c r="G1108" s="2">
        <v>22493.659640000002</v>
      </c>
      <c r="H1108" t="str" cm="1">
        <f t="array" ref="H1108">_xlfn.IFS(A1108&lt;=30, "Youth", A1108&lt;=50, "Adult", A1108&gt;50, "Older")</f>
        <v>Older</v>
      </c>
      <c r="I1108" t="str" cm="1">
        <f t="array" ref="I1108">_xlfn.IFS(A1108&lt;=25,"18-25",A1108&lt;=35,"26-35",A1108&lt;=45,"36-45",A1108&lt;=60,"46-60",A1108&gt;60,"60+")</f>
        <v>46-60</v>
      </c>
      <c r="J1108" t="str" cm="1">
        <f t="array" ref="J1108">_xlfn.IFS(C1108&lt;18.5,"Underweight",C1108&lt;25,"Normal",C1108&lt;30,"Overweight",C1108&gt;=30,"Obese")</f>
        <v>Obese</v>
      </c>
      <c r="K1108" t="str" cm="1">
        <f t="array" ref="K1108">_xlfn.IFS(G1108&lt;10000, "Low", G1108&lt;=25000, "Medium", G1108&gt;25000, "High")</f>
        <v>Medium</v>
      </c>
    </row>
    <row r="1109" spans="1:11" x14ac:dyDescent="0.3">
      <c r="A1109">
        <v>55</v>
      </c>
      <c r="B1109" s="1" t="s">
        <v>8</v>
      </c>
      <c r="C1109">
        <v>36.575000000000003</v>
      </c>
      <c r="D1109">
        <v>2</v>
      </c>
      <c r="E1109" t="s">
        <v>10</v>
      </c>
      <c r="F1109" t="s">
        <v>11</v>
      </c>
      <c r="G1109" s="2">
        <v>23045.566159999998</v>
      </c>
      <c r="H1109" t="str" cm="1">
        <f t="array" ref="H1109">_xlfn.IFS(A1109&lt;=30, "Youth", A1109&lt;=50, "Adult", A1109&gt;50, "Older")</f>
        <v>Older</v>
      </c>
      <c r="I1109" t="str" cm="1">
        <f t="array" ref="I1109">_xlfn.IFS(A1109&lt;=25,"18-25",A1109&lt;=35,"26-35",A1109&lt;=45,"36-45",A1109&lt;=60,"46-60",A1109&gt;60,"60+")</f>
        <v>46-60</v>
      </c>
      <c r="J1109" t="str" cm="1">
        <f t="array" ref="J1109">_xlfn.IFS(C1109&lt;18.5,"Underweight",C1109&lt;25,"Normal",C1109&lt;30,"Overweight",C1109&gt;=30,"Obese")</f>
        <v>Obese</v>
      </c>
      <c r="K1109" t="str" cm="1">
        <f t="array" ref="K1109">_xlfn.IFS(G1109&lt;10000, "Low", G1109&lt;=25000, "Medium", G1109&gt;25000, "High")</f>
        <v>Medium</v>
      </c>
    </row>
    <row r="1110" spans="1:11" x14ac:dyDescent="0.3">
      <c r="A1110">
        <v>55</v>
      </c>
      <c r="B1110" s="1" t="s">
        <v>8</v>
      </c>
      <c r="C1110">
        <v>36.6</v>
      </c>
      <c r="D1110">
        <v>2</v>
      </c>
      <c r="E1110" t="s">
        <v>10</v>
      </c>
      <c r="F1110" t="s">
        <v>12</v>
      </c>
      <c r="G1110" s="2">
        <v>23065.420699999999</v>
      </c>
      <c r="H1110" t="str" cm="1">
        <f t="array" ref="H1110">_xlfn.IFS(A1110&lt;=30, "Youth", A1110&lt;=50, "Adult", A1110&gt;50, "Older")</f>
        <v>Older</v>
      </c>
      <c r="I1110" t="str" cm="1">
        <f t="array" ref="I1110">_xlfn.IFS(A1110&lt;=25,"18-25",A1110&lt;=35,"26-35",A1110&lt;=45,"36-45",A1110&lt;=60,"46-60",A1110&gt;60,"60+")</f>
        <v>46-60</v>
      </c>
      <c r="J1110" t="str" cm="1">
        <f t="array" ref="J1110">_xlfn.IFS(C1110&lt;18.5,"Underweight",C1110&lt;25,"Normal",C1110&lt;30,"Overweight",C1110&gt;=30,"Obese")</f>
        <v>Obese</v>
      </c>
      <c r="K1110" t="str" cm="1">
        <f t="array" ref="K1110">_xlfn.IFS(G1110&lt;10000, "Low", G1110&lt;=25000, "Medium", G1110&gt;25000, "High")</f>
        <v>Medium</v>
      </c>
    </row>
    <row r="1111" spans="1:11" x14ac:dyDescent="0.3">
      <c r="A1111">
        <v>55</v>
      </c>
      <c r="B1111" s="1" t="s">
        <v>7</v>
      </c>
      <c r="C1111">
        <v>36.630000000000003</v>
      </c>
      <c r="D1111">
        <v>2</v>
      </c>
      <c r="E1111" t="s">
        <v>10</v>
      </c>
      <c r="F1111" t="s">
        <v>14</v>
      </c>
      <c r="G1111" s="2">
        <v>23082.955330000001</v>
      </c>
      <c r="H1111" t="str" cm="1">
        <f t="array" ref="H1111">_xlfn.IFS(A1111&lt;=30, "Youth", A1111&lt;=50, "Adult", A1111&gt;50, "Older")</f>
        <v>Older</v>
      </c>
      <c r="I1111" t="str" cm="1">
        <f t="array" ref="I1111">_xlfn.IFS(A1111&lt;=25,"18-25",A1111&lt;=35,"26-35",A1111&lt;=45,"36-45",A1111&lt;=60,"46-60",A1111&gt;60,"60+")</f>
        <v>46-60</v>
      </c>
      <c r="J1111" t="str" cm="1">
        <f t="array" ref="J1111">_xlfn.IFS(C1111&lt;18.5,"Underweight",C1111&lt;25,"Normal",C1111&lt;30,"Overweight",C1111&gt;=30,"Obese")</f>
        <v>Obese</v>
      </c>
      <c r="K1111" t="str" cm="1">
        <f t="array" ref="K1111">_xlfn.IFS(G1111&lt;10000, "Low", G1111&lt;=25000, "Medium", G1111&gt;25000, "High")</f>
        <v>Medium</v>
      </c>
    </row>
    <row r="1112" spans="1:11" x14ac:dyDescent="0.3">
      <c r="A1112">
        <v>55</v>
      </c>
      <c r="B1112" s="1" t="s">
        <v>8</v>
      </c>
      <c r="C1112">
        <v>36.630000000000003</v>
      </c>
      <c r="D1112">
        <v>2</v>
      </c>
      <c r="E1112" t="s">
        <v>9</v>
      </c>
      <c r="F1112" t="s">
        <v>12</v>
      </c>
      <c r="G1112" s="2">
        <v>23241.47453</v>
      </c>
      <c r="H1112" t="str" cm="1">
        <f t="array" ref="H1112">_xlfn.IFS(A1112&lt;=30, "Youth", A1112&lt;=50, "Adult", A1112&gt;50, "Older")</f>
        <v>Older</v>
      </c>
      <c r="I1112" t="str" cm="1">
        <f t="array" ref="I1112">_xlfn.IFS(A1112&lt;=25,"18-25",A1112&lt;=35,"26-35",A1112&lt;=45,"36-45",A1112&lt;=60,"46-60",A1112&gt;60,"60+")</f>
        <v>46-60</v>
      </c>
      <c r="J1112" t="str" cm="1">
        <f t="array" ref="J1112">_xlfn.IFS(C1112&lt;18.5,"Underweight",C1112&lt;25,"Normal",C1112&lt;30,"Overweight",C1112&gt;=30,"Obese")</f>
        <v>Obese</v>
      </c>
      <c r="K1112" t="str" cm="1">
        <f t="array" ref="K1112">_xlfn.IFS(G1112&lt;10000, "Low", G1112&lt;=25000, "Medium", G1112&gt;25000, "High")</f>
        <v>Medium</v>
      </c>
    </row>
    <row r="1113" spans="1:11" x14ac:dyDescent="0.3">
      <c r="A1113">
        <v>55</v>
      </c>
      <c r="B1113" s="1" t="s">
        <v>7</v>
      </c>
      <c r="C1113">
        <v>36.630000000000003</v>
      </c>
      <c r="D1113">
        <v>2</v>
      </c>
      <c r="E1113" t="s">
        <v>9</v>
      </c>
      <c r="F1113" t="s">
        <v>12</v>
      </c>
      <c r="G1113" s="2">
        <v>23244.790199999999</v>
      </c>
      <c r="H1113" t="str" cm="1">
        <f t="array" ref="H1113">_xlfn.IFS(A1113&lt;=30, "Youth", A1113&lt;=50, "Adult", A1113&gt;50, "Older")</f>
        <v>Older</v>
      </c>
      <c r="I1113" t="str" cm="1">
        <f t="array" ref="I1113">_xlfn.IFS(A1113&lt;=25,"18-25",A1113&lt;=35,"26-35",A1113&lt;=45,"36-45",A1113&lt;=60,"46-60",A1113&gt;60,"60+")</f>
        <v>46-60</v>
      </c>
      <c r="J1113" t="str" cm="1">
        <f t="array" ref="J1113">_xlfn.IFS(C1113&lt;18.5,"Underweight",C1113&lt;25,"Normal",C1113&lt;30,"Overweight",C1113&gt;=30,"Obese")</f>
        <v>Obese</v>
      </c>
      <c r="K1113" t="str" cm="1">
        <f t="array" ref="K1113">_xlfn.IFS(G1113&lt;10000, "Low", G1113&lt;=25000, "Medium", G1113&gt;25000, "High")</f>
        <v>Medium</v>
      </c>
    </row>
    <row r="1114" spans="1:11" x14ac:dyDescent="0.3">
      <c r="A1114">
        <v>55</v>
      </c>
      <c r="B1114" s="1" t="s">
        <v>7</v>
      </c>
      <c r="C1114">
        <v>36.67</v>
      </c>
      <c r="D1114">
        <v>2</v>
      </c>
      <c r="E1114" t="s">
        <v>10</v>
      </c>
      <c r="F1114" t="s">
        <v>13</v>
      </c>
      <c r="G1114" s="2">
        <v>23288.928400000001</v>
      </c>
      <c r="H1114" t="str" cm="1">
        <f t="array" ref="H1114">_xlfn.IFS(A1114&lt;=30, "Youth", A1114&lt;=50, "Adult", A1114&gt;50, "Older")</f>
        <v>Older</v>
      </c>
      <c r="I1114" t="str" cm="1">
        <f t="array" ref="I1114">_xlfn.IFS(A1114&lt;=25,"18-25",A1114&lt;=35,"26-35",A1114&lt;=45,"36-45",A1114&lt;=60,"46-60",A1114&gt;60,"60+")</f>
        <v>46-60</v>
      </c>
      <c r="J1114" t="str" cm="1">
        <f t="array" ref="J1114">_xlfn.IFS(C1114&lt;18.5,"Underweight",C1114&lt;25,"Normal",C1114&lt;30,"Overweight",C1114&gt;=30,"Obese")</f>
        <v>Obese</v>
      </c>
      <c r="K1114" t="str" cm="1">
        <f t="array" ref="K1114">_xlfn.IFS(G1114&lt;10000, "Low", G1114&lt;=25000, "Medium", G1114&gt;25000, "High")</f>
        <v>Medium</v>
      </c>
    </row>
    <row r="1115" spans="1:11" x14ac:dyDescent="0.3">
      <c r="A1115">
        <v>55</v>
      </c>
      <c r="B1115" s="1" t="s">
        <v>8</v>
      </c>
      <c r="C1115">
        <v>36.67</v>
      </c>
      <c r="D1115">
        <v>2</v>
      </c>
      <c r="E1115" t="s">
        <v>10</v>
      </c>
      <c r="F1115" t="s">
        <v>14</v>
      </c>
      <c r="G1115" s="2">
        <v>23306.546999999999</v>
      </c>
      <c r="H1115" t="str" cm="1">
        <f t="array" ref="H1115">_xlfn.IFS(A1115&lt;=30, "Youth", A1115&lt;=50, "Adult", A1115&gt;50, "Older")</f>
        <v>Older</v>
      </c>
      <c r="I1115" t="str" cm="1">
        <f t="array" ref="I1115">_xlfn.IFS(A1115&lt;=25,"18-25",A1115&lt;=35,"26-35",A1115&lt;=45,"36-45",A1115&lt;=60,"46-60",A1115&gt;60,"60+")</f>
        <v>46-60</v>
      </c>
      <c r="J1115" t="str" cm="1">
        <f t="array" ref="J1115">_xlfn.IFS(C1115&lt;18.5,"Underweight",C1115&lt;25,"Normal",C1115&lt;30,"Overweight",C1115&gt;=30,"Obese")</f>
        <v>Obese</v>
      </c>
      <c r="K1115" t="str" cm="1">
        <f t="array" ref="K1115">_xlfn.IFS(G1115&lt;10000, "Low", G1115&lt;=25000, "Medium", G1115&gt;25000, "High")</f>
        <v>Medium</v>
      </c>
    </row>
    <row r="1116" spans="1:11" x14ac:dyDescent="0.3">
      <c r="A1116">
        <v>55</v>
      </c>
      <c r="B1116" s="1" t="s">
        <v>8</v>
      </c>
      <c r="C1116">
        <v>36.67</v>
      </c>
      <c r="D1116">
        <v>2</v>
      </c>
      <c r="E1116" t="s">
        <v>10</v>
      </c>
      <c r="F1116" t="s">
        <v>12</v>
      </c>
      <c r="G1116" s="2">
        <v>23401.30575</v>
      </c>
      <c r="H1116" t="str" cm="1">
        <f t="array" ref="H1116">_xlfn.IFS(A1116&lt;=30, "Youth", A1116&lt;=50, "Adult", A1116&gt;50, "Older")</f>
        <v>Older</v>
      </c>
      <c r="I1116" t="str" cm="1">
        <f t="array" ref="I1116">_xlfn.IFS(A1116&lt;=25,"18-25",A1116&lt;=35,"26-35",A1116&lt;=45,"36-45",A1116&lt;=60,"46-60",A1116&gt;60,"60+")</f>
        <v>46-60</v>
      </c>
      <c r="J1116" t="str" cm="1">
        <f t="array" ref="J1116">_xlfn.IFS(C1116&lt;18.5,"Underweight",C1116&lt;25,"Normal",C1116&lt;30,"Overweight",C1116&gt;=30,"Obese")</f>
        <v>Obese</v>
      </c>
      <c r="K1116" t="str" cm="1">
        <f t="array" ref="K1116">_xlfn.IFS(G1116&lt;10000, "Low", G1116&lt;=25000, "Medium", G1116&gt;25000, "High")</f>
        <v>Medium</v>
      </c>
    </row>
    <row r="1117" spans="1:11" x14ac:dyDescent="0.3">
      <c r="A1117">
        <v>55</v>
      </c>
      <c r="B1117" s="1" t="s">
        <v>8</v>
      </c>
      <c r="C1117">
        <v>36.67</v>
      </c>
      <c r="D1117">
        <v>2</v>
      </c>
      <c r="E1117" t="s">
        <v>10</v>
      </c>
      <c r="F1117" t="s">
        <v>14</v>
      </c>
      <c r="G1117" s="2">
        <v>23563.016179999999</v>
      </c>
      <c r="H1117" t="str" cm="1">
        <f t="array" ref="H1117">_xlfn.IFS(A1117&lt;=30, "Youth", A1117&lt;=50, "Adult", A1117&gt;50, "Older")</f>
        <v>Older</v>
      </c>
      <c r="I1117" t="str" cm="1">
        <f t="array" ref="I1117">_xlfn.IFS(A1117&lt;=25,"18-25",A1117&lt;=35,"26-35",A1117&lt;=45,"36-45",A1117&lt;=60,"46-60",A1117&gt;60,"60+")</f>
        <v>46-60</v>
      </c>
      <c r="J1117" t="str" cm="1">
        <f t="array" ref="J1117">_xlfn.IFS(C1117&lt;18.5,"Underweight",C1117&lt;25,"Normal",C1117&lt;30,"Overweight",C1117&gt;=30,"Obese")</f>
        <v>Obese</v>
      </c>
      <c r="K1117" t="str" cm="1">
        <f t="array" ref="K1117">_xlfn.IFS(G1117&lt;10000, "Low", G1117&lt;=25000, "Medium", G1117&gt;25000, "High")</f>
        <v>Medium</v>
      </c>
    </row>
    <row r="1118" spans="1:11" x14ac:dyDescent="0.3">
      <c r="A1118">
        <v>55</v>
      </c>
      <c r="B1118" s="1" t="s">
        <v>8</v>
      </c>
      <c r="C1118">
        <v>36.700000000000003</v>
      </c>
      <c r="D1118">
        <v>2</v>
      </c>
      <c r="E1118" t="s">
        <v>9</v>
      </c>
      <c r="F1118" t="s">
        <v>12</v>
      </c>
      <c r="G1118" s="2">
        <v>23568.272000000001</v>
      </c>
      <c r="H1118" t="str" cm="1">
        <f t="array" ref="H1118">_xlfn.IFS(A1118&lt;=30, "Youth", A1118&lt;=50, "Adult", A1118&gt;50, "Older")</f>
        <v>Older</v>
      </c>
      <c r="I1118" t="str" cm="1">
        <f t="array" ref="I1118">_xlfn.IFS(A1118&lt;=25,"18-25",A1118&lt;=35,"26-35",A1118&lt;=45,"36-45",A1118&lt;=60,"46-60",A1118&gt;60,"60+")</f>
        <v>46-60</v>
      </c>
      <c r="J1118" t="str" cm="1">
        <f t="array" ref="J1118">_xlfn.IFS(C1118&lt;18.5,"Underweight",C1118&lt;25,"Normal",C1118&lt;30,"Overweight",C1118&gt;=30,"Obese")</f>
        <v>Obese</v>
      </c>
      <c r="K1118" t="str" cm="1">
        <f t="array" ref="K1118">_xlfn.IFS(G1118&lt;10000, "Low", G1118&lt;=25000, "Medium", G1118&gt;25000, "High")</f>
        <v>Medium</v>
      </c>
    </row>
    <row r="1119" spans="1:11" x14ac:dyDescent="0.3">
      <c r="A1119">
        <v>55</v>
      </c>
      <c r="B1119" s="1" t="s">
        <v>8</v>
      </c>
      <c r="C1119">
        <v>36.765000000000001</v>
      </c>
      <c r="D1119">
        <v>2</v>
      </c>
      <c r="E1119" t="s">
        <v>9</v>
      </c>
      <c r="F1119" t="s">
        <v>12</v>
      </c>
      <c r="G1119" s="2">
        <v>23807.240600000001</v>
      </c>
      <c r="H1119" t="str" cm="1">
        <f t="array" ref="H1119">_xlfn.IFS(A1119&lt;=30, "Youth", A1119&lt;=50, "Adult", A1119&gt;50, "Older")</f>
        <v>Older</v>
      </c>
      <c r="I1119" t="str" cm="1">
        <f t="array" ref="I1119">_xlfn.IFS(A1119&lt;=25,"18-25",A1119&lt;=35,"26-35",A1119&lt;=45,"36-45",A1119&lt;=60,"46-60",A1119&gt;60,"60+")</f>
        <v>46-60</v>
      </c>
      <c r="J1119" t="str" cm="1">
        <f t="array" ref="J1119">_xlfn.IFS(C1119&lt;18.5,"Underweight",C1119&lt;25,"Normal",C1119&lt;30,"Overweight",C1119&gt;=30,"Obese")</f>
        <v>Obese</v>
      </c>
      <c r="K1119" t="str" cm="1">
        <f t="array" ref="K1119">_xlfn.IFS(G1119&lt;10000, "Low", G1119&lt;=25000, "Medium", G1119&gt;25000, "High")</f>
        <v>Medium</v>
      </c>
    </row>
    <row r="1120" spans="1:11" x14ac:dyDescent="0.3">
      <c r="A1120">
        <v>55</v>
      </c>
      <c r="B1120" s="1" t="s">
        <v>7</v>
      </c>
      <c r="C1120">
        <v>36.765000000000001</v>
      </c>
      <c r="D1120">
        <v>2</v>
      </c>
      <c r="E1120" t="s">
        <v>10</v>
      </c>
      <c r="F1120" t="s">
        <v>13</v>
      </c>
      <c r="G1120" s="2">
        <v>23887.662700000001</v>
      </c>
      <c r="H1120" t="str" cm="1">
        <f t="array" ref="H1120">_xlfn.IFS(A1120&lt;=30, "Youth", A1120&lt;=50, "Adult", A1120&gt;50, "Older")</f>
        <v>Older</v>
      </c>
      <c r="I1120" t="str" cm="1">
        <f t="array" ref="I1120">_xlfn.IFS(A1120&lt;=25,"18-25",A1120&lt;=35,"26-35",A1120&lt;=45,"36-45",A1120&lt;=60,"46-60",A1120&gt;60,"60+")</f>
        <v>46-60</v>
      </c>
      <c r="J1120" t="str" cm="1">
        <f t="array" ref="J1120">_xlfn.IFS(C1120&lt;18.5,"Underweight",C1120&lt;25,"Normal",C1120&lt;30,"Overweight",C1120&gt;=30,"Obese")</f>
        <v>Obese</v>
      </c>
      <c r="K1120" t="str" cm="1">
        <f t="array" ref="K1120">_xlfn.IFS(G1120&lt;10000, "Low", G1120&lt;=25000, "Medium", G1120&gt;25000, "High")</f>
        <v>Medium</v>
      </c>
    </row>
    <row r="1121" spans="1:11" x14ac:dyDescent="0.3">
      <c r="A1121">
        <v>55</v>
      </c>
      <c r="B1121" s="1" t="s">
        <v>7</v>
      </c>
      <c r="C1121">
        <v>36.765000000000001</v>
      </c>
      <c r="D1121">
        <v>2</v>
      </c>
      <c r="E1121" t="s">
        <v>9</v>
      </c>
      <c r="F1121" t="s">
        <v>11</v>
      </c>
      <c r="G1121" s="2">
        <v>23967.38305</v>
      </c>
      <c r="H1121" t="str" cm="1">
        <f t="array" ref="H1121">_xlfn.IFS(A1121&lt;=30, "Youth", A1121&lt;=50, "Adult", A1121&gt;50, "Older")</f>
        <v>Older</v>
      </c>
      <c r="I1121" t="str" cm="1">
        <f t="array" ref="I1121">_xlfn.IFS(A1121&lt;=25,"18-25",A1121&lt;=35,"26-35",A1121&lt;=45,"36-45",A1121&lt;=60,"46-60",A1121&gt;60,"60+")</f>
        <v>46-60</v>
      </c>
      <c r="J1121" t="str" cm="1">
        <f t="array" ref="J1121">_xlfn.IFS(C1121&lt;18.5,"Underweight",C1121&lt;25,"Normal",C1121&lt;30,"Overweight",C1121&gt;=30,"Obese")</f>
        <v>Obese</v>
      </c>
      <c r="K1121" t="str" cm="1">
        <f t="array" ref="K1121">_xlfn.IFS(G1121&lt;10000, "Low", G1121&lt;=25000, "Medium", G1121&gt;25000, "High")</f>
        <v>Medium</v>
      </c>
    </row>
    <row r="1122" spans="1:11" x14ac:dyDescent="0.3">
      <c r="A1122">
        <v>55</v>
      </c>
      <c r="B1122" s="1" t="s">
        <v>8</v>
      </c>
      <c r="C1122">
        <v>36.85</v>
      </c>
      <c r="D1122">
        <v>2</v>
      </c>
      <c r="E1122" t="s">
        <v>10</v>
      </c>
      <c r="F1122" t="s">
        <v>12</v>
      </c>
      <c r="G1122" s="2">
        <v>24059.680189999999</v>
      </c>
      <c r="H1122" t="str" cm="1">
        <f t="array" ref="H1122">_xlfn.IFS(A1122&lt;=30, "Youth", A1122&lt;=50, "Adult", A1122&gt;50, "Older")</f>
        <v>Older</v>
      </c>
      <c r="I1122" t="str" cm="1">
        <f t="array" ref="I1122">_xlfn.IFS(A1122&lt;=25,"18-25",A1122&lt;=35,"26-35",A1122&lt;=45,"36-45",A1122&lt;=60,"46-60",A1122&gt;60,"60+")</f>
        <v>46-60</v>
      </c>
      <c r="J1122" t="str" cm="1">
        <f t="array" ref="J1122">_xlfn.IFS(C1122&lt;18.5,"Underweight",C1122&lt;25,"Normal",C1122&lt;30,"Overweight",C1122&gt;=30,"Obese")</f>
        <v>Obese</v>
      </c>
      <c r="K1122" t="str" cm="1">
        <f t="array" ref="K1122">_xlfn.IFS(G1122&lt;10000, "Low", G1122&lt;=25000, "Medium", G1122&gt;25000, "High")</f>
        <v>Medium</v>
      </c>
    </row>
    <row r="1123" spans="1:11" x14ac:dyDescent="0.3">
      <c r="A1123">
        <v>56</v>
      </c>
      <c r="B1123" s="1" t="s">
        <v>7</v>
      </c>
      <c r="C1123">
        <v>36.85</v>
      </c>
      <c r="D1123">
        <v>2</v>
      </c>
      <c r="E1123" t="s">
        <v>9</v>
      </c>
      <c r="F1123" t="s">
        <v>13</v>
      </c>
      <c r="G1123" s="2">
        <v>24106.912550000001</v>
      </c>
      <c r="H1123" t="str" cm="1">
        <f t="array" ref="H1123">_xlfn.IFS(A1123&lt;=30, "Youth", A1123&lt;=50, "Adult", A1123&gt;50, "Older")</f>
        <v>Older</v>
      </c>
      <c r="I1123" t="str" cm="1">
        <f t="array" ref="I1123">_xlfn.IFS(A1123&lt;=25,"18-25",A1123&lt;=35,"26-35",A1123&lt;=45,"36-45",A1123&lt;=60,"46-60",A1123&gt;60,"60+")</f>
        <v>46-60</v>
      </c>
      <c r="J1123" t="str" cm="1">
        <f t="array" ref="J1123">_xlfn.IFS(C1123&lt;18.5,"Underweight",C1123&lt;25,"Normal",C1123&lt;30,"Overweight",C1123&gt;=30,"Obese")</f>
        <v>Obese</v>
      </c>
      <c r="K1123" t="str" cm="1">
        <f t="array" ref="K1123">_xlfn.IFS(G1123&lt;10000, "Low", G1123&lt;=25000, "Medium", G1123&gt;25000, "High")</f>
        <v>Medium</v>
      </c>
    </row>
    <row r="1124" spans="1:11" x14ac:dyDescent="0.3">
      <c r="A1124">
        <v>56</v>
      </c>
      <c r="B1124" s="1" t="s">
        <v>7</v>
      </c>
      <c r="C1124">
        <v>36.85</v>
      </c>
      <c r="D1124">
        <v>2</v>
      </c>
      <c r="E1124" t="s">
        <v>10</v>
      </c>
      <c r="F1124" t="s">
        <v>14</v>
      </c>
      <c r="G1124" s="2">
        <v>24180.933499999999</v>
      </c>
      <c r="H1124" t="str" cm="1">
        <f t="array" ref="H1124">_xlfn.IFS(A1124&lt;=30, "Youth", A1124&lt;=50, "Adult", A1124&gt;50, "Older")</f>
        <v>Older</v>
      </c>
      <c r="I1124" t="str" cm="1">
        <f t="array" ref="I1124">_xlfn.IFS(A1124&lt;=25,"18-25",A1124&lt;=35,"26-35",A1124&lt;=45,"36-45",A1124&lt;=60,"46-60",A1124&gt;60,"60+")</f>
        <v>46-60</v>
      </c>
      <c r="J1124" t="str" cm="1">
        <f t="array" ref="J1124">_xlfn.IFS(C1124&lt;18.5,"Underweight",C1124&lt;25,"Normal",C1124&lt;30,"Overweight",C1124&gt;=30,"Obese")</f>
        <v>Obese</v>
      </c>
      <c r="K1124" t="str" cm="1">
        <f t="array" ref="K1124">_xlfn.IFS(G1124&lt;10000, "Low", G1124&lt;=25000, "Medium", G1124&gt;25000, "High")</f>
        <v>Medium</v>
      </c>
    </row>
    <row r="1125" spans="1:11" x14ac:dyDescent="0.3">
      <c r="A1125">
        <v>56</v>
      </c>
      <c r="B1125" s="1" t="s">
        <v>7</v>
      </c>
      <c r="C1125">
        <v>36.85</v>
      </c>
      <c r="D1125">
        <v>2</v>
      </c>
      <c r="E1125" t="s">
        <v>9</v>
      </c>
      <c r="F1125" t="s">
        <v>14</v>
      </c>
      <c r="G1125" s="2">
        <v>24227.337240000001</v>
      </c>
      <c r="H1125" t="str" cm="1">
        <f t="array" ref="H1125">_xlfn.IFS(A1125&lt;=30, "Youth", A1125&lt;=50, "Adult", A1125&gt;50, "Older")</f>
        <v>Older</v>
      </c>
      <c r="I1125" t="str" cm="1">
        <f t="array" ref="I1125">_xlfn.IFS(A1125&lt;=25,"18-25",A1125&lt;=35,"26-35",A1125&lt;=45,"36-45",A1125&lt;=60,"46-60",A1125&gt;60,"60+")</f>
        <v>46-60</v>
      </c>
      <c r="J1125" t="str" cm="1">
        <f t="array" ref="J1125">_xlfn.IFS(C1125&lt;18.5,"Underweight",C1125&lt;25,"Normal",C1125&lt;30,"Overweight",C1125&gt;=30,"Obese")</f>
        <v>Obese</v>
      </c>
      <c r="K1125" t="str" cm="1">
        <f t="array" ref="K1125">_xlfn.IFS(G1125&lt;10000, "Low", G1125&lt;=25000, "Medium", G1125&gt;25000, "High")</f>
        <v>Medium</v>
      </c>
    </row>
    <row r="1126" spans="1:11" x14ac:dyDescent="0.3">
      <c r="A1126">
        <v>56</v>
      </c>
      <c r="B1126" s="1" t="s">
        <v>7</v>
      </c>
      <c r="C1126">
        <v>36.85</v>
      </c>
      <c r="D1126">
        <v>2</v>
      </c>
      <c r="E1126" t="s">
        <v>10</v>
      </c>
      <c r="F1126" t="s">
        <v>13</v>
      </c>
      <c r="G1126" s="2">
        <v>24393.6224</v>
      </c>
      <c r="H1126" t="str" cm="1">
        <f t="array" ref="H1126">_xlfn.IFS(A1126&lt;=30, "Youth", A1126&lt;=50, "Adult", A1126&gt;50, "Older")</f>
        <v>Older</v>
      </c>
      <c r="I1126" t="str" cm="1">
        <f t="array" ref="I1126">_xlfn.IFS(A1126&lt;=25,"18-25",A1126&lt;=35,"26-35",A1126&lt;=45,"36-45",A1126&lt;=60,"46-60",A1126&gt;60,"60+")</f>
        <v>46-60</v>
      </c>
      <c r="J1126" t="str" cm="1">
        <f t="array" ref="J1126">_xlfn.IFS(C1126&lt;18.5,"Underweight",C1126&lt;25,"Normal",C1126&lt;30,"Overweight",C1126&gt;=30,"Obese")</f>
        <v>Obese</v>
      </c>
      <c r="K1126" t="str" cm="1">
        <f t="array" ref="K1126">_xlfn.IFS(G1126&lt;10000, "Low", G1126&lt;=25000, "Medium", G1126&gt;25000, "High")</f>
        <v>Medium</v>
      </c>
    </row>
    <row r="1127" spans="1:11" x14ac:dyDescent="0.3">
      <c r="A1127">
        <v>56</v>
      </c>
      <c r="B1127" s="1" t="s">
        <v>8</v>
      </c>
      <c r="C1127">
        <v>36.86</v>
      </c>
      <c r="D1127">
        <v>2</v>
      </c>
      <c r="E1127" t="s">
        <v>10</v>
      </c>
      <c r="F1127" t="s">
        <v>11</v>
      </c>
      <c r="G1127" s="2">
        <v>24476.478510000001</v>
      </c>
      <c r="H1127" t="str" cm="1">
        <f t="array" ref="H1127">_xlfn.IFS(A1127&lt;=30, "Youth", A1127&lt;=50, "Adult", A1127&gt;50, "Older")</f>
        <v>Older</v>
      </c>
      <c r="I1127" t="str" cm="1">
        <f t="array" ref="I1127">_xlfn.IFS(A1127&lt;=25,"18-25",A1127&lt;=35,"26-35",A1127&lt;=45,"36-45",A1127&lt;=60,"46-60",A1127&gt;60,"60+")</f>
        <v>46-60</v>
      </c>
      <c r="J1127" t="str" cm="1">
        <f t="array" ref="J1127">_xlfn.IFS(C1127&lt;18.5,"Underweight",C1127&lt;25,"Normal",C1127&lt;30,"Overweight",C1127&gt;=30,"Obese")</f>
        <v>Obese</v>
      </c>
      <c r="K1127" t="str" cm="1">
        <f t="array" ref="K1127">_xlfn.IFS(G1127&lt;10000, "Low", G1127&lt;=25000, "Medium", G1127&gt;25000, "High")</f>
        <v>Medium</v>
      </c>
    </row>
    <row r="1128" spans="1:11" x14ac:dyDescent="0.3">
      <c r="A1128">
        <v>56</v>
      </c>
      <c r="B1128" s="1" t="s">
        <v>7</v>
      </c>
      <c r="C1128">
        <v>36.86</v>
      </c>
      <c r="D1128">
        <v>2</v>
      </c>
      <c r="E1128" t="s">
        <v>10</v>
      </c>
      <c r="F1128" t="s">
        <v>12</v>
      </c>
      <c r="G1128" s="2">
        <v>24513.091260000001</v>
      </c>
      <c r="H1128" t="str" cm="1">
        <f t="array" ref="H1128">_xlfn.IFS(A1128&lt;=30, "Youth", A1128&lt;=50, "Adult", A1128&gt;50, "Older")</f>
        <v>Older</v>
      </c>
      <c r="I1128" t="str" cm="1">
        <f t="array" ref="I1128">_xlfn.IFS(A1128&lt;=25,"18-25",A1128&lt;=35,"26-35",A1128&lt;=45,"36-45",A1128&lt;=60,"46-60",A1128&gt;60,"60+")</f>
        <v>46-60</v>
      </c>
      <c r="J1128" t="str" cm="1">
        <f t="array" ref="J1128">_xlfn.IFS(C1128&lt;18.5,"Underweight",C1128&lt;25,"Normal",C1128&lt;30,"Overweight",C1128&gt;=30,"Obese")</f>
        <v>Obese</v>
      </c>
      <c r="K1128" t="str" cm="1">
        <f t="array" ref="K1128">_xlfn.IFS(G1128&lt;10000, "Low", G1128&lt;=25000, "Medium", G1128&gt;25000, "High")</f>
        <v>Medium</v>
      </c>
    </row>
    <row r="1129" spans="1:11" x14ac:dyDescent="0.3">
      <c r="A1129">
        <v>56</v>
      </c>
      <c r="B1129" s="1" t="s">
        <v>8</v>
      </c>
      <c r="C1129">
        <v>36.86</v>
      </c>
      <c r="D1129">
        <v>2</v>
      </c>
      <c r="E1129" t="s">
        <v>10</v>
      </c>
      <c r="F1129" t="s">
        <v>11</v>
      </c>
      <c r="G1129" s="2">
        <v>24520.263999999999</v>
      </c>
      <c r="H1129" t="str" cm="1">
        <f t="array" ref="H1129">_xlfn.IFS(A1129&lt;=30, "Youth", A1129&lt;=50, "Adult", A1129&gt;50, "Older")</f>
        <v>Older</v>
      </c>
      <c r="I1129" t="str" cm="1">
        <f t="array" ref="I1129">_xlfn.IFS(A1129&lt;=25,"18-25",A1129&lt;=35,"26-35",A1129&lt;=45,"36-45",A1129&lt;=60,"46-60",A1129&gt;60,"60+")</f>
        <v>46-60</v>
      </c>
      <c r="J1129" t="str" cm="1">
        <f t="array" ref="J1129">_xlfn.IFS(C1129&lt;18.5,"Underweight",C1129&lt;25,"Normal",C1129&lt;30,"Overweight",C1129&gt;=30,"Obese")</f>
        <v>Obese</v>
      </c>
      <c r="K1129" t="str" cm="1">
        <f t="array" ref="K1129">_xlfn.IFS(G1129&lt;10000, "Low", G1129&lt;=25000, "Medium", G1129&gt;25000, "High")</f>
        <v>Medium</v>
      </c>
    </row>
    <row r="1130" spans="1:11" x14ac:dyDescent="0.3">
      <c r="A1130">
        <v>56</v>
      </c>
      <c r="B1130" s="1" t="s">
        <v>7</v>
      </c>
      <c r="C1130">
        <v>36.954999999999998</v>
      </c>
      <c r="D1130">
        <v>2</v>
      </c>
      <c r="E1130" t="s">
        <v>10</v>
      </c>
      <c r="F1130" t="s">
        <v>11</v>
      </c>
      <c r="G1130" s="2">
        <v>24535.698550000001</v>
      </c>
      <c r="H1130" t="str" cm="1">
        <f t="array" ref="H1130">_xlfn.IFS(A1130&lt;=30, "Youth", A1130&lt;=50, "Adult", A1130&gt;50, "Older")</f>
        <v>Older</v>
      </c>
      <c r="I1130" t="str" cm="1">
        <f t="array" ref="I1130">_xlfn.IFS(A1130&lt;=25,"18-25",A1130&lt;=35,"26-35",A1130&lt;=45,"36-45",A1130&lt;=60,"46-60",A1130&gt;60,"60+")</f>
        <v>46-60</v>
      </c>
      <c r="J1130" t="str" cm="1">
        <f t="array" ref="J1130">_xlfn.IFS(C1130&lt;18.5,"Underweight",C1130&lt;25,"Normal",C1130&lt;30,"Overweight",C1130&gt;=30,"Obese")</f>
        <v>Obese</v>
      </c>
      <c r="K1130" t="str" cm="1">
        <f t="array" ref="K1130">_xlfn.IFS(G1130&lt;10000, "Low", G1130&lt;=25000, "Medium", G1130&gt;25000, "High")</f>
        <v>Medium</v>
      </c>
    </row>
    <row r="1131" spans="1:11" x14ac:dyDescent="0.3">
      <c r="A1131">
        <v>56</v>
      </c>
      <c r="B1131" s="1" t="s">
        <v>7</v>
      </c>
      <c r="C1131">
        <v>36.954999999999998</v>
      </c>
      <c r="D1131">
        <v>2</v>
      </c>
      <c r="E1131" t="s">
        <v>10</v>
      </c>
      <c r="F1131" t="s">
        <v>12</v>
      </c>
      <c r="G1131" s="2">
        <v>24603.04837</v>
      </c>
      <c r="H1131" t="str" cm="1">
        <f t="array" ref="H1131">_xlfn.IFS(A1131&lt;=30, "Youth", A1131&lt;=50, "Adult", A1131&gt;50, "Older")</f>
        <v>Older</v>
      </c>
      <c r="I1131" t="str" cm="1">
        <f t="array" ref="I1131">_xlfn.IFS(A1131&lt;=25,"18-25",A1131&lt;=35,"26-35",A1131&lt;=45,"36-45",A1131&lt;=60,"46-60",A1131&gt;60,"60+")</f>
        <v>46-60</v>
      </c>
      <c r="J1131" t="str" cm="1">
        <f t="array" ref="J1131">_xlfn.IFS(C1131&lt;18.5,"Underweight",C1131&lt;25,"Normal",C1131&lt;30,"Overweight",C1131&gt;=30,"Obese")</f>
        <v>Obese</v>
      </c>
      <c r="K1131" t="str" cm="1">
        <f t="array" ref="K1131">_xlfn.IFS(G1131&lt;10000, "Low", G1131&lt;=25000, "Medium", G1131&gt;25000, "High")</f>
        <v>Medium</v>
      </c>
    </row>
    <row r="1132" spans="1:11" x14ac:dyDescent="0.3">
      <c r="A1132">
        <v>56</v>
      </c>
      <c r="B1132" s="1" t="s">
        <v>8</v>
      </c>
      <c r="C1132">
        <v>36.954999999999998</v>
      </c>
      <c r="D1132">
        <v>2</v>
      </c>
      <c r="E1132" t="s">
        <v>10</v>
      </c>
      <c r="F1132" t="s">
        <v>11</v>
      </c>
      <c r="G1132" s="2">
        <v>24667.419000000002</v>
      </c>
      <c r="H1132" t="str" cm="1">
        <f t="array" ref="H1132">_xlfn.IFS(A1132&lt;=30, "Youth", A1132&lt;=50, "Adult", A1132&gt;50, "Older")</f>
        <v>Older</v>
      </c>
      <c r="I1132" t="str" cm="1">
        <f t="array" ref="I1132">_xlfn.IFS(A1132&lt;=25,"18-25",A1132&lt;=35,"26-35",A1132&lt;=45,"36-45",A1132&lt;=60,"46-60",A1132&gt;60,"60+")</f>
        <v>46-60</v>
      </c>
      <c r="J1132" t="str" cm="1">
        <f t="array" ref="J1132">_xlfn.IFS(C1132&lt;18.5,"Underweight",C1132&lt;25,"Normal",C1132&lt;30,"Overweight",C1132&gt;=30,"Obese")</f>
        <v>Obese</v>
      </c>
      <c r="K1132" t="str" cm="1">
        <f t="array" ref="K1132">_xlfn.IFS(G1132&lt;10000, "Low", G1132&lt;=25000, "Medium", G1132&gt;25000, "High")</f>
        <v>Medium</v>
      </c>
    </row>
    <row r="1133" spans="1:11" x14ac:dyDescent="0.3">
      <c r="A1133">
        <v>56</v>
      </c>
      <c r="B1133" s="1" t="s">
        <v>8</v>
      </c>
      <c r="C1133">
        <v>36.954999999999998</v>
      </c>
      <c r="D1133">
        <v>2</v>
      </c>
      <c r="E1133" t="s">
        <v>10</v>
      </c>
      <c r="F1133" t="s">
        <v>14</v>
      </c>
      <c r="G1133" s="2">
        <v>24671.663339999999</v>
      </c>
      <c r="H1133" t="str" cm="1">
        <f t="array" ref="H1133">_xlfn.IFS(A1133&lt;=30, "Youth", A1133&lt;=50, "Adult", A1133&gt;50, "Older")</f>
        <v>Older</v>
      </c>
      <c r="I1133" t="str" cm="1">
        <f t="array" ref="I1133">_xlfn.IFS(A1133&lt;=25,"18-25",A1133&lt;=35,"26-35",A1133&lt;=45,"36-45",A1133&lt;=60,"46-60",A1133&gt;60,"60+")</f>
        <v>46-60</v>
      </c>
      <c r="J1133" t="str" cm="1">
        <f t="array" ref="J1133">_xlfn.IFS(C1133&lt;18.5,"Underweight",C1133&lt;25,"Normal",C1133&lt;30,"Overweight",C1133&gt;=30,"Obese")</f>
        <v>Obese</v>
      </c>
      <c r="K1133" t="str" cm="1">
        <f t="array" ref="K1133">_xlfn.IFS(G1133&lt;10000, "Low", G1133&lt;=25000, "Medium", G1133&gt;25000, "High")</f>
        <v>Medium</v>
      </c>
    </row>
    <row r="1134" spans="1:11" x14ac:dyDescent="0.3">
      <c r="A1134">
        <v>56</v>
      </c>
      <c r="B1134" s="1" t="s">
        <v>7</v>
      </c>
      <c r="C1134">
        <v>36.96</v>
      </c>
      <c r="D1134">
        <v>2</v>
      </c>
      <c r="E1134" t="s">
        <v>10</v>
      </c>
      <c r="F1134" t="s">
        <v>13</v>
      </c>
      <c r="G1134" s="2">
        <v>24869.836800000001</v>
      </c>
      <c r="H1134" t="str" cm="1">
        <f t="array" ref="H1134">_xlfn.IFS(A1134&lt;=30, "Youth", A1134&lt;=50, "Adult", A1134&gt;50, "Older")</f>
        <v>Older</v>
      </c>
      <c r="I1134" t="str" cm="1">
        <f t="array" ref="I1134">_xlfn.IFS(A1134&lt;=25,"18-25",A1134&lt;=35,"26-35",A1134&lt;=45,"36-45",A1134&lt;=60,"46-60",A1134&gt;60,"60+")</f>
        <v>46-60</v>
      </c>
      <c r="J1134" t="str" cm="1">
        <f t="array" ref="J1134">_xlfn.IFS(C1134&lt;18.5,"Underweight",C1134&lt;25,"Normal",C1134&lt;30,"Overweight",C1134&gt;=30,"Obese")</f>
        <v>Obese</v>
      </c>
      <c r="K1134" t="str" cm="1">
        <f t="array" ref="K1134">_xlfn.IFS(G1134&lt;10000, "Low", G1134&lt;=25000, "Medium", G1134&gt;25000, "High")</f>
        <v>Medium</v>
      </c>
    </row>
    <row r="1135" spans="1:11" x14ac:dyDescent="0.3">
      <c r="A1135">
        <v>56</v>
      </c>
      <c r="B1135" s="1" t="s">
        <v>8</v>
      </c>
      <c r="C1135">
        <v>37</v>
      </c>
      <c r="D1135">
        <v>2</v>
      </c>
      <c r="E1135" t="s">
        <v>10</v>
      </c>
      <c r="F1135" t="s">
        <v>13</v>
      </c>
      <c r="G1135" s="2">
        <v>24873.384900000001</v>
      </c>
      <c r="H1135" t="str" cm="1">
        <f t="array" ref="H1135">_xlfn.IFS(A1135&lt;=30, "Youth", A1135&lt;=50, "Adult", A1135&gt;50, "Older")</f>
        <v>Older</v>
      </c>
      <c r="I1135" t="str" cm="1">
        <f t="array" ref="I1135">_xlfn.IFS(A1135&lt;=25,"18-25",A1135&lt;=35,"26-35",A1135&lt;=45,"36-45",A1135&lt;=60,"46-60",A1135&gt;60,"60+")</f>
        <v>46-60</v>
      </c>
      <c r="J1135" t="str" cm="1">
        <f t="array" ref="J1135">_xlfn.IFS(C1135&lt;18.5,"Underweight",C1135&lt;25,"Normal",C1135&lt;30,"Overweight",C1135&gt;=30,"Obese")</f>
        <v>Obese</v>
      </c>
      <c r="K1135" t="str" cm="1">
        <f t="array" ref="K1135">_xlfn.IFS(G1135&lt;10000, "Low", G1135&lt;=25000, "Medium", G1135&gt;25000, "High")</f>
        <v>Medium</v>
      </c>
    </row>
    <row r="1136" spans="1:11" x14ac:dyDescent="0.3">
      <c r="A1136">
        <v>56</v>
      </c>
      <c r="B1136" s="1" t="s">
        <v>7</v>
      </c>
      <c r="C1136">
        <v>37</v>
      </c>
      <c r="D1136">
        <v>2</v>
      </c>
      <c r="E1136" t="s">
        <v>10</v>
      </c>
      <c r="F1136" t="s">
        <v>13</v>
      </c>
      <c r="G1136" s="2">
        <v>24915.046259999999</v>
      </c>
      <c r="H1136" t="str" cm="1">
        <f t="array" ref="H1136">_xlfn.IFS(A1136&lt;=30, "Youth", A1136&lt;=50, "Adult", A1136&gt;50, "Older")</f>
        <v>Older</v>
      </c>
      <c r="I1136" t="str" cm="1">
        <f t="array" ref="I1136">_xlfn.IFS(A1136&lt;=25,"18-25",A1136&lt;=35,"26-35",A1136&lt;=45,"36-45",A1136&lt;=60,"46-60",A1136&gt;60,"60+")</f>
        <v>46-60</v>
      </c>
      <c r="J1136" t="str" cm="1">
        <f t="array" ref="J1136">_xlfn.IFS(C1136&lt;18.5,"Underweight",C1136&lt;25,"Normal",C1136&lt;30,"Overweight",C1136&gt;=30,"Obese")</f>
        <v>Obese</v>
      </c>
      <c r="K1136" t="str" cm="1">
        <f t="array" ref="K1136">_xlfn.IFS(G1136&lt;10000, "Low", G1136&lt;=25000, "Medium", G1136&gt;25000, "High")</f>
        <v>Medium</v>
      </c>
    </row>
    <row r="1137" spans="1:11" x14ac:dyDescent="0.3">
      <c r="A1137">
        <v>56</v>
      </c>
      <c r="B1137" s="1" t="s">
        <v>7</v>
      </c>
      <c r="C1137">
        <v>37.049999999999997</v>
      </c>
      <c r="D1137">
        <v>2</v>
      </c>
      <c r="E1137" t="s">
        <v>10</v>
      </c>
      <c r="F1137" t="s">
        <v>11</v>
      </c>
      <c r="G1137" s="2">
        <v>24915.220850000002</v>
      </c>
      <c r="H1137" t="str" cm="1">
        <f t="array" ref="H1137">_xlfn.IFS(A1137&lt;=30, "Youth", A1137&lt;=50, "Adult", A1137&gt;50, "Older")</f>
        <v>Older</v>
      </c>
      <c r="I1137" t="str" cm="1">
        <f t="array" ref="I1137">_xlfn.IFS(A1137&lt;=25,"18-25",A1137&lt;=35,"26-35",A1137&lt;=45,"36-45",A1137&lt;=60,"46-60",A1137&gt;60,"60+")</f>
        <v>46-60</v>
      </c>
      <c r="J1137" t="str" cm="1">
        <f t="array" ref="J1137">_xlfn.IFS(C1137&lt;18.5,"Underweight",C1137&lt;25,"Normal",C1137&lt;30,"Overweight",C1137&gt;=30,"Obese")</f>
        <v>Obese</v>
      </c>
      <c r="K1137" t="str" cm="1">
        <f t="array" ref="K1137">_xlfn.IFS(G1137&lt;10000, "Low", G1137&lt;=25000, "Medium", G1137&gt;25000, "High")</f>
        <v>Medium</v>
      </c>
    </row>
    <row r="1138" spans="1:11" x14ac:dyDescent="0.3">
      <c r="A1138">
        <v>56</v>
      </c>
      <c r="B1138" s="1" t="s">
        <v>7</v>
      </c>
      <c r="C1138">
        <v>37.049999999999997</v>
      </c>
      <c r="D1138">
        <v>2</v>
      </c>
      <c r="E1138" t="s">
        <v>10</v>
      </c>
      <c r="F1138" t="s">
        <v>13</v>
      </c>
      <c r="G1138" s="2">
        <v>25081.76784</v>
      </c>
      <c r="H1138" t="str" cm="1">
        <f t="array" ref="H1138">_xlfn.IFS(A1138&lt;=30, "Youth", A1138&lt;=50, "Adult", A1138&gt;50, "Older")</f>
        <v>Older</v>
      </c>
      <c r="I1138" t="str" cm="1">
        <f t="array" ref="I1138">_xlfn.IFS(A1138&lt;=25,"18-25",A1138&lt;=35,"26-35",A1138&lt;=45,"36-45",A1138&lt;=60,"46-60",A1138&gt;60,"60+")</f>
        <v>46-60</v>
      </c>
      <c r="J1138" t="str" cm="1">
        <f t="array" ref="J1138">_xlfn.IFS(C1138&lt;18.5,"Underweight",C1138&lt;25,"Normal",C1138&lt;30,"Overweight",C1138&gt;=30,"Obese")</f>
        <v>Obese</v>
      </c>
      <c r="K1138" t="str" cm="1">
        <f t="array" ref="K1138">_xlfn.IFS(G1138&lt;10000, "Low", G1138&lt;=25000, "Medium", G1138&gt;25000, "High")</f>
        <v>High</v>
      </c>
    </row>
    <row r="1139" spans="1:11" x14ac:dyDescent="0.3">
      <c r="A1139">
        <v>56</v>
      </c>
      <c r="B1139" s="1" t="s">
        <v>8</v>
      </c>
      <c r="C1139">
        <v>37.049999999999997</v>
      </c>
      <c r="D1139">
        <v>3</v>
      </c>
      <c r="E1139" t="s">
        <v>10</v>
      </c>
      <c r="F1139" t="s">
        <v>12</v>
      </c>
      <c r="G1139" s="2">
        <v>25309.489000000001</v>
      </c>
      <c r="H1139" t="str" cm="1">
        <f t="array" ref="H1139">_xlfn.IFS(A1139&lt;=30, "Youth", A1139&lt;=50, "Adult", A1139&gt;50, "Older")</f>
        <v>Older</v>
      </c>
      <c r="I1139" t="str" cm="1">
        <f t="array" ref="I1139">_xlfn.IFS(A1139&lt;=25,"18-25",A1139&lt;=35,"26-35",A1139&lt;=45,"36-45",A1139&lt;=60,"46-60",A1139&gt;60,"60+")</f>
        <v>46-60</v>
      </c>
      <c r="J1139" t="str" cm="1">
        <f t="array" ref="J1139">_xlfn.IFS(C1139&lt;18.5,"Underweight",C1139&lt;25,"Normal",C1139&lt;30,"Overweight",C1139&gt;=30,"Obese")</f>
        <v>Obese</v>
      </c>
      <c r="K1139" t="str" cm="1">
        <f t="array" ref="K1139">_xlfn.IFS(G1139&lt;10000, "Low", G1139&lt;=25000, "Medium", G1139&gt;25000, "High")</f>
        <v>High</v>
      </c>
    </row>
    <row r="1140" spans="1:11" x14ac:dyDescent="0.3">
      <c r="A1140">
        <v>56</v>
      </c>
      <c r="B1140" s="1" t="s">
        <v>7</v>
      </c>
      <c r="C1140">
        <v>37.07</v>
      </c>
      <c r="D1140">
        <v>3</v>
      </c>
      <c r="E1140" t="s">
        <v>9</v>
      </c>
      <c r="F1140" t="s">
        <v>13</v>
      </c>
      <c r="G1140" s="2">
        <v>25333.332839999999</v>
      </c>
      <c r="H1140" t="str" cm="1">
        <f t="array" ref="H1140">_xlfn.IFS(A1140&lt;=30, "Youth", A1140&lt;=50, "Adult", A1140&gt;50, "Older")</f>
        <v>Older</v>
      </c>
      <c r="I1140" t="str" cm="1">
        <f t="array" ref="I1140">_xlfn.IFS(A1140&lt;=25,"18-25",A1140&lt;=35,"26-35",A1140&lt;=45,"36-45",A1140&lt;=60,"46-60",A1140&gt;60,"60+")</f>
        <v>46-60</v>
      </c>
      <c r="J1140" t="str" cm="1">
        <f t="array" ref="J1140">_xlfn.IFS(C1140&lt;18.5,"Underweight",C1140&lt;25,"Normal",C1140&lt;30,"Overweight",C1140&gt;=30,"Obese")</f>
        <v>Obese</v>
      </c>
      <c r="K1140" t="str" cm="1">
        <f t="array" ref="K1140">_xlfn.IFS(G1140&lt;10000, "Low", G1140&lt;=25000, "Medium", G1140&gt;25000, "High")</f>
        <v>High</v>
      </c>
    </row>
    <row r="1141" spans="1:11" x14ac:dyDescent="0.3">
      <c r="A1141">
        <v>56</v>
      </c>
      <c r="B1141" s="1" t="s">
        <v>8</v>
      </c>
      <c r="C1141">
        <v>37.07</v>
      </c>
      <c r="D1141">
        <v>3</v>
      </c>
      <c r="E1141" t="s">
        <v>10</v>
      </c>
      <c r="F1141" t="s">
        <v>12</v>
      </c>
      <c r="G1141" s="2">
        <v>25382.296999999999</v>
      </c>
      <c r="H1141" t="str" cm="1">
        <f t="array" ref="H1141">_xlfn.IFS(A1141&lt;=30, "Youth", A1141&lt;=50, "Adult", A1141&gt;50, "Older")</f>
        <v>Older</v>
      </c>
      <c r="I1141" t="str" cm="1">
        <f t="array" ref="I1141">_xlfn.IFS(A1141&lt;=25,"18-25",A1141&lt;=35,"26-35",A1141&lt;=45,"36-45",A1141&lt;=60,"46-60",A1141&gt;60,"60+")</f>
        <v>46-60</v>
      </c>
      <c r="J1141" t="str" cm="1">
        <f t="array" ref="J1141">_xlfn.IFS(C1141&lt;18.5,"Underweight",C1141&lt;25,"Normal",C1141&lt;30,"Overweight",C1141&gt;=30,"Obese")</f>
        <v>Obese</v>
      </c>
      <c r="K1141" t="str" cm="1">
        <f t="array" ref="K1141">_xlfn.IFS(G1141&lt;10000, "Low", G1141&lt;=25000, "Medium", G1141&gt;25000, "High")</f>
        <v>High</v>
      </c>
    </row>
    <row r="1142" spans="1:11" x14ac:dyDescent="0.3">
      <c r="A1142">
        <v>56</v>
      </c>
      <c r="B1142" s="1" t="s">
        <v>7</v>
      </c>
      <c r="C1142">
        <v>37.07</v>
      </c>
      <c r="D1142">
        <v>3</v>
      </c>
      <c r="E1142" t="s">
        <v>10</v>
      </c>
      <c r="F1142" t="s">
        <v>11</v>
      </c>
      <c r="G1142" s="2">
        <v>25517.11363</v>
      </c>
      <c r="H1142" t="str" cm="1">
        <f t="array" ref="H1142">_xlfn.IFS(A1142&lt;=30, "Youth", A1142&lt;=50, "Adult", A1142&gt;50, "Older")</f>
        <v>Older</v>
      </c>
      <c r="I1142" t="str" cm="1">
        <f t="array" ref="I1142">_xlfn.IFS(A1142&lt;=25,"18-25",A1142&lt;=35,"26-35",A1142&lt;=45,"36-45",A1142&lt;=60,"46-60",A1142&gt;60,"60+")</f>
        <v>46-60</v>
      </c>
      <c r="J1142" t="str" cm="1">
        <f t="array" ref="J1142">_xlfn.IFS(C1142&lt;18.5,"Underweight",C1142&lt;25,"Normal",C1142&lt;30,"Overweight",C1142&gt;=30,"Obese")</f>
        <v>Obese</v>
      </c>
      <c r="K1142" t="str" cm="1">
        <f t="array" ref="K1142">_xlfn.IFS(G1142&lt;10000, "Low", G1142&lt;=25000, "Medium", G1142&gt;25000, "High")</f>
        <v>High</v>
      </c>
    </row>
    <row r="1143" spans="1:11" x14ac:dyDescent="0.3">
      <c r="A1143">
        <v>56</v>
      </c>
      <c r="B1143" s="1" t="s">
        <v>7</v>
      </c>
      <c r="C1143">
        <v>37.1</v>
      </c>
      <c r="D1143">
        <v>3</v>
      </c>
      <c r="E1143" t="s">
        <v>10</v>
      </c>
      <c r="F1143" t="s">
        <v>12</v>
      </c>
      <c r="G1143" s="2">
        <v>25656.575260000001</v>
      </c>
      <c r="H1143" t="str" cm="1">
        <f t="array" ref="H1143">_xlfn.IFS(A1143&lt;=30, "Youth", A1143&lt;=50, "Adult", A1143&gt;50, "Older")</f>
        <v>Older</v>
      </c>
      <c r="I1143" t="str" cm="1">
        <f t="array" ref="I1143">_xlfn.IFS(A1143&lt;=25,"18-25",A1143&lt;=35,"26-35",A1143&lt;=45,"36-45",A1143&lt;=60,"46-60",A1143&gt;60,"60+")</f>
        <v>46-60</v>
      </c>
      <c r="J1143" t="str" cm="1">
        <f t="array" ref="J1143">_xlfn.IFS(C1143&lt;18.5,"Underweight",C1143&lt;25,"Normal",C1143&lt;30,"Overweight",C1143&gt;=30,"Obese")</f>
        <v>Obese</v>
      </c>
      <c r="K1143" t="str" cm="1">
        <f t="array" ref="K1143">_xlfn.IFS(G1143&lt;10000, "Low", G1143&lt;=25000, "Medium", G1143&gt;25000, "High")</f>
        <v>High</v>
      </c>
    </row>
    <row r="1144" spans="1:11" x14ac:dyDescent="0.3">
      <c r="A1144">
        <v>56</v>
      </c>
      <c r="B1144" s="1" t="s">
        <v>8</v>
      </c>
      <c r="C1144">
        <v>37.1</v>
      </c>
      <c r="D1144">
        <v>3</v>
      </c>
      <c r="E1144" t="s">
        <v>10</v>
      </c>
      <c r="F1144" t="s">
        <v>12</v>
      </c>
      <c r="G1144" s="2">
        <v>25678.778450000002</v>
      </c>
      <c r="H1144" t="str" cm="1">
        <f t="array" ref="H1144">_xlfn.IFS(A1144&lt;=30, "Youth", A1144&lt;=50, "Adult", A1144&gt;50, "Older")</f>
        <v>Older</v>
      </c>
      <c r="I1144" t="str" cm="1">
        <f t="array" ref="I1144">_xlfn.IFS(A1144&lt;=25,"18-25",A1144&lt;=35,"26-35",A1144&lt;=45,"36-45",A1144&lt;=60,"46-60",A1144&gt;60,"60+")</f>
        <v>46-60</v>
      </c>
      <c r="J1144" t="str" cm="1">
        <f t="array" ref="J1144">_xlfn.IFS(C1144&lt;18.5,"Underweight",C1144&lt;25,"Normal",C1144&lt;30,"Overweight",C1144&gt;=30,"Obese")</f>
        <v>Obese</v>
      </c>
      <c r="K1144" t="str" cm="1">
        <f t="array" ref="K1144">_xlfn.IFS(G1144&lt;10000, "Low", G1144&lt;=25000, "Medium", G1144&gt;25000, "High")</f>
        <v>High</v>
      </c>
    </row>
    <row r="1145" spans="1:11" x14ac:dyDescent="0.3">
      <c r="A1145">
        <v>56</v>
      </c>
      <c r="B1145" s="1" t="s">
        <v>8</v>
      </c>
      <c r="C1145">
        <v>37.1</v>
      </c>
      <c r="D1145">
        <v>3</v>
      </c>
      <c r="E1145" t="s">
        <v>10</v>
      </c>
      <c r="F1145" t="s">
        <v>11</v>
      </c>
      <c r="G1145" s="2">
        <v>25992.821039999999</v>
      </c>
      <c r="H1145" t="str" cm="1">
        <f t="array" ref="H1145">_xlfn.IFS(A1145&lt;=30, "Youth", A1145&lt;=50, "Adult", A1145&gt;50, "Older")</f>
        <v>Older</v>
      </c>
      <c r="I1145" t="str" cm="1">
        <f t="array" ref="I1145">_xlfn.IFS(A1145&lt;=25,"18-25",A1145&lt;=35,"26-35",A1145&lt;=45,"36-45",A1145&lt;=60,"46-60",A1145&gt;60,"60+")</f>
        <v>46-60</v>
      </c>
      <c r="J1145" t="str" cm="1">
        <f t="array" ref="J1145">_xlfn.IFS(C1145&lt;18.5,"Underweight",C1145&lt;25,"Normal",C1145&lt;30,"Overweight",C1145&gt;=30,"Obese")</f>
        <v>Obese</v>
      </c>
      <c r="K1145" t="str" cm="1">
        <f t="array" ref="K1145">_xlfn.IFS(G1145&lt;10000, "Low", G1145&lt;=25000, "Medium", G1145&gt;25000, "High")</f>
        <v>High</v>
      </c>
    </row>
    <row r="1146" spans="1:11" x14ac:dyDescent="0.3">
      <c r="A1146">
        <v>56</v>
      </c>
      <c r="B1146" s="1" t="s">
        <v>8</v>
      </c>
      <c r="C1146">
        <v>37.1</v>
      </c>
      <c r="D1146">
        <v>3</v>
      </c>
      <c r="E1146" t="s">
        <v>10</v>
      </c>
      <c r="F1146" t="s">
        <v>13</v>
      </c>
      <c r="G1146" s="2">
        <v>26018.950519999999</v>
      </c>
      <c r="H1146" t="str" cm="1">
        <f t="array" ref="H1146">_xlfn.IFS(A1146&lt;=30, "Youth", A1146&lt;=50, "Adult", A1146&gt;50, "Older")</f>
        <v>Older</v>
      </c>
      <c r="I1146" t="str" cm="1">
        <f t="array" ref="I1146">_xlfn.IFS(A1146&lt;=25,"18-25",A1146&lt;=35,"26-35",A1146&lt;=45,"36-45",A1146&lt;=60,"46-60",A1146&gt;60,"60+")</f>
        <v>46-60</v>
      </c>
      <c r="J1146" t="str" cm="1">
        <f t="array" ref="J1146">_xlfn.IFS(C1146&lt;18.5,"Underweight",C1146&lt;25,"Normal",C1146&lt;30,"Overweight",C1146&gt;=30,"Obese")</f>
        <v>Obese</v>
      </c>
      <c r="K1146" t="str" cm="1">
        <f t="array" ref="K1146">_xlfn.IFS(G1146&lt;10000, "Low", G1146&lt;=25000, "Medium", G1146&gt;25000, "High")</f>
        <v>High</v>
      </c>
    </row>
    <row r="1147" spans="1:11" x14ac:dyDescent="0.3">
      <c r="A1147">
        <v>56</v>
      </c>
      <c r="B1147" s="1" t="s">
        <v>8</v>
      </c>
      <c r="C1147">
        <v>37.1</v>
      </c>
      <c r="D1147">
        <v>3</v>
      </c>
      <c r="E1147" t="s">
        <v>9</v>
      </c>
      <c r="F1147" t="s">
        <v>11</v>
      </c>
      <c r="G1147" s="2">
        <v>26109.32905</v>
      </c>
      <c r="H1147" t="str" cm="1">
        <f t="array" ref="H1147">_xlfn.IFS(A1147&lt;=30, "Youth", A1147&lt;=50, "Adult", A1147&gt;50, "Older")</f>
        <v>Older</v>
      </c>
      <c r="I1147" t="str" cm="1">
        <f t="array" ref="I1147">_xlfn.IFS(A1147&lt;=25,"18-25",A1147&lt;=35,"26-35",A1147&lt;=45,"36-45",A1147&lt;=60,"46-60",A1147&gt;60,"60+")</f>
        <v>46-60</v>
      </c>
      <c r="J1147" t="str" cm="1">
        <f t="array" ref="J1147">_xlfn.IFS(C1147&lt;18.5,"Underweight",C1147&lt;25,"Normal",C1147&lt;30,"Overweight",C1147&gt;=30,"Obese")</f>
        <v>Obese</v>
      </c>
      <c r="K1147" t="str" cm="1">
        <f t="array" ref="K1147">_xlfn.IFS(G1147&lt;10000, "Low", G1147&lt;=25000, "Medium", G1147&gt;25000, "High")</f>
        <v>High</v>
      </c>
    </row>
    <row r="1148" spans="1:11" x14ac:dyDescent="0.3">
      <c r="A1148">
        <v>56</v>
      </c>
      <c r="B1148" s="1" t="s">
        <v>7</v>
      </c>
      <c r="C1148">
        <v>37.1</v>
      </c>
      <c r="D1148">
        <v>3</v>
      </c>
      <c r="E1148" t="s">
        <v>10</v>
      </c>
      <c r="F1148" t="s">
        <v>13</v>
      </c>
      <c r="G1148" s="2">
        <v>26125.674770000001</v>
      </c>
      <c r="H1148" t="str" cm="1">
        <f t="array" ref="H1148">_xlfn.IFS(A1148&lt;=30, "Youth", A1148&lt;=50, "Adult", A1148&gt;50, "Older")</f>
        <v>Older</v>
      </c>
      <c r="I1148" t="str" cm="1">
        <f t="array" ref="I1148">_xlfn.IFS(A1148&lt;=25,"18-25",A1148&lt;=35,"26-35",A1148&lt;=45,"36-45",A1148&lt;=60,"46-60",A1148&gt;60,"60+")</f>
        <v>46-60</v>
      </c>
      <c r="J1148" t="str" cm="1">
        <f t="array" ref="J1148">_xlfn.IFS(C1148&lt;18.5,"Underweight",C1148&lt;25,"Normal",C1148&lt;30,"Overweight",C1148&gt;=30,"Obese")</f>
        <v>Obese</v>
      </c>
      <c r="K1148" t="str" cm="1">
        <f t="array" ref="K1148">_xlfn.IFS(G1148&lt;10000, "Low", G1148&lt;=25000, "Medium", G1148&gt;25000, "High")</f>
        <v>High</v>
      </c>
    </row>
    <row r="1149" spans="1:11" x14ac:dyDescent="0.3">
      <c r="A1149">
        <v>57</v>
      </c>
      <c r="B1149" s="1" t="s">
        <v>8</v>
      </c>
      <c r="C1149">
        <v>37.145000000000003</v>
      </c>
      <c r="D1149">
        <v>3</v>
      </c>
      <c r="E1149" t="s">
        <v>10</v>
      </c>
      <c r="F1149" t="s">
        <v>11</v>
      </c>
      <c r="G1149" s="2">
        <v>26140.3603</v>
      </c>
      <c r="H1149" t="str" cm="1">
        <f t="array" ref="H1149">_xlfn.IFS(A1149&lt;=30, "Youth", A1149&lt;=50, "Adult", A1149&gt;50, "Older")</f>
        <v>Older</v>
      </c>
      <c r="I1149" t="str" cm="1">
        <f t="array" ref="I1149">_xlfn.IFS(A1149&lt;=25,"18-25",A1149&lt;=35,"26-35",A1149&lt;=45,"36-45",A1149&lt;=60,"46-60",A1149&gt;60,"60+")</f>
        <v>46-60</v>
      </c>
      <c r="J1149" t="str" cm="1">
        <f t="array" ref="J1149">_xlfn.IFS(C1149&lt;18.5,"Underweight",C1149&lt;25,"Normal",C1149&lt;30,"Overweight",C1149&gt;=30,"Obese")</f>
        <v>Obese</v>
      </c>
      <c r="K1149" t="str" cm="1">
        <f t="array" ref="K1149">_xlfn.IFS(G1149&lt;10000, "Low", G1149&lt;=25000, "Medium", G1149&gt;25000, "High")</f>
        <v>High</v>
      </c>
    </row>
    <row r="1150" spans="1:11" x14ac:dyDescent="0.3">
      <c r="A1150">
        <v>57</v>
      </c>
      <c r="B1150" s="1" t="s">
        <v>8</v>
      </c>
      <c r="C1150">
        <v>37.18</v>
      </c>
      <c r="D1150">
        <v>3</v>
      </c>
      <c r="E1150" t="s">
        <v>10</v>
      </c>
      <c r="F1150" t="s">
        <v>11</v>
      </c>
      <c r="G1150" s="2">
        <v>26236.579969999999</v>
      </c>
      <c r="H1150" t="str" cm="1">
        <f t="array" ref="H1150">_xlfn.IFS(A1150&lt;=30, "Youth", A1150&lt;=50, "Adult", A1150&gt;50, "Older")</f>
        <v>Older</v>
      </c>
      <c r="I1150" t="str" cm="1">
        <f t="array" ref="I1150">_xlfn.IFS(A1150&lt;=25,"18-25",A1150&lt;=35,"26-35",A1150&lt;=45,"36-45",A1150&lt;=60,"46-60",A1150&gt;60,"60+")</f>
        <v>46-60</v>
      </c>
      <c r="J1150" t="str" cm="1">
        <f t="array" ref="J1150">_xlfn.IFS(C1150&lt;18.5,"Underweight",C1150&lt;25,"Normal",C1150&lt;30,"Overweight",C1150&gt;=30,"Obese")</f>
        <v>Obese</v>
      </c>
      <c r="K1150" t="str" cm="1">
        <f t="array" ref="K1150">_xlfn.IFS(G1150&lt;10000, "Low", G1150&lt;=25000, "Medium", G1150&gt;25000, "High")</f>
        <v>High</v>
      </c>
    </row>
    <row r="1151" spans="1:11" x14ac:dyDescent="0.3">
      <c r="A1151">
        <v>57</v>
      </c>
      <c r="B1151" s="1" t="s">
        <v>7</v>
      </c>
      <c r="C1151">
        <v>37.18</v>
      </c>
      <c r="D1151">
        <v>3</v>
      </c>
      <c r="E1151" t="s">
        <v>10</v>
      </c>
      <c r="F1151" t="s">
        <v>14</v>
      </c>
      <c r="G1151" s="2">
        <v>26392.260289999998</v>
      </c>
      <c r="H1151" t="str" cm="1">
        <f t="array" ref="H1151">_xlfn.IFS(A1151&lt;=30, "Youth", A1151&lt;=50, "Adult", A1151&gt;50, "Older")</f>
        <v>Older</v>
      </c>
      <c r="I1151" t="str" cm="1">
        <f t="array" ref="I1151">_xlfn.IFS(A1151&lt;=25,"18-25",A1151&lt;=35,"26-35",A1151&lt;=45,"36-45",A1151&lt;=60,"46-60",A1151&gt;60,"60+")</f>
        <v>46-60</v>
      </c>
      <c r="J1151" t="str" cm="1">
        <f t="array" ref="J1151">_xlfn.IFS(C1151&lt;18.5,"Underweight",C1151&lt;25,"Normal",C1151&lt;30,"Overweight",C1151&gt;=30,"Obese")</f>
        <v>Obese</v>
      </c>
      <c r="K1151" t="str" cm="1">
        <f t="array" ref="K1151">_xlfn.IFS(G1151&lt;10000, "Low", G1151&lt;=25000, "Medium", G1151&gt;25000, "High")</f>
        <v>High</v>
      </c>
    </row>
    <row r="1152" spans="1:11" x14ac:dyDescent="0.3">
      <c r="A1152">
        <v>57</v>
      </c>
      <c r="B1152" s="1" t="s">
        <v>7</v>
      </c>
      <c r="C1152">
        <v>37.29</v>
      </c>
      <c r="D1152">
        <v>3</v>
      </c>
      <c r="E1152" t="s">
        <v>10</v>
      </c>
      <c r="F1152" t="s">
        <v>13</v>
      </c>
      <c r="G1152" s="2">
        <v>26467.09737</v>
      </c>
      <c r="H1152" t="str" cm="1">
        <f t="array" ref="H1152">_xlfn.IFS(A1152&lt;=30, "Youth", A1152&lt;=50, "Adult", A1152&gt;50, "Older")</f>
        <v>Older</v>
      </c>
      <c r="I1152" t="str" cm="1">
        <f t="array" ref="I1152">_xlfn.IFS(A1152&lt;=25,"18-25",A1152&lt;=35,"26-35",A1152&lt;=45,"36-45",A1152&lt;=60,"46-60",A1152&gt;60,"60+")</f>
        <v>46-60</v>
      </c>
      <c r="J1152" t="str" cm="1">
        <f t="array" ref="J1152">_xlfn.IFS(C1152&lt;18.5,"Underweight",C1152&lt;25,"Normal",C1152&lt;30,"Overweight",C1152&gt;=30,"Obese")</f>
        <v>Obese</v>
      </c>
      <c r="K1152" t="str" cm="1">
        <f t="array" ref="K1152">_xlfn.IFS(G1152&lt;10000, "Low", G1152&lt;=25000, "Medium", G1152&gt;25000, "High")</f>
        <v>High</v>
      </c>
    </row>
    <row r="1153" spans="1:11" x14ac:dyDescent="0.3">
      <c r="A1153">
        <v>57</v>
      </c>
      <c r="B1153" s="1" t="s">
        <v>7</v>
      </c>
      <c r="C1153">
        <v>37.29</v>
      </c>
      <c r="D1153">
        <v>3</v>
      </c>
      <c r="E1153" t="s">
        <v>9</v>
      </c>
      <c r="F1153" t="s">
        <v>12</v>
      </c>
      <c r="G1153" s="2">
        <v>26926.5144</v>
      </c>
      <c r="H1153" t="str" cm="1">
        <f t="array" ref="H1153">_xlfn.IFS(A1153&lt;=30, "Youth", A1153&lt;=50, "Adult", A1153&gt;50, "Older")</f>
        <v>Older</v>
      </c>
      <c r="I1153" t="str" cm="1">
        <f t="array" ref="I1153">_xlfn.IFS(A1153&lt;=25,"18-25",A1153&lt;=35,"26-35",A1153&lt;=45,"36-45",A1153&lt;=60,"46-60",A1153&gt;60,"60+")</f>
        <v>46-60</v>
      </c>
      <c r="J1153" t="str" cm="1">
        <f t="array" ref="J1153">_xlfn.IFS(C1153&lt;18.5,"Underweight",C1153&lt;25,"Normal",C1153&lt;30,"Overweight",C1153&gt;=30,"Obese")</f>
        <v>Obese</v>
      </c>
      <c r="K1153" t="str" cm="1">
        <f t="array" ref="K1153">_xlfn.IFS(G1153&lt;10000, "Low", G1153&lt;=25000, "Medium", G1153&gt;25000, "High")</f>
        <v>High</v>
      </c>
    </row>
    <row r="1154" spans="1:11" x14ac:dyDescent="0.3">
      <c r="A1154">
        <v>57</v>
      </c>
      <c r="B1154" s="1" t="s">
        <v>7</v>
      </c>
      <c r="C1154">
        <v>37.29</v>
      </c>
      <c r="D1154">
        <v>3</v>
      </c>
      <c r="E1154" t="s">
        <v>10</v>
      </c>
      <c r="F1154" t="s">
        <v>13</v>
      </c>
      <c r="G1154" s="2">
        <v>27000.98473</v>
      </c>
      <c r="H1154" t="str" cm="1">
        <f t="array" ref="H1154">_xlfn.IFS(A1154&lt;=30, "Youth", A1154&lt;=50, "Adult", A1154&gt;50, "Older")</f>
        <v>Older</v>
      </c>
      <c r="I1154" t="str" cm="1">
        <f t="array" ref="I1154">_xlfn.IFS(A1154&lt;=25,"18-25",A1154&lt;=35,"26-35",A1154&lt;=45,"36-45",A1154&lt;=60,"46-60",A1154&gt;60,"60+")</f>
        <v>46-60</v>
      </c>
      <c r="J1154" t="str" cm="1">
        <f t="array" ref="J1154">_xlfn.IFS(C1154&lt;18.5,"Underweight",C1154&lt;25,"Normal",C1154&lt;30,"Overweight",C1154&gt;=30,"Obese")</f>
        <v>Obese</v>
      </c>
      <c r="K1154" t="str" cm="1">
        <f t="array" ref="K1154">_xlfn.IFS(G1154&lt;10000, "Low", G1154&lt;=25000, "Medium", G1154&gt;25000, "High")</f>
        <v>High</v>
      </c>
    </row>
    <row r="1155" spans="1:11" x14ac:dyDescent="0.3">
      <c r="A1155">
        <v>57</v>
      </c>
      <c r="B1155" s="1" t="s">
        <v>7</v>
      </c>
      <c r="C1155">
        <v>37.29</v>
      </c>
      <c r="D1155">
        <v>3</v>
      </c>
      <c r="E1155" t="s">
        <v>10</v>
      </c>
      <c r="F1155" t="s">
        <v>13</v>
      </c>
      <c r="G1155" s="2">
        <v>27037.914100000002</v>
      </c>
      <c r="H1155" t="str" cm="1">
        <f t="array" ref="H1155">_xlfn.IFS(A1155&lt;=30, "Youth", A1155&lt;=50, "Adult", A1155&gt;50, "Older")</f>
        <v>Older</v>
      </c>
      <c r="I1155" t="str" cm="1">
        <f t="array" ref="I1155">_xlfn.IFS(A1155&lt;=25,"18-25",A1155&lt;=35,"26-35",A1155&lt;=45,"36-45",A1155&lt;=60,"46-60",A1155&gt;60,"60+")</f>
        <v>46-60</v>
      </c>
      <c r="J1155" t="str" cm="1">
        <f t="array" ref="J1155">_xlfn.IFS(C1155&lt;18.5,"Underweight",C1155&lt;25,"Normal",C1155&lt;30,"Overweight",C1155&gt;=30,"Obese")</f>
        <v>Obese</v>
      </c>
      <c r="K1155" t="str" cm="1">
        <f t="array" ref="K1155">_xlfn.IFS(G1155&lt;10000, "Low", G1155&lt;=25000, "Medium", G1155&gt;25000, "High")</f>
        <v>High</v>
      </c>
    </row>
    <row r="1156" spans="1:11" x14ac:dyDescent="0.3">
      <c r="A1156">
        <v>57</v>
      </c>
      <c r="B1156" s="1" t="s">
        <v>7</v>
      </c>
      <c r="C1156">
        <v>37.299999999999997</v>
      </c>
      <c r="D1156">
        <v>3</v>
      </c>
      <c r="E1156" t="s">
        <v>10</v>
      </c>
      <c r="F1156" t="s">
        <v>14</v>
      </c>
      <c r="G1156" s="2">
        <v>27117.993780000001</v>
      </c>
      <c r="H1156" t="str" cm="1">
        <f t="array" ref="H1156">_xlfn.IFS(A1156&lt;=30, "Youth", A1156&lt;=50, "Adult", A1156&gt;50, "Older")</f>
        <v>Older</v>
      </c>
      <c r="I1156" t="str" cm="1">
        <f t="array" ref="I1156">_xlfn.IFS(A1156&lt;=25,"18-25",A1156&lt;=35,"26-35",A1156&lt;=45,"36-45",A1156&lt;=60,"46-60",A1156&gt;60,"60+")</f>
        <v>46-60</v>
      </c>
      <c r="J1156" t="str" cm="1">
        <f t="array" ref="J1156">_xlfn.IFS(C1156&lt;18.5,"Underweight",C1156&lt;25,"Normal",C1156&lt;30,"Overweight",C1156&gt;=30,"Obese")</f>
        <v>Obese</v>
      </c>
      <c r="K1156" t="str" cm="1">
        <f t="array" ref="K1156">_xlfn.IFS(G1156&lt;10000, "Low", G1156&lt;=25000, "Medium", G1156&gt;25000, "High")</f>
        <v>High</v>
      </c>
    </row>
    <row r="1157" spans="1:11" x14ac:dyDescent="0.3">
      <c r="A1157">
        <v>57</v>
      </c>
      <c r="B1157" s="1" t="s">
        <v>8</v>
      </c>
      <c r="C1157">
        <v>37.335000000000001</v>
      </c>
      <c r="D1157">
        <v>3</v>
      </c>
      <c r="E1157" t="s">
        <v>9</v>
      </c>
      <c r="F1157" t="s">
        <v>12</v>
      </c>
      <c r="G1157" s="2">
        <v>27218.437249999999</v>
      </c>
      <c r="H1157" t="str" cm="1">
        <f t="array" ref="H1157">_xlfn.IFS(A1157&lt;=30, "Youth", A1157&lt;=50, "Adult", A1157&gt;50, "Older")</f>
        <v>Older</v>
      </c>
      <c r="I1157" t="str" cm="1">
        <f t="array" ref="I1157">_xlfn.IFS(A1157&lt;=25,"18-25",A1157&lt;=35,"26-35",A1157&lt;=45,"36-45",A1157&lt;=60,"46-60",A1157&gt;60,"60+")</f>
        <v>46-60</v>
      </c>
      <c r="J1157" t="str" cm="1">
        <f t="array" ref="J1157">_xlfn.IFS(C1157&lt;18.5,"Underweight",C1157&lt;25,"Normal",C1157&lt;30,"Overweight",C1157&gt;=30,"Obese")</f>
        <v>Obese</v>
      </c>
      <c r="K1157" t="str" cm="1">
        <f t="array" ref="K1157">_xlfn.IFS(G1157&lt;10000, "Low", G1157&lt;=25000, "Medium", G1157&gt;25000, "High")</f>
        <v>High</v>
      </c>
    </row>
    <row r="1158" spans="1:11" x14ac:dyDescent="0.3">
      <c r="A1158">
        <v>57</v>
      </c>
      <c r="B1158" s="1" t="s">
        <v>7</v>
      </c>
      <c r="C1158">
        <v>37.335000000000001</v>
      </c>
      <c r="D1158">
        <v>3</v>
      </c>
      <c r="E1158" t="s">
        <v>10</v>
      </c>
      <c r="F1158" t="s">
        <v>13</v>
      </c>
      <c r="G1158" s="2">
        <v>27322.73386</v>
      </c>
      <c r="H1158" t="str" cm="1">
        <f t="array" ref="H1158">_xlfn.IFS(A1158&lt;=30, "Youth", A1158&lt;=50, "Adult", A1158&gt;50, "Older")</f>
        <v>Older</v>
      </c>
      <c r="I1158" t="str" cm="1">
        <f t="array" ref="I1158">_xlfn.IFS(A1158&lt;=25,"18-25",A1158&lt;=35,"26-35",A1158&lt;=45,"36-45",A1158&lt;=60,"46-60",A1158&gt;60,"60+")</f>
        <v>46-60</v>
      </c>
      <c r="J1158" t="str" cm="1">
        <f t="array" ref="J1158">_xlfn.IFS(C1158&lt;18.5,"Underweight",C1158&lt;25,"Normal",C1158&lt;30,"Overweight",C1158&gt;=30,"Obese")</f>
        <v>Obese</v>
      </c>
      <c r="K1158" t="str" cm="1">
        <f t="array" ref="K1158">_xlfn.IFS(G1158&lt;10000, "Low", G1158&lt;=25000, "Medium", G1158&gt;25000, "High")</f>
        <v>High</v>
      </c>
    </row>
    <row r="1159" spans="1:11" x14ac:dyDescent="0.3">
      <c r="A1159">
        <v>57</v>
      </c>
      <c r="B1159" s="1" t="s">
        <v>7</v>
      </c>
      <c r="C1159">
        <v>37.4</v>
      </c>
      <c r="D1159">
        <v>3</v>
      </c>
      <c r="E1159" t="s">
        <v>10</v>
      </c>
      <c r="F1159" t="s">
        <v>14</v>
      </c>
      <c r="G1159" s="2">
        <v>27346.04207</v>
      </c>
      <c r="H1159" t="str" cm="1">
        <f t="array" ref="H1159">_xlfn.IFS(A1159&lt;=30, "Youth", A1159&lt;=50, "Adult", A1159&gt;50, "Older")</f>
        <v>Older</v>
      </c>
      <c r="I1159" t="str" cm="1">
        <f t="array" ref="I1159">_xlfn.IFS(A1159&lt;=25,"18-25",A1159&lt;=35,"26-35",A1159&lt;=45,"36-45",A1159&lt;=60,"46-60",A1159&gt;60,"60+")</f>
        <v>46-60</v>
      </c>
      <c r="J1159" t="str" cm="1">
        <f t="array" ref="J1159">_xlfn.IFS(C1159&lt;18.5,"Underweight",C1159&lt;25,"Normal",C1159&lt;30,"Overweight",C1159&gt;=30,"Obese")</f>
        <v>Obese</v>
      </c>
      <c r="K1159" t="str" cm="1">
        <f t="array" ref="K1159">_xlfn.IFS(G1159&lt;10000, "Low", G1159&lt;=25000, "Medium", G1159&gt;25000, "High")</f>
        <v>High</v>
      </c>
    </row>
    <row r="1160" spans="1:11" x14ac:dyDescent="0.3">
      <c r="A1160">
        <v>57</v>
      </c>
      <c r="B1160" s="1" t="s">
        <v>7</v>
      </c>
      <c r="C1160">
        <v>37.4</v>
      </c>
      <c r="D1160">
        <v>3</v>
      </c>
      <c r="E1160" t="s">
        <v>10</v>
      </c>
      <c r="F1160" t="s">
        <v>11</v>
      </c>
      <c r="G1160" s="2">
        <v>27375.904780000001</v>
      </c>
      <c r="H1160" t="str" cm="1">
        <f t="array" ref="H1160">_xlfn.IFS(A1160&lt;=30, "Youth", A1160&lt;=50, "Adult", A1160&gt;50, "Older")</f>
        <v>Older</v>
      </c>
      <c r="I1160" t="str" cm="1">
        <f t="array" ref="I1160">_xlfn.IFS(A1160&lt;=25,"18-25",A1160&lt;=35,"26-35",A1160&lt;=45,"36-45",A1160&lt;=60,"46-60",A1160&gt;60,"60+")</f>
        <v>46-60</v>
      </c>
      <c r="J1160" t="str" cm="1">
        <f t="array" ref="J1160">_xlfn.IFS(C1160&lt;18.5,"Underweight",C1160&lt;25,"Normal",C1160&lt;30,"Overweight",C1160&gt;=30,"Obese")</f>
        <v>Obese</v>
      </c>
      <c r="K1160" t="str" cm="1">
        <f t="array" ref="K1160">_xlfn.IFS(G1160&lt;10000, "Low", G1160&lt;=25000, "Medium", G1160&gt;25000, "High")</f>
        <v>High</v>
      </c>
    </row>
    <row r="1161" spans="1:11" x14ac:dyDescent="0.3">
      <c r="A1161">
        <v>57</v>
      </c>
      <c r="B1161" s="1" t="s">
        <v>7</v>
      </c>
      <c r="C1161">
        <v>37.4</v>
      </c>
      <c r="D1161">
        <v>3</v>
      </c>
      <c r="E1161" t="s">
        <v>10</v>
      </c>
      <c r="F1161" t="s">
        <v>13</v>
      </c>
      <c r="G1161" s="2">
        <v>27533.912899999999</v>
      </c>
      <c r="H1161" t="str" cm="1">
        <f t="array" ref="H1161">_xlfn.IFS(A1161&lt;=30, "Youth", A1161&lt;=50, "Adult", A1161&gt;50, "Older")</f>
        <v>Older</v>
      </c>
      <c r="I1161" t="str" cm="1">
        <f t="array" ref="I1161">_xlfn.IFS(A1161&lt;=25,"18-25",A1161&lt;=35,"26-35",A1161&lt;=45,"36-45",A1161&lt;=60,"46-60",A1161&gt;60,"60+")</f>
        <v>46-60</v>
      </c>
      <c r="J1161" t="str" cm="1">
        <f t="array" ref="J1161">_xlfn.IFS(C1161&lt;18.5,"Underweight",C1161&lt;25,"Normal",C1161&lt;30,"Overweight",C1161&gt;=30,"Obese")</f>
        <v>Obese</v>
      </c>
      <c r="K1161" t="str" cm="1">
        <f t="array" ref="K1161">_xlfn.IFS(G1161&lt;10000, "Low", G1161&lt;=25000, "Medium", G1161&gt;25000, "High")</f>
        <v>High</v>
      </c>
    </row>
    <row r="1162" spans="1:11" x14ac:dyDescent="0.3">
      <c r="A1162">
        <v>57</v>
      </c>
      <c r="B1162" s="1" t="s">
        <v>8</v>
      </c>
      <c r="C1162">
        <v>37.43</v>
      </c>
      <c r="D1162">
        <v>3</v>
      </c>
      <c r="E1162" t="s">
        <v>10</v>
      </c>
      <c r="F1162" t="s">
        <v>12</v>
      </c>
      <c r="G1162" s="2">
        <v>27724.28875</v>
      </c>
      <c r="H1162" t="str" cm="1">
        <f t="array" ref="H1162">_xlfn.IFS(A1162&lt;=30, "Youth", A1162&lt;=50, "Adult", A1162&gt;50, "Older")</f>
        <v>Older</v>
      </c>
      <c r="I1162" t="str" cm="1">
        <f t="array" ref="I1162">_xlfn.IFS(A1162&lt;=25,"18-25",A1162&lt;=35,"26-35",A1162&lt;=45,"36-45",A1162&lt;=60,"46-60",A1162&gt;60,"60+")</f>
        <v>46-60</v>
      </c>
      <c r="J1162" t="str" cm="1">
        <f t="array" ref="J1162">_xlfn.IFS(C1162&lt;18.5,"Underweight",C1162&lt;25,"Normal",C1162&lt;30,"Overweight",C1162&gt;=30,"Obese")</f>
        <v>Obese</v>
      </c>
      <c r="K1162" t="str" cm="1">
        <f t="array" ref="K1162">_xlfn.IFS(G1162&lt;10000, "Low", G1162&lt;=25000, "Medium", G1162&gt;25000, "High")</f>
        <v>High</v>
      </c>
    </row>
    <row r="1163" spans="1:11" x14ac:dyDescent="0.3">
      <c r="A1163">
        <v>57</v>
      </c>
      <c r="B1163" s="1" t="s">
        <v>8</v>
      </c>
      <c r="C1163">
        <v>37.43</v>
      </c>
      <c r="D1163">
        <v>3</v>
      </c>
      <c r="E1163" t="s">
        <v>10</v>
      </c>
      <c r="F1163" t="s">
        <v>12</v>
      </c>
      <c r="G1163" s="2">
        <v>27808.7251</v>
      </c>
      <c r="H1163" t="str" cm="1">
        <f t="array" ref="H1163">_xlfn.IFS(A1163&lt;=30, "Youth", A1163&lt;=50, "Adult", A1163&gt;50, "Older")</f>
        <v>Older</v>
      </c>
      <c r="I1163" t="str" cm="1">
        <f t="array" ref="I1163">_xlfn.IFS(A1163&lt;=25,"18-25",A1163&lt;=35,"26-35",A1163&lt;=45,"36-45",A1163&lt;=60,"46-60",A1163&gt;60,"60+")</f>
        <v>46-60</v>
      </c>
      <c r="J1163" t="str" cm="1">
        <f t="array" ref="J1163">_xlfn.IFS(C1163&lt;18.5,"Underweight",C1163&lt;25,"Normal",C1163&lt;30,"Overweight",C1163&gt;=30,"Obese")</f>
        <v>Obese</v>
      </c>
      <c r="K1163" t="str" cm="1">
        <f t="array" ref="K1163">_xlfn.IFS(G1163&lt;10000, "Low", G1163&lt;=25000, "Medium", G1163&gt;25000, "High")</f>
        <v>High</v>
      </c>
    </row>
    <row r="1164" spans="1:11" x14ac:dyDescent="0.3">
      <c r="A1164">
        <v>57</v>
      </c>
      <c r="B1164" s="1" t="s">
        <v>7</v>
      </c>
      <c r="C1164">
        <v>37.43</v>
      </c>
      <c r="D1164">
        <v>3</v>
      </c>
      <c r="E1164" t="s">
        <v>10</v>
      </c>
      <c r="F1164" t="s">
        <v>14</v>
      </c>
      <c r="G1164" s="2">
        <v>27941.28758</v>
      </c>
      <c r="H1164" t="str" cm="1">
        <f t="array" ref="H1164">_xlfn.IFS(A1164&lt;=30, "Youth", A1164&lt;=50, "Adult", A1164&gt;50, "Older")</f>
        <v>Older</v>
      </c>
      <c r="I1164" t="str" cm="1">
        <f t="array" ref="I1164">_xlfn.IFS(A1164&lt;=25,"18-25",A1164&lt;=35,"26-35",A1164&lt;=45,"36-45",A1164&lt;=60,"46-60",A1164&gt;60,"60+")</f>
        <v>46-60</v>
      </c>
      <c r="J1164" t="str" cm="1">
        <f t="array" ref="J1164">_xlfn.IFS(C1164&lt;18.5,"Underweight",C1164&lt;25,"Normal",C1164&lt;30,"Overweight",C1164&gt;=30,"Obese")</f>
        <v>Obese</v>
      </c>
      <c r="K1164" t="str" cm="1">
        <f t="array" ref="K1164">_xlfn.IFS(G1164&lt;10000, "Low", G1164&lt;=25000, "Medium", G1164&gt;25000, "High")</f>
        <v>High</v>
      </c>
    </row>
    <row r="1165" spans="1:11" x14ac:dyDescent="0.3">
      <c r="A1165">
        <v>57</v>
      </c>
      <c r="B1165" s="1" t="s">
        <v>7</v>
      </c>
      <c r="C1165">
        <v>37.51</v>
      </c>
      <c r="D1165">
        <v>3</v>
      </c>
      <c r="E1165" t="s">
        <v>10</v>
      </c>
      <c r="F1165" t="s">
        <v>13</v>
      </c>
      <c r="G1165" s="2">
        <v>28101.333050000001</v>
      </c>
      <c r="H1165" t="str" cm="1">
        <f t="array" ref="H1165">_xlfn.IFS(A1165&lt;=30, "Youth", A1165&lt;=50, "Adult", A1165&gt;50, "Older")</f>
        <v>Older</v>
      </c>
      <c r="I1165" t="str" cm="1">
        <f t="array" ref="I1165">_xlfn.IFS(A1165&lt;=25,"18-25",A1165&lt;=35,"26-35",A1165&lt;=45,"36-45",A1165&lt;=60,"46-60",A1165&gt;60,"60+")</f>
        <v>46-60</v>
      </c>
      <c r="J1165" t="str" cm="1">
        <f t="array" ref="J1165">_xlfn.IFS(C1165&lt;18.5,"Underweight",C1165&lt;25,"Normal",C1165&lt;30,"Overweight",C1165&gt;=30,"Obese")</f>
        <v>Obese</v>
      </c>
      <c r="K1165" t="str" cm="1">
        <f t="array" ref="K1165">_xlfn.IFS(G1165&lt;10000, "Low", G1165&lt;=25000, "Medium", G1165&gt;25000, "High")</f>
        <v>High</v>
      </c>
    </row>
    <row r="1166" spans="1:11" x14ac:dyDescent="0.3">
      <c r="A1166">
        <v>57</v>
      </c>
      <c r="B1166" s="1" t="s">
        <v>7</v>
      </c>
      <c r="C1166">
        <v>37.51</v>
      </c>
      <c r="D1166">
        <v>3</v>
      </c>
      <c r="E1166" t="s">
        <v>10</v>
      </c>
      <c r="F1166" t="s">
        <v>14</v>
      </c>
      <c r="G1166" s="2">
        <v>28287.897659999999</v>
      </c>
      <c r="H1166" t="str" cm="1">
        <f t="array" ref="H1166">_xlfn.IFS(A1166&lt;=30, "Youth", A1166&lt;=50, "Adult", A1166&gt;50, "Older")</f>
        <v>Older</v>
      </c>
      <c r="I1166" t="str" cm="1">
        <f t="array" ref="I1166">_xlfn.IFS(A1166&lt;=25,"18-25",A1166&lt;=35,"26-35",A1166&lt;=45,"36-45",A1166&lt;=60,"46-60",A1166&gt;60,"60+")</f>
        <v>46-60</v>
      </c>
      <c r="J1166" t="str" cm="1">
        <f t="array" ref="J1166">_xlfn.IFS(C1166&lt;18.5,"Underweight",C1166&lt;25,"Normal",C1166&lt;30,"Overweight",C1166&gt;=30,"Obese")</f>
        <v>Obese</v>
      </c>
      <c r="K1166" t="str" cm="1">
        <f t="array" ref="K1166">_xlfn.IFS(G1166&lt;10000, "Low", G1166&lt;=25000, "Medium", G1166&gt;25000, "High")</f>
        <v>High</v>
      </c>
    </row>
    <row r="1167" spans="1:11" x14ac:dyDescent="0.3">
      <c r="A1167">
        <v>57</v>
      </c>
      <c r="B1167" s="1" t="s">
        <v>8</v>
      </c>
      <c r="C1167">
        <v>37.524999999999999</v>
      </c>
      <c r="D1167">
        <v>3</v>
      </c>
      <c r="E1167" t="s">
        <v>10</v>
      </c>
      <c r="F1167" t="s">
        <v>12</v>
      </c>
      <c r="G1167" s="2">
        <v>28340.188849999999</v>
      </c>
      <c r="H1167" t="str" cm="1">
        <f t="array" ref="H1167">_xlfn.IFS(A1167&lt;=30, "Youth", A1167&lt;=50, "Adult", A1167&gt;50, "Older")</f>
        <v>Older</v>
      </c>
      <c r="I1167" t="str" cm="1">
        <f t="array" ref="I1167">_xlfn.IFS(A1167&lt;=25,"18-25",A1167&lt;=35,"26-35",A1167&lt;=45,"36-45",A1167&lt;=60,"46-60",A1167&gt;60,"60+")</f>
        <v>46-60</v>
      </c>
      <c r="J1167" t="str" cm="1">
        <f t="array" ref="J1167">_xlfn.IFS(C1167&lt;18.5,"Underweight",C1167&lt;25,"Normal",C1167&lt;30,"Overweight",C1167&gt;=30,"Obese")</f>
        <v>Obese</v>
      </c>
      <c r="K1167" t="str" cm="1">
        <f t="array" ref="K1167">_xlfn.IFS(G1167&lt;10000, "Low", G1167&lt;=25000, "Medium", G1167&gt;25000, "High")</f>
        <v>High</v>
      </c>
    </row>
    <row r="1168" spans="1:11" x14ac:dyDescent="0.3">
      <c r="A1168">
        <v>57</v>
      </c>
      <c r="B1168" s="1" t="s">
        <v>7</v>
      </c>
      <c r="C1168">
        <v>37.619999999999997</v>
      </c>
      <c r="D1168">
        <v>3</v>
      </c>
      <c r="E1168" t="s">
        <v>10</v>
      </c>
      <c r="F1168" t="s">
        <v>11</v>
      </c>
      <c r="G1168" s="2">
        <v>28468.919010000001</v>
      </c>
      <c r="H1168" t="str" cm="1">
        <f t="array" ref="H1168">_xlfn.IFS(A1168&lt;=30, "Youth", A1168&lt;=50, "Adult", A1168&gt;50, "Older")</f>
        <v>Older</v>
      </c>
      <c r="I1168" t="str" cm="1">
        <f t="array" ref="I1168">_xlfn.IFS(A1168&lt;=25,"18-25",A1168&lt;=35,"26-35",A1168&lt;=45,"36-45",A1168&lt;=60,"46-60",A1168&gt;60,"60+")</f>
        <v>46-60</v>
      </c>
      <c r="J1168" t="str" cm="1">
        <f t="array" ref="J1168">_xlfn.IFS(C1168&lt;18.5,"Underweight",C1168&lt;25,"Normal",C1168&lt;30,"Overweight",C1168&gt;=30,"Obese")</f>
        <v>Obese</v>
      </c>
      <c r="K1168" t="str" cm="1">
        <f t="array" ref="K1168">_xlfn.IFS(G1168&lt;10000, "Low", G1168&lt;=25000, "Medium", G1168&gt;25000, "High")</f>
        <v>High</v>
      </c>
    </row>
    <row r="1169" spans="1:11" x14ac:dyDescent="0.3">
      <c r="A1169">
        <v>57</v>
      </c>
      <c r="B1169" s="1" t="s">
        <v>8</v>
      </c>
      <c r="C1169">
        <v>37.619999999999997</v>
      </c>
      <c r="D1169">
        <v>3</v>
      </c>
      <c r="E1169" t="s">
        <v>10</v>
      </c>
      <c r="F1169" t="s">
        <v>11</v>
      </c>
      <c r="G1169" s="2">
        <v>28476.734990000001</v>
      </c>
      <c r="H1169" t="str" cm="1">
        <f t="array" ref="H1169">_xlfn.IFS(A1169&lt;=30, "Youth", A1169&lt;=50, "Adult", A1169&gt;50, "Older")</f>
        <v>Older</v>
      </c>
      <c r="I1169" t="str" cm="1">
        <f t="array" ref="I1169">_xlfn.IFS(A1169&lt;=25,"18-25",A1169&lt;=35,"26-35",A1169&lt;=45,"36-45",A1169&lt;=60,"46-60",A1169&gt;60,"60+")</f>
        <v>46-60</v>
      </c>
      <c r="J1169" t="str" cm="1">
        <f t="array" ref="J1169">_xlfn.IFS(C1169&lt;18.5,"Underweight",C1169&lt;25,"Normal",C1169&lt;30,"Overweight",C1169&gt;=30,"Obese")</f>
        <v>Obese</v>
      </c>
      <c r="K1169" t="str" cm="1">
        <f t="array" ref="K1169">_xlfn.IFS(G1169&lt;10000, "Low", G1169&lt;=25000, "Medium", G1169&gt;25000, "High")</f>
        <v>High</v>
      </c>
    </row>
    <row r="1170" spans="1:11" x14ac:dyDescent="0.3">
      <c r="A1170">
        <v>57</v>
      </c>
      <c r="B1170" s="1" t="s">
        <v>7</v>
      </c>
      <c r="C1170">
        <v>37.700000000000003</v>
      </c>
      <c r="D1170">
        <v>3</v>
      </c>
      <c r="E1170" t="s">
        <v>10</v>
      </c>
      <c r="F1170" t="s">
        <v>13</v>
      </c>
      <c r="G1170" s="2">
        <v>28868.6639</v>
      </c>
      <c r="H1170" t="str" cm="1">
        <f t="array" ref="H1170">_xlfn.IFS(A1170&lt;=30, "Youth", A1170&lt;=50, "Adult", A1170&gt;50, "Older")</f>
        <v>Older</v>
      </c>
      <c r="I1170" t="str" cm="1">
        <f t="array" ref="I1170">_xlfn.IFS(A1170&lt;=25,"18-25",A1170&lt;=35,"26-35",A1170&lt;=45,"36-45",A1170&lt;=60,"46-60",A1170&gt;60,"60+")</f>
        <v>46-60</v>
      </c>
      <c r="J1170" t="str" cm="1">
        <f t="array" ref="J1170">_xlfn.IFS(C1170&lt;18.5,"Underweight",C1170&lt;25,"Normal",C1170&lt;30,"Overweight",C1170&gt;=30,"Obese")</f>
        <v>Obese</v>
      </c>
      <c r="K1170" t="str" cm="1">
        <f t="array" ref="K1170">_xlfn.IFS(G1170&lt;10000, "Low", G1170&lt;=25000, "Medium", G1170&gt;25000, "High")</f>
        <v>High</v>
      </c>
    </row>
    <row r="1171" spans="1:11" x14ac:dyDescent="0.3">
      <c r="A1171">
        <v>57</v>
      </c>
      <c r="B1171" s="1" t="s">
        <v>8</v>
      </c>
      <c r="C1171">
        <v>37.715000000000003</v>
      </c>
      <c r="D1171">
        <v>3</v>
      </c>
      <c r="E1171" t="s">
        <v>9</v>
      </c>
      <c r="F1171" t="s">
        <v>14</v>
      </c>
      <c r="G1171" s="2">
        <v>28923.136920000001</v>
      </c>
      <c r="H1171" t="str" cm="1">
        <f t="array" ref="H1171">_xlfn.IFS(A1171&lt;=30, "Youth", A1171&lt;=50, "Adult", A1171&gt;50, "Older")</f>
        <v>Older</v>
      </c>
      <c r="I1171" t="str" cm="1">
        <f t="array" ref="I1171">_xlfn.IFS(A1171&lt;=25,"18-25",A1171&lt;=35,"26-35",A1171&lt;=45,"36-45",A1171&lt;=60,"46-60",A1171&gt;60,"60+")</f>
        <v>46-60</v>
      </c>
      <c r="J1171" t="str" cm="1">
        <f t="array" ref="J1171">_xlfn.IFS(C1171&lt;18.5,"Underweight",C1171&lt;25,"Normal",C1171&lt;30,"Overweight",C1171&gt;=30,"Obese")</f>
        <v>Obese</v>
      </c>
      <c r="K1171" t="str" cm="1">
        <f t="array" ref="K1171">_xlfn.IFS(G1171&lt;10000, "Low", G1171&lt;=25000, "Medium", G1171&gt;25000, "High")</f>
        <v>High</v>
      </c>
    </row>
    <row r="1172" spans="1:11" x14ac:dyDescent="0.3">
      <c r="A1172">
        <v>57</v>
      </c>
      <c r="B1172" s="1" t="s">
        <v>7</v>
      </c>
      <c r="C1172">
        <v>37.729999999999997</v>
      </c>
      <c r="D1172">
        <v>3</v>
      </c>
      <c r="E1172" t="s">
        <v>9</v>
      </c>
      <c r="F1172" t="s">
        <v>11</v>
      </c>
      <c r="G1172" s="2">
        <v>28950.4692</v>
      </c>
      <c r="H1172" t="str" cm="1">
        <f t="array" ref="H1172">_xlfn.IFS(A1172&lt;=30, "Youth", A1172&lt;=50, "Adult", A1172&gt;50, "Older")</f>
        <v>Older</v>
      </c>
      <c r="I1172" t="str" cm="1">
        <f t="array" ref="I1172">_xlfn.IFS(A1172&lt;=25,"18-25",A1172&lt;=35,"26-35",A1172&lt;=45,"36-45",A1172&lt;=60,"46-60",A1172&gt;60,"60+")</f>
        <v>46-60</v>
      </c>
      <c r="J1172" t="str" cm="1">
        <f t="array" ref="J1172">_xlfn.IFS(C1172&lt;18.5,"Underweight",C1172&lt;25,"Normal",C1172&lt;30,"Overweight",C1172&gt;=30,"Obese")</f>
        <v>Obese</v>
      </c>
      <c r="K1172" t="str" cm="1">
        <f t="array" ref="K1172">_xlfn.IFS(G1172&lt;10000, "Low", G1172&lt;=25000, "Medium", G1172&gt;25000, "High")</f>
        <v>High</v>
      </c>
    </row>
    <row r="1173" spans="1:11" x14ac:dyDescent="0.3">
      <c r="A1173">
        <v>57</v>
      </c>
      <c r="B1173" s="1" t="s">
        <v>7</v>
      </c>
      <c r="C1173">
        <v>37.729999999999997</v>
      </c>
      <c r="D1173">
        <v>3</v>
      </c>
      <c r="E1173" t="s">
        <v>10</v>
      </c>
      <c r="F1173" t="s">
        <v>12</v>
      </c>
      <c r="G1173" s="2">
        <v>29141.3603</v>
      </c>
      <c r="H1173" t="str" cm="1">
        <f t="array" ref="H1173">_xlfn.IFS(A1173&lt;=30, "Youth", A1173&lt;=50, "Adult", A1173&gt;50, "Older")</f>
        <v>Older</v>
      </c>
      <c r="I1173" t="str" cm="1">
        <f t="array" ref="I1173">_xlfn.IFS(A1173&lt;=25,"18-25",A1173&lt;=35,"26-35",A1173&lt;=45,"36-45",A1173&lt;=60,"46-60",A1173&gt;60,"60+")</f>
        <v>46-60</v>
      </c>
      <c r="J1173" t="str" cm="1">
        <f t="array" ref="J1173">_xlfn.IFS(C1173&lt;18.5,"Underweight",C1173&lt;25,"Normal",C1173&lt;30,"Overweight",C1173&gt;=30,"Obese")</f>
        <v>Obese</v>
      </c>
      <c r="K1173" t="str" cm="1">
        <f t="array" ref="K1173">_xlfn.IFS(G1173&lt;10000, "Low", G1173&lt;=25000, "Medium", G1173&gt;25000, "High")</f>
        <v>High</v>
      </c>
    </row>
    <row r="1174" spans="1:11" x14ac:dyDescent="0.3">
      <c r="A1174">
        <v>57</v>
      </c>
      <c r="B1174" s="1" t="s">
        <v>8</v>
      </c>
      <c r="C1174">
        <v>37.799999999999997</v>
      </c>
      <c r="D1174">
        <v>3</v>
      </c>
      <c r="E1174" t="s">
        <v>10</v>
      </c>
      <c r="F1174" t="s">
        <v>13</v>
      </c>
      <c r="G1174" s="2">
        <v>29186.482360000002</v>
      </c>
      <c r="H1174" t="str" cm="1">
        <f t="array" ref="H1174">_xlfn.IFS(A1174&lt;=30, "Youth", A1174&lt;=50, "Adult", A1174&gt;50, "Older")</f>
        <v>Older</v>
      </c>
      <c r="I1174" t="str" cm="1">
        <f t="array" ref="I1174">_xlfn.IFS(A1174&lt;=25,"18-25",A1174&lt;=35,"26-35",A1174&lt;=45,"36-45",A1174&lt;=60,"46-60",A1174&gt;60,"60+")</f>
        <v>46-60</v>
      </c>
      <c r="J1174" t="str" cm="1">
        <f t="array" ref="J1174">_xlfn.IFS(C1174&lt;18.5,"Underweight",C1174&lt;25,"Normal",C1174&lt;30,"Overweight",C1174&gt;=30,"Obese")</f>
        <v>Obese</v>
      </c>
      <c r="K1174" t="str" cm="1">
        <f t="array" ref="K1174">_xlfn.IFS(G1174&lt;10000, "Low", G1174&lt;=25000, "Medium", G1174&gt;25000, "High")</f>
        <v>High</v>
      </c>
    </row>
    <row r="1175" spans="1:11" x14ac:dyDescent="0.3">
      <c r="A1175">
        <v>58</v>
      </c>
      <c r="B1175" s="1" t="s">
        <v>8</v>
      </c>
      <c r="C1175">
        <v>37.9</v>
      </c>
      <c r="D1175">
        <v>3</v>
      </c>
      <c r="E1175" t="s">
        <v>10</v>
      </c>
      <c r="F1175" t="s">
        <v>13</v>
      </c>
      <c r="G1175" s="2">
        <v>29330.98315</v>
      </c>
      <c r="H1175" t="str" cm="1">
        <f t="array" ref="H1175">_xlfn.IFS(A1175&lt;=30, "Youth", A1175&lt;=50, "Adult", A1175&gt;50, "Older")</f>
        <v>Older</v>
      </c>
      <c r="I1175" t="str" cm="1">
        <f t="array" ref="I1175">_xlfn.IFS(A1175&lt;=25,"18-25",A1175&lt;=35,"26-35",A1175&lt;=45,"36-45",A1175&lt;=60,"46-60",A1175&gt;60,"60+")</f>
        <v>46-60</v>
      </c>
      <c r="J1175" t="str" cm="1">
        <f t="array" ref="J1175">_xlfn.IFS(C1175&lt;18.5,"Underweight",C1175&lt;25,"Normal",C1175&lt;30,"Overweight",C1175&gt;=30,"Obese")</f>
        <v>Obese</v>
      </c>
      <c r="K1175" t="str" cm="1">
        <f t="array" ref="K1175">_xlfn.IFS(G1175&lt;10000, "Low", G1175&lt;=25000, "Medium", G1175&gt;25000, "High")</f>
        <v>High</v>
      </c>
    </row>
    <row r="1176" spans="1:11" x14ac:dyDescent="0.3">
      <c r="A1176">
        <v>58</v>
      </c>
      <c r="B1176" s="1" t="s">
        <v>7</v>
      </c>
      <c r="C1176">
        <v>37.905000000000001</v>
      </c>
      <c r="D1176">
        <v>3</v>
      </c>
      <c r="E1176" t="s">
        <v>10</v>
      </c>
      <c r="F1176" t="s">
        <v>11</v>
      </c>
      <c r="G1176" s="2">
        <v>29523.1656</v>
      </c>
      <c r="H1176" t="str" cm="1">
        <f t="array" ref="H1176">_xlfn.IFS(A1176&lt;=30, "Youth", A1176&lt;=50, "Adult", A1176&gt;50, "Older")</f>
        <v>Older</v>
      </c>
      <c r="I1176" t="str" cm="1">
        <f t="array" ref="I1176">_xlfn.IFS(A1176&lt;=25,"18-25",A1176&lt;=35,"26-35",A1176&lt;=45,"36-45",A1176&lt;=60,"46-60",A1176&gt;60,"60+")</f>
        <v>46-60</v>
      </c>
      <c r="J1176" t="str" cm="1">
        <f t="array" ref="J1176">_xlfn.IFS(C1176&lt;18.5,"Underweight",C1176&lt;25,"Normal",C1176&lt;30,"Overweight",C1176&gt;=30,"Obese")</f>
        <v>Obese</v>
      </c>
      <c r="K1176" t="str" cm="1">
        <f t="array" ref="K1176">_xlfn.IFS(G1176&lt;10000, "Low", G1176&lt;=25000, "Medium", G1176&gt;25000, "High")</f>
        <v>High</v>
      </c>
    </row>
    <row r="1177" spans="1:11" x14ac:dyDescent="0.3">
      <c r="A1177">
        <v>58</v>
      </c>
      <c r="B1177" s="1" t="s">
        <v>7</v>
      </c>
      <c r="C1177">
        <v>38</v>
      </c>
      <c r="D1177">
        <v>3</v>
      </c>
      <c r="E1177" t="s">
        <v>9</v>
      </c>
      <c r="F1177" t="s">
        <v>13</v>
      </c>
      <c r="G1177" s="2">
        <v>30063.580549999999</v>
      </c>
      <c r="H1177" t="str" cm="1">
        <f t="array" ref="H1177">_xlfn.IFS(A1177&lt;=30, "Youth", A1177&lt;=50, "Adult", A1177&gt;50, "Older")</f>
        <v>Older</v>
      </c>
      <c r="I1177" t="str" cm="1">
        <f t="array" ref="I1177">_xlfn.IFS(A1177&lt;=25,"18-25",A1177&lt;=35,"26-35",A1177&lt;=45,"36-45",A1177&lt;=60,"46-60",A1177&gt;60,"60+")</f>
        <v>46-60</v>
      </c>
      <c r="J1177" t="str" cm="1">
        <f t="array" ref="J1177">_xlfn.IFS(C1177&lt;18.5,"Underweight",C1177&lt;25,"Normal",C1177&lt;30,"Overweight",C1177&gt;=30,"Obese")</f>
        <v>Obese</v>
      </c>
      <c r="K1177" t="str" cm="1">
        <f t="array" ref="K1177">_xlfn.IFS(G1177&lt;10000, "Low", G1177&lt;=25000, "Medium", G1177&gt;25000, "High")</f>
        <v>High</v>
      </c>
    </row>
    <row r="1178" spans="1:11" x14ac:dyDescent="0.3">
      <c r="A1178">
        <v>58</v>
      </c>
      <c r="B1178" s="1" t="s">
        <v>7</v>
      </c>
      <c r="C1178">
        <v>38</v>
      </c>
      <c r="D1178">
        <v>3</v>
      </c>
      <c r="E1178" t="s">
        <v>10</v>
      </c>
      <c r="F1178" t="s">
        <v>11</v>
      </c>
      <c r="G1178" s="2">
        <v>30166.618170000002</v>
      </c>
      <c r="H1178" t="str" cm="1">
        <f t="array" ref="H1178">_xlfn.IFS(A1178&lt;=30, "Youth", A1178&lt;=50, "Adult", A1178&gt;50, "Older")</f>
        <v>Older</v>
      </c>
      <c r="I1178" t="str" cm="1">
        <f t="array" ref="I1178">_xlfn.IFS(A1178&lt;=25,"18-25",A1178&lt;=35,"26-35",A1178&lt;=45,"36-45",A1178&lt;=60,"46-60",A1178&gt;60,"60+")</f>
        <v>46-60</v>
      </c>
      <c r="J1178" t="str" cm="1">
        <f t="array" ref="J1178">_xlfn.IFS(C1178&lt;18.5,"Underweight",C1178&lt;25,"Normal",C1178&lt;30,"Overweight",C1178&gt;=30,"Obese")</f>
        <v>Obese</v>
      </c>
      <c r="K1178" t="str" cm="1">
        <f t="array" ref="K1178">_xlfn.IFS(G1178&lt;10000, "Low", G1178&lt;=25000, "Medium", G1178&gt;25000, "High")</f>
        <v>High</v>
      </c>
    </row>
    <row r="1179" spans="1:11" x14ac:dyDescent="0.3">
      <c r="A1179">
        <v>58</v>
      </c>
      <c r="B1179" s="1" t="s">
        <v>7</v>
      </c>
      <c r="C1179">
        <v>38</v>
      </c>
      <c r="D1179">
        <v>3</v>
      </c>
      <c r="E1179" t="s">
        <v>10</v>
      </c>
      <c r="F1179" t="s">
        <v>14</v>
      </c>
      <c r="G1179" s="2">
        <v>30184.936699999998</v>
      </c>
      <c r="H1179" t="str" cm="1">
        <f t="array" ref="H1179">_xlfn.IFS(A1179&lt;=30, "Youth", A1179&lt;=50, "Adult", A1179&gt;50, "Older")</f>
        <v>Older</v>
      </c>
      <c r="I1179" t="str" cm="1">
        <f t="array" ref="I1179">_xlfn.IFS(A1179&lt;=25,"18-25",A1179&lt;=35,"26-35",A1179&lt;=45,"36-45",A1179&lt;=60,"46-60",A1179&gt;60,"60+")</f>
        <v>46-60</v>
      </c>
      <c r="J1179" t="str" cm="1">
        <f t="array" ref="J1179">_xlfn.IFS(C1179&lt;18.5,"Underweight",C1179&lt;25,"Normal",C1179&lt;30,"Overweight",C1179&gt;=30,"Obese")</f>
        <v>Obese</v>
      </c>
      <c r="K1179" t="str" cm="1">
        <f t="array" ref="K1179">_xlfn.IFS(G1179&lt;10000, "Low", G1179&lt;=25000, "Medium", G1179&gt;25000, "High")</f>
        <v>High</v>
      </c>
    </row>
    <row r="1180" spans="1:11" x14ac:dyDescent="0.3">
      <c r="A1180">
        <v>58</v>
      </c>
      <c r="B1180" s="1" t="s">
        <v>8</v>
      </c>
      <c r="C1180">
        <v>38.06</v>
      </c>
      <c r="D1180">
        <v>3</v>
      </c>
      <c r="E1180" t="s">
        <v>9</v>
      </c>
      <c r="F1180" t="s">
        <v>12</v>
      </c>
      <c r="G1180" s="2">
        <v>30259.995559999999</v>
      </c>
      <c r="H1180" t="str" cm="1">
        <f t="array" ref="H1180">_xlfn.IFS(A1180&lt;=30, "Youth", A1180&lt;=50, "Adult", A1180&gt;50, "Older")</f>
        <v>Older</v>
      </c>
      <c r="I1180" t="str" cm="1">
        <f t="array" ref="I1180">_xlfn.IFS(A1180&lt;=25,"18-25",A1180&lt;=35,"26-35",A1180&lt;=45,"36-45",A1180&lt;=60,"46-60",A1180&gt;60,"60+")</f>
        <v>46-60</v>
      </c>
      <c r="J1180" t="str" cm="1">
        <f t="array" ref="J1180">_xlfn.IFS(C1180&lt;18.5,"Underweight",C1180&lt;25,"Normal",C1180&lt;30,"Overweight",C1180&gt;=30,"Obese")</f>
        <v>Obese</v>
      </c>
      <c r="K1180" t="str" cm="1">
        <f t="array" ref="K1180">_xlfn.IFS(G1180&lt;10000, "Low", G1180&lt;=25000, "Medium", G1180&gt;25000, "High")</f>
        <v>High</v>
      </c>
    </row>
    <row r="1181" spans="1:11" x14ac:dyDescent="0.3">
      <c r="A1181">
        <v>58</v>
      </c>
      <c r="B1181" s="1" t="s">
        <v>7</v>
      </c>
      <c r="C1181">
        <v>38.06</v>
      </c>
      <c r="D1181">
        <v>3</v>
      </c>
      <c r="E1181" t="s">
        <v>10</v>
      </c>
      <c r="F1181" t="s">
        <v>14</v>
      </c>
      <c r="G1181" s="2">
        <v>30284.642940000002</v>
      </c>
      <c r="H1181" t="str" cm="1">
        <f t="array" ref="H1181">_xlfn.IFS(A1181&lt;=30, "Youth", A1181&lt;=50, "Adult", A1181&gt;50, "Older")</f>
        <v>Older</v>
      </c>
      <c r="I1181" t="str" cm="1">
        <f t="array" ref="I1181">_xlfn.IFS(A1181&lt;=25,"18-25",A1181&lt;=35,"26-35",A1181&lt;=45,"36-45",A1181&lt;=60,"46-60",A1181&gt;60,"60+")</f>
        <v>46-60</v>
      </c>
      <c r="J1181" t="str" cm="1">
        <f t="array" ref="J1181">_xlfn.IFS(C1181&lt;18.5,"Underweight",C1181&lt;25,"Normal",C1181&lt;30,"Overweight",C1181&gt;=30,"Obese")</f>
        <v>Obese</v>
      </c>
      <c r="K1181" t="str" cm="1">
        <f t="array" ref="K1181">_xlfn.IFS(G1181&lt;10000, "Low", G1181&lt;=25000, "Medium", G1181&gt;25000, "High")</f>
        <v>High</v>
      </c>
    </row>
    <row r="1182" spans="1:11" x14ac:dyDescent="0.3">
      <c r="A1182">
        <v>58</v>
      </c>
      <c r="B1182" s="1" t="s">
        <v>7</v>
      </c>
      <c r="C1182">
        <v>38.06</v>
      </c>
      <c r="D1182">
        <v>3</v>
      </c>
      <c r="E1182" t="s">
        <v>10</v>
      </c>
      <c r="F1182" t="s">
        <v>13</v>
      </c>
      <c r="G1182" s="2">
        <v>30942.191800000001</v>
      </c>
      <c r="H1182" t="str" cm="1">
        <f t="array" ref="H1182">_xlfn.IFS(A1182&lt;=30, "Youth", A1182&lt;=50, "Adult", A1182&gt;50, "Older")</f>
        <v>Older</v>
      </c>
      <c r="I1182" t="str" cm="1">
        <f t="array" ref="I1182">_xlfn.IFS(A1182&lt;=25,"18-25",A1182&lt;=35,"26-35",A1182&lt;=45,"36-45",A1182&lt;=60,"46-60",A1182&gt;60,"60+")</f>
        <v>46-60</v>
      </c>
      <c r="J1182" t="str" cm="1">
        <f t="array" ref="J1182">_xlfn.IFS(C1182&lt;18.5,"Underweight",C1182&lt;25,"Normal",C1182&lt;30,"Overweight",C1182&gt;=30,"Obese")</f>
        <v>Obese</v>
      </c>
      <c r="K1182" t="str" cm="1">
        <f t="array" ref="K1182">_xlfn.IFS(G1182&lt;10000, "Low", G1182&lt;=25000, "Medium", G1182&gt;25000, "High")</f>
        <v>High</v>
      </c>
    </row>
    <row r="1183" spans="1:11" x14ac:dyDescent="0.3">
      <c r="A1183">
        <v>58</v>
      </c>
      <c r="B1183" s="1" t="s">
        <v>7</v>
      </c>
      <c r="C1183">
        <v>38.06</v>
      </c>
      <c r="D1183">
        <v>3</v>
      </c>
      <c r="E1183" t="s">
        <v>10</v>
      </c>
      <c r="F1183" t="s">
        <v>11</v>
      </c>
      <c r="G1183" s="2">
        <v>31620.001059999999</v>
      </c>
      <c r="H1183" t="str" cm="1">
        <f t="array" ref="H1183">_xlfn.IFS(A1183&lt;=30, "Youth", A1183&lt;=50, "Adult", A1183&gt;50, "Older")</f>
        <v>Older</v>
      </c>
      <c r="I1183" t="str" cm="1">
        <f t="array" ref="I1183">_xlfn.IFS(A1183&lt;=25,"18-25",A1183&lt;=35,"26-35",A1183&lt;=45,"36-45",A1183&lt;=60,"46-60",A1183&gt;60,"60+")</f>
        <v>46-60</v>
      </c>
      <c r="J1183" t="str" cm="1">
        <f t="array" ref="J1183">_xlfn.IFS(C1183&lt;18.5,"Underweight",C1183&lt;25,"Normal",C1183&lt;30,"Overweight",C1183&gt;=30,"Obese")</f>
        <v>Obese</v>
      </c>
      <c r="K1183" t="str" cm="1">
        <f t="array" ref="K1183">_xlfn.IFS(G1183&lt;10000, "Low", G1183&lt;=25000, "Medium", G1183&gt;25000, "High")</f>
        <v>High</v>
      </c>
    </row>
    <row r="1184" spans="1:11" x14ac:dyDescent="0.3">
      <c r="A1184">
        <v>58</v>
      </c>
      <c r="B1184" s="1" t="s">
        <v>7</v>
      </c>
      <c r="C1184">
        <v>38.06</v>
      </c>
      <c r="D1184">
        <v>3</v>
      </c>
      <c r="E1184" t="s">
        <v>10</v>
      </c>
      <c r="F1184" t="s">
        <v>14</v>
      </c>
      <c r="G1184" s="2">
        <v>32108.662820000001</v>
      </c>
      <c r="H1184" t="str" cm="1">
        <f t="array" ref="H1184">_xlfn.IFS(A1184&lt;=30, "Youth", A1184&lt;=50, "Adult", A1184&gt;50, "Older")</f>
        <v>Older</v>
      </c>
      <c r="I1184" t="str" cm="1">
        <f t="array" ref="I1184">_xlfn.IFS(A1184&lt;=25,"18-25",A1184&lt;=35,"26-35",A1184&lt;=45,"36-45",A1184&lt;=60,"46-60",A1184&gt;60,"60+")</f>
        <v>46-60</v>
      </c>
      <c r="J1184" t="str" cm="1">
        <f t="array" ref="J1184">_xlfn.IFS(C1184&lt;18.5,"Underweight",C1184&lt;25,"Normal",C1184&lt;30,"Overweight",C1184&gt;=30,"Obese")</f>
        <v>Obese</v>
      </c>
      <c r="K1184" t="str" cm="1">
        <f t="array" ref="K1184">_xlfn.IFS(G1184&lt;10000, "Low", G1184&lt;=25000, "Medium", G1184&gt;25000, "High")</f>
        <v>High</v>
      </c>
    </row>
    <row r="1185" spans="1:11" x14ac:dyDescent="0.3">
      <c r="A1185">
        <v>58</v>
      </c>
      <c r="B1185" s="1" t="s">
        <v>7</v>
      </c>
      <c r="C1185">
        <v>38.06</v>
      </c>
      <c r="D1185">
        <v>3</v>
      </c>
      <c r="E1185" t="s">
        <v>9</v>
      </c>
      <c r="F1185" t="s">
        <v>12</v>
      </c>
      <c r="G1185" s="2">
        <v>32548.340499999998</v>
      </c>
      <c r="H1185" t="str" cm="1">
        <f t="array" ref="H1185">_xlfn.IFS(A1185&lt;=30, "Youth", A1185&lt;=50, "Adult", A1185&gt;50, "Older")</f>
        <v>Older</v>
      </c>
      <c r="I1185" t="str" cm="1">
        <f t="array" ref="I1185">_xlfn.IFS(A1185&lt;=25,"18-25",A1185&lt;=35,"26-35",A1185&lt;=45,"36-45",A1185&lt;=60,"46-60",A1185&gt;60,"60+")</f>
        <v>46-60</v>
      </c>
      <c r="J1185" t="str" cm="1">
        <f t="array" ref="J1185">_xlfn.IFS(C1185&lt;18.5,"Underweight",C1185&lt;25,"Normal",C1185&lt;30,"Overweight",C1185&gt;=30,"Obese")</f>
        <v>Obese</v>
      </c>
      <c r="K1185" t="str" cm="1">
        <f t="array" ref="K1185">_xlfn.IFS(G1185&lt;10000, "Low", G1185&lt;=25000, "Medium", G1185&gt;25000, "High")</f>
        <v>High</v>
      </c>
    </row>
    <row r="1186" spans="1:11" x14ac:dyDescent="0.3">
      <c r="A1186">
        <v>58</v>
      </c>
      <c r="B1186" s="1" t="s">
        <v>8</v>
      </c>
      <c r="C1186">
        <v>38.06</v>
      </c>
      <c r="D1186">
        <v>3</v>
      </c>
      <c r="E1186" t="s">
        <v>10</v>
      </c>
      <c r="F1186" t="s">
        <v>14</v>
      </c>
      <c r="G1186" s="2">
        <v>32734.186300000001</v>
      </c>
      <c r="H1186" t="str" cm="1">
        <f t="array" ref="H1186">_xlfn.IFS(A1186&lt;=30, "Youth", A1186&lt;=50, "Adult", A1186&gt;50, "Older")</f>
        <v>Older</v>
      </c>
      <c r="I1186" t="str" cm="1">
        <f t="array" ref="I1186">_xlfn.IFS(A1186&lt;=25,"18-25",A1186&lt;=35,"26-35",A1186&lt;=45,"36-45",A1186&lt;=60,"46-60",A1186&gt;60,"60+")</f>
        <v>46-60</v>
      </c>
      <c r="J1186" t="str" cm="1">
        <f t="array" ref="J1186">_xlfn.IFS(C1186&lt;18.5,"Underweight",C1186&lt;25,"Normal",C1186&lt;30,"Overweight",C1186&gt;=30,"Obese")</f>
        <v>Obese</v>
      </c>
      <c r="K1186" t="str" cm="1">
        <f t="array" ref="K1186">_xlfn.IFS(G1186&lt;10000, "Low", G1186&lt;=25000, "Medium", G1186&gt;25000, "High")</f>
        <v>High</v>
      </c>
    </row>
    <row r="1187" spans="1:11" x14ac:dyDescent="0.3">
      <c r="A1187">
        <v>58</v>
      </c>
      <c r="B1187" s="1" t="s">
        <v>8</v>
      </c>
      <c r="C1187">
        <v>38.094999999999999</v>
      </c>
      <c r="D1187">
        <v>3</v>
      </c>
      <c r="E1187" t="s">
        <v>9</v>
      </c>
      <c r="F1187" t="s">
        <v>13</v>
      </c>
      <c r="G1187" s="2">
        <v>32787.458590000002</v>
      </c>
      <c r="H1187" t="str" cm="1">
        <f t="array" ref="H1187">_xlfn.IFS(A1187&lt;=30, "Youth", A1187&lt;=50, "Adult", A1187&gt;50, "Older")</f>
        <v>Older</v>
      </c>
      <c r="I1187" t="str" cm="1">
        <f t="array" ref="I1187">_xlfn.IFS(A1187&lt;=25,"18-25",A1187&lt;=35,"26-35",A1187&lt;=45,"36-45",A1187&lt;=60,"46-60",A1187&gt;60,"60+")</f>
        <v>46-60</v>
      </c>
      <c r="J1187" t="str" cm="1">
        <f t="array" ref="J1187">_xlfn.IFS(C1187&lt;18.5,"Underweight",C1187&lt;25,"Normal",C1187&lt;30,"Overweight",C1187&gt;=30,"Obese")</f>
        <v>Obese</v>
      </c>
      <c r="K1187" t="str" cm="1">
        <f t="array" ref="K1187">_xlfn.IFS(G1187&lt;10000, "Low", G1187&lt;=25000, "Medium", G1187&gt;25000, "High")</f>
        <v>High</v>
      </c>
    </row>
    <row r="1188" spans="1:11" x14ac:dyDescent="0.3">
      <c r="A1188">
        <v>58</v>
      </c>
      <c r="B1188" s="1" t="s">
        <v>7</v>
      </c>
      <c r="C1188">
        <v>38.094999999999999</v>
      </c>
      <c r="D1188">
        <v>3</v>
      </c>
      <c r="E1188" t="s">
        <v>10</v>
      </c>
      <c r="F1188" t="s">
        <v>13</v>
      </c>
      <c r="G1188" s="2">
        <v>33307.550799999997</v>
      </c>
      <c r="H1188" t="str" cm="1">
        <f t="array" ref="H1188">_xlfn.IFS(A1188&lt;=30, "Youth", A1188&lt;=50, "Adult", A1188&gt;50, "Older")</f>
        <v>Older</v>
      </c>
      <c r="I1188" t="str" cm="1">
        <f t="array" ref="I1188">_xlfn.IFS(A1188&lt;=25,"18-25",A1188&lt;=35,"26-35",A1188&lt;=45,"36-45",A1188&lt;=60,"46-60",A1188&gt;60,"60+")</f>
        <v>46-60</v>
      </c>
      <c r="J1188" t="str" cm="1">
        <f t="array" ref="J1188">_xlfn.IFS(C1188&lt;18.5,"Underweight",C1188&lt;25,"Normal",C1188&lt;30,"Overweight",C1188&gt;=30,"Obese")</f>
        <v>Obese</v>
      </c>
      <c r="K1188" t="str" cm="1">
        <f t="array" ref="K1188">_xlfn.IFS(G1188&lt;10000, "Low", G1188&lt;=25000, "Medium", G1188&gt;25000, "High")</f>
        <v>High</v>
      </c>
    </row>
    <row r="1189" spans="1:11" x14ac:dyDescent="0.3">
      <c r="A1189">
        <v>58</v>
      </c>
      <c r="B1189" s="1" t="s">
        <v>7</v>
      </c>
      <c r="C1189">
        <v>38.094999999999999</v>
      </c>
      <c r="D1189">
        <v>3</v>
      </c>
      <c r="E1189" t="s">
        <v>9</v>
      </c>
      <c r="F1189" t="s">
        <v>14</v>
      </c>
      <c r="G1189" s="2">
        <v>33471.971890000001</v>
      </c>
      <c r="H1189" t="str" cm="1">
        <f t="array" ref="H1189">_xlfn.IFS(A1189&lt;=30, "Youth", A1189&lt;=50, "Adult", A1189&gt;50, "Older")</f>
        <v>Older</v>
      </c>
      <c r="I1189" t="str" cm="1">
        <f t="array" ref="I1189">_xlfn.IFS(A1189&lt;=25,"18-25",A1189&lt;=35,"26-35",A1189&lt;=45,"36-45",A1189&lt;=60,"46-60",A1189&gt;60,"60+")</f>
        <v>46-60</v>
      </c>
      <c r="J1189" t="str" cm="1">
        <f t="array" ref="J1189">_xlfn.IFS(C1189&lt;18.5,"Underweight",C1189&lt;25,"Normal",C1189&lt;30,"Overweight",C1189&gt;=30,"Obese")</f>
        <v>Obese</v>
      </c>
      <c r="K1189" t="str" cm="1">
        <f t="array" ref="K1189">_xlfn.IFS(G1189&lt;10000, "Low", G1189&lt;=25000, "Medium", G1189&gt;25000, "High")</f>
        <v>High</v>
      </c>
    </row>
    <row r="1190" spans="1:11" x14ac:dyDescent="0.3">
      <c r="A1190">
        <v>58</v>
      </c>
      <c r="B1190" s="1" t="s">
        <v>7</v>
      </c>
      <c r="C1190">
        <v>38.17</v>
      </c>
      <c r="D1190">
        <v>3</v>
      </c>
      <c r="E1190" t="s">
        <v>10</v>
      </c>
      <c r="F1190" t="s">
        <v>11</v>
      </c>
      <c r="G1190" s="2">
        <v>33475.817150000003</v>
      </c>
      <c r="H1190" t="str" cm="1">
        <f t="array" ref="H1190">_xlfn.IFS(A1190&lt;=30, "Youth", A1190&lt;=50, "Adult", A1190&gt;50, "Older")</f>
        <v>Older</v>
      </c>
      <c r="I1190" t="str" cm="1">
        <f t="array" ref="I1190">_xlfn.IFS(A1190&lt;=25,"18-25",A1190&lt;=35,"26-35",A1190&lt;=45,"36-45",A1190&lt;=60,"46-60",A1190&gt;60,"60+")</f>
        <v>46-60</v>
      </c>
      <c r="J1190" t="str" cm="1">
        <f t="array" ref="J1190">_xlfn.IFS(C1190&lt;18.5,"Underweight",C1190&lt;25,"Normal",C1190&lt;30,"Overweight",C1190&gt;=30,"Obese")</f>
        <v>Obese</v>
      </c>
      <c r="K1190" t="str" cm="1">
        <f t="array" ref="K1190">_xlfn.IFS(G1190&lt;10000, "Low", G1190&lt;=25000, "Medium", G1190&gt;25000, "High")</f>
        <v>High</v>
      </c>
    </row>
    <row r="1191" spans="1:11" x14ac:dyDescent="0.3">
      <c r="A1191">
        <v>58</v>
      </c>
      <c r="B1191" s="1" t="s">
        <v>7</v>
      </c>
      <c r="C1191">
        <v>38.17</v>
      </c>
      <c r="D1191">
        <v>3</v>
      </c>
      <c r="E1191" t="s">
        <v>10</v>
      </c>
      <c r="F1191" t="s">
        <v>13</v>
      </c>
      <c r="G1191" s="2">
        <v>33732.686699999998</v>
      </c>
      <c r="H1191" t="str" cm="1">
        <f t="array" ref="H1191">_xlfn.IFS(A1191&lt;=30, "Youth", A1191&lt;=50, "Adult", A1191&gt;50, "Older")</f>
        <v>Older</v>
      </c>
      <c r="I1191" t="str" cm="1">
        <f t="array" ref="I1191">_xlfn.IFS(A1191&lt;=25,"18-25",A1191&lt;=35,"26-35",A1191&lt;=45,"36-45",A1191&lt;=60,"46-60",A1191&gt;60,"60+")</f>
        <v>46-60</v>
      </c>
      <c r="J1191" t="str" cm="1">
        <f t="array" ref="J1191">_xlfn.IFS(C1191&lt;18.5,"Underweight",C1191&lt;25,"Normal",C1191&lt;30,"Overweight",C1191&gt;=30,"Obese")</f>
        <v>Obese</v>
      </c>
      <c r="K1191" t="str" cm="1">
        <f t="array" ref="K1191">_xlfn.IFS(G1191&lt;10000, "Low", G1191&lt;=25000, "Medium", G1191&gt;25000, "High")</f>
        <v>High</v>
      </c>
    </row>
    <row r="1192" spans="1:11" x14ac:dyDescent="0.3">
      <c r="A1192">
        <v>58</v>
      </c>
      <c r="B1192" s="1" t="s">
        <v>7</v>
      </c>
      <c r="C1192">
        <v>38.17</v>
      </c>
      <c r="D1192">
        <v>3</v>
      </c>
      <c r="E1192" t="s">
        <v>10</v>
      </c>
      <c r="F1192" t="s">
        <v>14</v>
      </c>
      <c r="G1192" s="2">
        <v>33750.291799999999</v>
      </c>
      <c r="H1192" t="str" cm="1">
        <f t="array" ref="H1192">_xlfn.IFS(A1192&lt;=30, "Youth", A1192&lt;=50, "Adult", A1192&gt;50, "Older")</f>
        <v>Older</v>
      </c>
      <c r="I1192" t="str" cm="1">
        <f t="array" ref="I1192">_xlfn.IFS(A1192&lt;=25,"18-25",A1192&lt;=35,"26-35",A1192&lt;=45,"36-45",A1192&lt;=60,"46-60",A1192&gt;60,"60+")</f>
        <v>46-60</v>
      </c>
      <c r="J1192" t="str" cm="1">
        <f t="array" ref="J1192">_xlfn.IFS(C1192&lt;18.5,"Underweight",C1192&lt;25,"Normal",C1192&lt;30,"Overweight",C1192&gt;=30,"Obese")</f>
        <v>Obese</v>
      </c>
      <c r="K1192" t="str" cm="1">
        <f t="array" ref="K1192">_xlfn.IFS(G1192&lt;10000, "Low", G1192&lt;=25000, "Medium", G1192&gt;25000, "High")</f>
        <v>High</v>
      </c>
    </row>
    <row r="1193" spans="1:11" x14ac:dyDescent="0.3">
      <c r="A1193">
        <v>58</v>
      </c>
      <c r="B1193" s="1" t="s">
        <v>7</v>
      </c>
      <c r="C1193">
        <v>38.19</v>
      </c>
      <c r="D1193">
        <v>3</v>
      </c>
      <c r="E1193" t="s">
        <v>10</v>
      </c>
      <c r="F1193" t="s">
        <v>14</v>
      </c>
      <c r="G1193" s="2">
        <v>33900.652999999998</v>
      </c>
      <c r="H1193" t="str" cm="1">
        <f t="array" ref="H1193">_xlfn.IFS(A1193&lt;=30, "Youth", A1193&lt;=50, "Adult", A1193&gt;50, "Older")</f>
        <v>Older</v>
      </c>
      <c r="I1193" t="str" cm="1">
        <f t="array" ref="I1193">_xlfn.IFS(A1193&lt;=25,"18-25",A1193&lt;=35,"26-35",A1193&lt;=45,"36-45",A1193&lt;=60,"46-60",A1193&gt;60,"60+")</f>
        <v>46-60</v>
      </c>
      <c r="J1193" t="str" cm="1">
        <f t="array" ref="J1193">_xlfn.IFS(C1193&lt;18.5,"Underweight",C1193&lt;25,"Normal",C1193&lt;30,"Overweight",C1193&gt;=30,"Obese")</f>
        <v>Obese</v>
      </c>
      <c r="K1193" t="str" cm="1">
        <f t="array" ref="K1193">_xlfn.IFS(G1193&lt;10000, "Low", G1193&lt;=25000, "Medium", G1193&gt;25000, "High")</f>
        <v>High</v>
      </c>
    </row>
    <row r="1194" spans="1:11" x14ac:dyDescent="0.3">
      <c r="A1194">
        <v>58</v>
      </c>
      <c r="B1194" s="1" t="s">
        <v>7</v>
      </c>
      <c r="C1194">
        <v>38.28</v>
      </c>
      <c r="D1194">
        <v>3</v>
      </c>
      <c r="E1194" t="s">
        <v>10</v>
      </c>
      <c r="F1194" t="s">
        <v>13</v>
      </c>
      <c r="G1194" s="2">
        <v>33907.548000000003</v>
      </c>
      <c r="H1194" t="str" cm="1">
        <f t="array" ref="H1194">_xlfn.IFS(A1194&lt;=30, "Youth", A1194&lt;=50, "Adult", A1194&gt;50, "Older")</f>
        <v>Older</v>
      </c>
      <c r="I1194" t="str" cm="1">
        <f t="array" ref="I1194">_xlfn.IFS(A1194&lt;=25,"18-25",A1194&lt;=35,"26-35",A1194&lt;=45,"36-45",A1194&lt;=60,"46-60",A1194&gt;60,"60+")</f>
        <v>46-60</v>
      </c>
      <c r="J1194" t="str" cm="1">
        <f t="array" ref="J1194">_xlfn.IFS(C1194&lt;18.5,"Underweight",C1194&lt;25,"Normal",C1194&lt;30,"Overweight",C1194&gt;=30,"Obese")</f>
        <v>Obese</v>
      </c>
      <c r="K1194" t="str" cm="1">
        <f t="array" ref="K1194">_xlfn.IFS(G1194&lt;10000, "Low", G1194&lt;=25000, "Medium", G1194&gt;25000, "High")</f>
        <v>High</v>
      </c>
    </row>
    <row r="1195" spans="1:11" x14ac:dyDescent="0.3">
      <c r="A1195">
        <v>58</v>
      </c>
      <c r="B1195" s="1" t="s">
        <v>7</v>
      </c>
      <c r="C1195">
        <v>38.28</v>
      </c>
      <c r="D1195">
        <v>3</v>
      </c>
      <c r="E1195" t="s">
        <v>10</v>
      </c>
      <c r="F1195" t="s">
        <v>13</v>
      </c>
      <c r="G1195" s="2">
        <v>34166.273000000001</v>
      </c>
      <c r="H1195" t="str" cm="1">
        <f t="array" ref="H1195">_xlfn.IFS(A1195&lt;=30, "Youth", A1195&lt;=50, "Adult", A1195&gt;50, "Older")</f>
        <v>Older</v>
      </c>
      <c r="I1195" t="str" cm="1">
        <f t="array" ref="I1195">_xlfn.IFS(A1195&lt;=25,"18-25",A1195&lt;=35,"26-35",A1195&lt;=45,"36-45",A1195&lt;=60,"46-60",A1195&gt;60,"60+")</f>
        <v>46-60</v>
      </c>
      <c r="J1195" t="str" cm="1">
        <f t="array" ref="J1195">_xlfn.IFS(C1195&lt;18.5,"Underweight",C1195&lt;25,"Normal",C1195&lt;30,"Overweight",C1195&gt;=30,"Obese")</f>
        <v>Obese</v>
      </c>
      <c r="K1195" t="str" cm="1">
        <f t="array" ref="K1195">_xlfn.IFS(G1195&lt;10000, "Low", G1195&lt;=25000, "Medium", G1195&gt;25000, "High")</f>
        <v>High</v>
      </c>
    </row>
    <row r="1196" spans="1:11" x14ac:dyDescent="0.3">
      <c r="A1196">
        <v>58</v>
      </c>
      <c r="B1196" s="1" t="s">
        <v>7</v>
      </c>
      <c r="C1196">
        <v>38.28</v>
      </c>
      <c r="D1196">
        <v>3</v>
      </c>
      <c r="E1196" t="s">
        <v>10</v>
      </c>
      <c r="F1196" t="s">
        <v>13</v>
      </c>
      <c r="G1196" s="2">
        <v>34254.053350000002</v>
      </c>
      <c r="H1196" t="str" cm="1">
        <f t="array" ref="H1196">_xlfn.IFS(A1196&lt;=30, "Youth", A1196&lt;=50, "Adult", A1196&gt;50, "Older")</f>
        <v>Older</v>
      </c>
      <c r="I1196" t="str" cm="1">
        <f t="array" ref="I1196">_xlfn.IFS(A1196&lt;=25,"18-25",A1196&lt;=35,"26-35",A1196&lt;=45,"36-45",A1196&lt;=60,"46-60",A1196&gt;60,"60+")</f>
        <v>46-60</v>
      </c>
      <c r="J1196" t="str" cm="1">
        <f t="array" ref="J1196">_xlfn.IFS(C1196&lt;18.5,"Underweight",C1196&lt;25,"Normal",C1196&lt;30,"Overweight",C1196&gt;=30,"Obese")</f>
        <v>Obese</v>
      </c>
      <c r="K1196" t="str" cm="1">
        <f t="array" ref="K1196">_xlfn.IFS(G1196&lt;10000, "Low", G1196&lt;=25000, "Medium", G1196&gt;25000, "High")</f>
        <v>High</v>
      </c>
    </row>
    <row r="1197" spans="1:11" x14ac:dyDescent="0.3">
      <c r="A1197">
        <v>58</v>
      </c>
      <c r="B1197" s="1" t="s">
        <v>7</v>
      </c>
      <c r="C1197">
        <v>38.284999999999997</v>
      </c>
      <c r="D1197">
        <v>3</v>
      </c>
      <c r="E1197" t="s">
        <v>9</v>
      </c>
      <c r="F1197" t="s">
        <v>13</v>
      </c>
      <c r="G1197" s="2">
        <v>34303.167200000004</v>
      </c>
      <c r="H1197" t="str" cm="1">
        <f t="array" ref="H1197">_xlfn.IFS(A1197&lt;=30, "Youth", A1197&lt;=50, "Adult", A1197&gt;50, "Older")</f>
        <v>Older</v>
      </c>
      <c r="I1197" t="str" cm="1">
        <f t="array" ref="I1197">_xlfn.IFS(A1197&lt;=25,"18-25",A1197&lt;=35,"26-35",A1197&lt;=45,"36-45",A1197&lt;=60,"46-60",A1197&gt;60,"60+")</f>
        <v>46-60</v>
      </c>
      <c r="J1197" t="str" cm="1">
        <f t="array" ref="J1197">_xlfn.IFS(C1197&lt;18.5,"Underweight",C1197&lt;25,"Normal",C1197&lt;30,"Overweight",C1197&gt;=30,"Obese")</f>
        <v>Obese</v>
      </c>
      <c r="K1197" t="str" cm="1">
        <f t="array" ref="K1197">_xlfn.IFS(G1197&lt;10000, "Low", G1197&lt;=25000, "Medium", G1197&gt;25000, "High")</f>
        <v>High</v>
      </c>
    </row>
    <row r="1198" spans="1:11" x14ac:dyDescent="0.3">
      <c r="A1198">
        <v>58</v>
      </c>
      <c r="B1198" s="1" t="s">
        <v>8</v>
      </c>
      <c r="C1198">
        <v>38.380000000000003</v>
      </c>
      <c r="D1198">
        <v>3</v>
      </c>
      <c r="E1198" t="s">
        <v>10</v>
      </c>
      <c r="F1198" t="s">
        <v>12</v>
      </c>
      <c r="G1198" s="2">
        <v>34439.855900000002</v>
      </c>
      <c r="H1198" t="str" cm="1">
        <f t="array" ref="H1198">_xlfn.IFS(A1198&lt;=30, "Youth", A1198&lt;=50, "Adult", A1198&gt;50, "Older")</f>
        <v>Older</v>
      </c>
      <c r="I1198" t="str" cm="1">
        <f t="array" ref="I1198">_xlfn.IFS(A1198&lt;=25,"18-25",A1198&lt;=35,"26-35",A1198&lt;=45,"36-45",A1198&lt;=60,"46-60",A1198&gt;60,"60+")</f>
        <v>46-60</v>
      </c>
      <c r="J1198" t="str" cm="1">
        <f t="array" ref="J1198">_xlfn.IFS(C1198&lt;18.5,"Underweight",C1198&lt;25,"Normal",C1198&lt;30,"Overweight",C1198&gt;=30,"Obese")</f>
        <v>Obese</v>
      </c>
      <c r="K1198" t="str" cm="1">
        <f t="array" ref="K1198">_xlfn.IFS(G1198&lt;10000, "Low", G1198&lt;=25000, "Medium", G1198&gt;25000, "High")</f>
        <v>High</v>
      </c>
    </row>
    <row r="1199" spans="1:11" x14ac:dyDescent="0.3">
      <c r="A1199">
        <v>58</v>
      </c>
      <c r="B1199" s="1" t="s">
        <v>8</v>
      </c>
      <c r="C1199">
        <v>38.380000000000003</v>
      </c>
      <c r="D1199">
        <v>3</v>
      </c>
      <c r="E1199" t="s">
        <v>10</v>
      </c>
      <c r="F1199" t="s">
        <v>13</v>
      </c>
      <c r="G1199" s="2">
        <v>34472.841</v>
      </c>
      <c r="H1199" t="str" cm="1">
        <f t="array" ref="H1199">_xlfn.IFS(A1199&lt;=30, "Youth", A1199&lt;=50, "Adult", A1199&gt;50, "Older")</f>
        <v>Older</v>
      </c>
      <c r="I1199" t="str" cm="1">
        <f t="array" ref="I1199">_xlfn.IFS(A1199&lt;=25,"18-25",A1199&lt;=35,"26-35",A1199&lt;=45,"36-45",A1199&lt;=60,"46-60",A1199&gt;60,"60+")</f>
        <v>46-60</v>
      </c>
      <c r="J1199" t="str" cm="1">
        <f t="array" ref="J1199">_xlfn.IFS(C1199&lt;18.5,"Underweight",C1199&lt;25,"Normal",C1199&lt;30,"Overweight",C1199&gt;=30,"Obese")</f>
        <v>Obese</v>
      </c>
      <c r="K1199" t="str" cm="1">
        <f t="array" ref="K1199">_xlfn.IFS(G1199&lt;10000, "Low", G1199&lt;=25000, "Medium", G1199&gt;25000, "High")</f>
        <v>High</v>
      </c>
    </row>
    <row r="1200" spans="1:11" x14ac:dyDescent="0.3">
      <c r="A1200">
        <v>59</v>
      </c>
      <c r="B1200" s="1" t="s">
        <v>7</v>
      </c>
      <c r="C1200">
        <v>38.39</v>
      </c>
      <c r="D1200">
        <v>3</v>
      </c>
      <c r="E1200" t="s">
        <v>10</v>
      </c>
      <c r="F1200" t="s">
        <v>11</v>
      </c>
      <c r="G1200" s="2">
        <v>34617.840649999998</v>
      </c>
      <c r="H1200" t="str" cm="1">
        <f t="array" ref="H1200">_xlfn.IFS(A1200&lt;=30, "Youth", A1200&lt;=50, "Adult", A1200&gt;50, "Older")</f>
        <v>Older</v>
      </c>
      <c r="I1200" t="str" cm="1">
        <f t="array" ref="I1200">_xlfn.IFS(A1200&lt;=25,"18-25",A1200&lt;=35,"26-35",A1200&lt;=45,"36-45",A1200&lt;=60,"46-60",A1200&gt;60,"60+")</f>
        <v>46-60</v>
      </c>
      <c r="J1200" t="str" cm="1">
        <f t="array" ref="J1200">_xlfn.IFS(C1200&lt;18.5,"Underweight",C1200&lt;25,"Normal",C1200&lt;30,"Overweight",C1200&gt;=30,"Obese")</f>
        <v>Obese</v>
      </c>
      <c r="K1200" t="str" cm="1">
        <f t="array" ref="K1200">_xlfn.IFS(G1200&lt;10000, "Low", G1200&lt;=25000, "Medium", G1200&gt;25000, "High")</f>
        <v>High</v>
      </c>
    </row>
    <row r="1201" spans="1:11" x14ac:dyDescent="0.3">
      <c r="A1201">
        <v>59</v>
      </c>
      <c r="B1201" s="1" t="s">
        <v>8</v>
      </c>
      <c r="C1201">
        <v>38.39</v>
      </c>
      <c r="D1201">
        <v>3</v>
      </c>
      <c r="E1201" t="s">
        <v>10</v>
      </c>
      <c r="F1201" t="s">
        <v>13</v>
      </c>
      <c r="G1201" s="2">
        <v>34672.147199999999</v>
      </c>
      <c r="H1201" t="str" cm="1">
        <f t="array" ref="H1201">_xlfn.IFS(A1201&lt;=30, "Youth", A1201&lt;=50, "Adult", A1201&gt;50, "Older")</f>
        <v>Older</v>
      </c>
      <c r="I1201" t="str" cm="1">
        <f t="array" ref="I1201">_xlfn.IFS(A1201&lt;=25,"18-25",A1201&lt;=35,"26-35",A1201&lt;=45,"36-45",A1201&lt;=60,"46-60",A1201&gt;60,"60+")</f>
        <v>46-60</v>
      </c>
      <c r="J1201" t="str" cm="1">
        <f t="array" ref="J1201">_xlfn.IFS(C1201&lt;18.5,"Underweight",C1201&lt;25,"Normal",C1201&lt;30,"Overweight",C1201&gt;=30,"Obese")</f>
        <v>Obese</v>
      </c>
      <c r="K1201" t="str" cm="1">
        <f t="array" ref="K1201">_xlfn.IFS(G1201&lt;10000, "Low", G1201&lt;=25000, "Medium", G1201&gt;25000, "High")</f>
        <v>High</v>
      </c>
    </row>
    <row r="1202" spans="1:11" x14ac:dyDescent="0.3">
      <c r="A1202">
        <v>59</v>
      </c>
      <c r="B1202" s="1" t="s">
        <v>8</v>
      </c>
      <c r="C1202">
        <v>38.39</v>
      </c>
      <c r="D1202">
        <v>3</v>
      </c>
      <c r="E1202" t="s">
        <v>10</v>
      </c>
      <c r="F1202" t="s">
        <v>13</v>
      </c>
      <c r="G1202" s="2">
        <v>34779.614999999998</v>
      </c>
      <c r="H1202" t="str" cm="1">
        <f t="array" ref="H1202">_xlfn.IFS(A1202&lt;=30, "Youth", A1202&lt;=50, "Adult", A1202&gt;50, "Older")</f>
        <v>Older</v>
      </c>
      <c r="I1202" t="str" cm="1">
        <f t="array" ref="I1202">_xlfn.IFS(A1202&lt;=25,"18-25",A1202&lt;=35,"26-35",A1202&lt;=45,"36-45",A1202&lt;=60,"46-60",A1202&gt;60,"60+")</f>
        <v>46-60</v>
      </c>
      <c r="J1202" t="str" cm="1">
        <f t="array" ref="J1202">_xlfn.IFS(C1202&lt;18.5,"Underweight",C1202&lt;25,"Normal",C1202&lt;30,"Overweight",C1202&gt;=30,"Obese")</f>
        <v>Obese</v>
      </c>
      <c r="K1202" t="str" cm="1">
        <f t="array" ref="K1202">_xlfn.IFS(G1202&lt;10000, "Low", G1202&lt;=25000, "Medium", G1202&gt;25000, "High")</f>
        <v>High</v>
      </c>
    </row>
    <row r="1203" spans="1:11" x14ac:dyDescent="0.3">
      <c r="A1203">
        <v>59</v>
      </c>
      <c r="B1203" s="1" t="s">
        <v>8</v>
      </c>
      <c r="C1203">
        <v>38.6</v>
      </c>
      <c r="D1203">
        <v>3</v>
      </c>
      <c r="E1203" t="s">
        <v>10</v>
      </c>
      <c r="F1203" t="s">
        <v>13</v>
      </c>
      <c r="G1203" s="2">
        <v>34806.467700000001</v>
      </c>
      <c r="H1203" t="str" cm="1">
        <f t="array" ref="H1203">_xlfn.IFS(A1203&lt;=30, "Youth", A1203&lt;=50, "Adult", A1203&gt;50, "Older")</f>
        <v>Older</v>
      </c>
      <c r="I1203" t="str" cm="1">
        <f t="array" ref="I1203">_xlfn.IFS(A1203&lt;=25,"18-25",A1203&lt;=35,"26-35",A1203&lt;=45,"36-45",A1203&lt;=60,"46-60",A1203&gt;60,"60+")</f>
        <v>46-60</v>
      </c>
      <c r="J1203" t="str" cm="1">
        <f t="array" ref="J1203">_xlfn.IFS(C1203&lt;18.5,"Underweight",C1203&lt;25,"Normal",C1203&lt;30,"Overweight",C1203&gt;=30,"Obese")</f>
        <v>Obese</v>
      </c>
      <c r="K1203" t="str" cm="1">
        <f t="array" ref="K1203">_xlfn.IFS(G1203&lt;10000, "Low", G1203&lt;=25000, "Medium", G1203&gt;25000, "High")</f>
        <v>High</v>
      </c>
    </row>
    <row r="1204" spans="1:11" x14ac:dyDescent="0.3">
      <c r="A1204">
        <v>59</v>
      </c>
      <c r="B1204" s="1" t="s">
        <v>8</v>
      </c>
      <c r="C1204">
        <v>38.6</v>
      </c>
      <c r="D1204">
        <v>3</v>
      </c>
      <c r="E1204" t="s">
        <v>10</v>
      </c>
      <c r="F1204" t="s">
        <v>14</v>
      </c>
      <c r="G1204" s="2">
        <v>34828.654000000002</v>
      </c>
      <c r="H1204" t="str" cm="1">
        <f t="array" ref="H1204">_xlfn.IFS(A1204&lt;=30, "Youth", A1204&lt;=50, "Adult", A1204&gt;50, "Older")</f>
        <v>Older</v>
      </c>
      <c r="I1204" t="str" cm="1">
        <f t="array" ref="I1204">_xlfn.IFS(A1204&lt;=25,"18-25",A1204&lt;=35,"26-35",A1204&lt;=45,"36-45",A1204&lt;=60,"46-60",A1204&gt;60,"60+")</f>
        <v>46-60</v>
      </c>
      <c r="J1204" t="str" cm="1">
        <f t="array" ref="J1204">_xlfn.IFS(C1204&lt;18.5,"Underweight",C1204&lt;25,"Normal",C1204&lt;30,"Overweight",C1204&gt;=30,"Obese")</f>
        <v>Obese</v>
      </c>
      <c r="K1204" t="str" cm="1">
        <f t="array" ref="K1204">_xlfn.IFS(G1204&lt;10000, "Low", G1204&lt;=25000, "Medium", G1204&gt;25000, "High")</f>
        <v>High</v>
      </c>
    </row>
    <row r="1205" spans="1:11" x14ac:dyDescent="0.3">
      <c r="A1205">
        <v>59</v>
      </c>
      <c r="B1205" s="1" t="s">
        <v>7</v>
      </c>
      <c r="C1205">
        <v>38.664999999999999</v>
      </c>
      <c r="D1205">
        <v>3</v>
      </c>
      <c r="E1205" t="s">
        <v>9</v>
      </c>
      <c r="F1205" t="s">
        <v>12</v>
      </c>
      <c r="G1205" s="2">
        <v>34838.873</v>
      </c>
      <c r="H1205" t="str" cm="1">
        <f t="array" ref="H1205">_xlfn.IFS(A1205&lt;=30, "Youth", A1205&lt;=50, "Adult", A1205&gt;50, "Older")</f>
        <v>Older</v>
      </c>
      <c r="I1205" t="str" cm="1">
        <f t="array" ref="I1205">_xlfn.IFS(A1205&lt;=25,"18-25",A1205&lt;=35,"26-35",A1205&lt;=45,"36-45",A1205&lt;=60,"46-60",A1205&gt;60,"60+")</f>
        <v>46-60</v>
      </c>
      <c r="J1205" t="str" cm="1">
        <f t="array" ref="J1205">_xlfn.IFS(C1205&lt;18.5,"Underweight",C1205&lt;25,"Normal",C1205&lt;30,"Overweight",C1205&gt;=30,"Obese")</f>
        <v>Obese</v>
      </c>
      <c r="K1205" t="str" cm="1">
        <f t="array" ref="K1205">_xlfn.IFS(G1205&lt;10000, "Low", G1205&lt;=25000, "Medium", G1205&gt;25000, "High")</f>
        <v>High</v>
      </c>
    </row>
    <row r="1206" spans="1:11" x14ac:dyDescent="0.3">
      <c r="A1206">
        <v>59</v>
      </c>
      <c r="B1206" s="1" t="s">
        <v>8</v>
      </c>
      <c r="C1206">
        <v>38.83</v>
      </c>
      <c r="D1206">
        <v>3</v>
      </c>
      <c r="E1206" t="s">
        <v>10</v>
      </c>
      <c r="F1206" t="s">
        <v>13</v>
      </c>
      <c r="G1206" s="2">
        <v>35069.374519999998</v>
      </c>
      <c r="H1206" t="str" cm="1">
        <f t="array" ref="H1206">_xlfn.IFS(A1206&lt;=30, "Youth", A1206&lt;=50, "Adult", A1206&gt;50, "Older")</f>
        <v>Older</v>
      </c>
      <c r="I1206" t="str" cm="1">
        <f t="array" ref="I1206">_xlfn.IFS(A1206&lt;=25,"18-25",A1206&lt;=35,"26-35",A1206&lt;=45,"36-45",A1206&lt;=60,"46-60",A1206&gt;60,"60+")</f>
        <v>46-60</v>
      </c>
      <c r="J1206" t="str" cm="1">
        <f t="array" ref="J1206">_xlfn.IFS(C1206&lt;18.5,"Underweight",C1206&lt;25,"Normal",C1206&lt;30,"Overweight",C1206&gt;=30,"Obese")</f>
        <v>Obese</v>
      </c>
      <c r="K1206" t="str" cm="1">
        <f t="array" ref="K1206">_xlfn.IFS(G1206&lt;10000, "Low", G1206&lt;=25000, "Medium", G1206&gt;25000, "High")</f>
        <v>High</v>
      </c>
    </row>
    <row r="1207" spans="1:11" x14ac:dyDescent="0.3">
      <c r="A1207">
        <v>59</v>
      </c>
      <c r="B1207" s="1" t="s">
        <v>7</v>
      </c>
      <c r="C1207">
        <v>38.83</v>
      </c>
      <c r="D1207">
        <v>3</v>
      </c>
      <c r="E1207" t="s">
        <v>10</v>
      </c>
      <c r="F1207" t="s">
        <v>11</v>
      </c>
      <c r="G1207" s="2">
        <v>35147.528480000001</v>
      </c>
      <c r="H1207" t="str" cm="1">
        <f t="array" ref="H1207">_xlfn.IFS(A1207&lt;=30, "Youth", A1207&lt;=50, "Adult", A1207&gt;50, "Older")</f>
        <v>Older</v>
      </c>
      <c r="I1207" t="str" cm="1">
        <f t="array" ref="I1207">_xlfn.IFS(A1207&lt;=25,"18-25",A1207&lt;=35,"26-35",A1207&lt;=45,"36-45",A1207&lt;=60,"46-60",A1207&gt;60,"60+")</f>
        <v>46-60</v>
      </c>
      <c r="J1207" t="str" cm="1">
        <f t="array" ref="J1207">_xlfn.IFS(C1207&lt;18.5,"Underweight",C1207&lt;25,"Normal",C1207&lt;30,"Overweight",C1207&gt;=30,"Obese")</f>
        <v>Obese</v>
      </c>
      <c r="K1207" t="str" cm="1">
        <f t="array" ref="K1207">_xlfn.IFS(G1207&lt;10000, "Low", G1207&lt;=25000, "Medium", G1207&gt;25000, "High")</f>
        <v>High</v>
      </c>
    </row>
    <row r="1208" spans="1:11" x14ac:dyDescent="0.3">
      <c r="A1208">
        <v>59</v>
      </c>
      <c r="B1208" s="1" t="s">
        <v>8</v>
      </c>
      <c r="C1208">
        <v>38.83</v>
      </c>
      <c r="D1208">
        <v>3</v>
      </c>
      <c r="E1208" t="s">
        <v>9</v>
      </c>
      <c r="F1208" t="s">
        <v>11</v>
      </c>
      <c r="G1208" s="2">
        <v>35160.134570000002</v>
      </c>
      <c r="H1208" t="str" cm="1">
        <f t="array" ref="H1208">_xlfn.IFS(A1208&lt;=30, "Youth", A1208&lt;=50, "Adult", A1208&gt;50, "Older")</f>
        <v>Older</v>
      </c>
      <c r="I1208" t="str" cm="1">
        <f t="array" ref="I1208">_xlfn.IFS(A1208&lt;=25,"18-25",A1208&lt;=35,"26-35",A1208&lt;=45,"36-45",A1208&lt;=60,"46-60",A1208&gt;60,"60+")</f>
        <v>46-60</v>
      </c>
      <c r="J1208" t="str" cm="1">
        <f t="array" ref="J1208">_xlfn.IFS(C1208&lt;18.5,"Underweight",C1208&lt;25,"Normal",C1208&lt;30,"Overweight",C1208&gt;=30,"Obese")</f>
        <v>Obese</v>
      </c>
      <c r="K1208" t="str" cm="1">
        <f t="array" ref="K1208">_xlfn.IFS(G1208&lt;10000, "Low", G1208&lt;=25000, "Medium", G1208&gt;25000, "High")</f>
        <v>High</v>
      </c>
    </row>
    <row r="1209" spans="1:11" x14ac:dyDescent="0.3">
      <c r="A1209">
        <v>59</v>
      </c>
      <c r="B1209" s="1" t="s">
        <v>7</v>
      </c>
      <c r="C1209">
        <v>38.9</v>
      </c>
      <c r="D1209">
        <v>3</v>
      </c>
      <c r="E1209" t="s">
        <v>9</v>
      </c>
      <c r="F1209" t="s">
        <v>14</v>
      </c>
      <c r="G1209" s="2">
        <v>35491.64</v>
      </c>
      <c r="H1209" t="str" cm="1">
        <f t="array" ref="H1209">_xlfn.IFS(A1209&lt;=30, "Youth", A1209&lt;=50, "Adult", A1209&gt;50, "Older")</f>
        <v>Older</v>
      </c>
      <c r="I1209" t="str" cm="1">
        <f t="array" ref="I1209">_xlfn.IFS(A1209&lt;=25,"18-25",A1209&lt;=35,"26-35",A1209&lt;=45,"36-45",A1209&lt;=60,"46-60",A1209&gt;60,"60+")</f>
        <v>46-60</v>
      </c>
      <c r="J1209" t="str" cm="1">
        <f t="array" ref="J1209">_xlfn.IFS(C1209&lt;18.5,"Underweight",C1209&lt;25,"Normal",C1209&lt;30,"Overweight",C1209&gt;=30,"Obese")</f>
        <v>Obese</v>
      </c>
      <c r="K1209" t="str" cm="1">
        <f t="array" ref="K1209">_xlfn.IFS(G1209&lt;10000, "Low", G1209&lt;=25000, "Medium", G1209&gt;25000, "High")</f>
        <v>High</v>
      </c>
    </row>
    <row r="1210" spans="1:11" x14ac:dyDescent="0.3">
      <c r="A1210">
        <v>59</v>
      </c>
      <c r="B1210" s="1" t="s">
        <v>8</v>
      </c>
      <c r="C1210">
        <v>38.94</v>
      </c>
      <c r="D1210">
        <v>3</v>
      </c>
      <c r="E1210" t="s">
        <v>10</v>
      </c>
      <c r="F1210" t="s">
        <v>11</v>
      </c>
      <c r="G1210" s="2">
        <v>35585.576000000001</v>
      </c>
      <c r="H1210" t="str" cm="1">
        <f t="array" ref="H1210">_xlfn.IFS(A1210&lt;=30, "Youth", A1210&lt;=50, "Adult", A1210&gt;50, "Older")</f>
        <v>Older</v>
      </c>
      <c r="I1210" t="str" cm="1">
        <f t="array" ref="I1210">_xlfn.IFS(A1210&lt;=25,"18-25",A1210&lt;=35,"26-35",A1210&lt;=45,"36-45",A1210&lt;=60,"46-60",A1210&gt;60,"60+")</f>
        <v>46-60</v>
      </c>
      <c r="J1210" t="str" cm="1">
        <f t="array" ref="J1210">_xlfn.IFS(C1210&lt;18.5,"Underweight",C1210&lt;25,"Normal",C1210&lt;30,"Overweight",C1210&gt;=30,"Obese")</f>
        <v>Obese</v>
      </c>
      <c r="K1210" t="str" cm="1">
        <f t="array" ref="K1210">_xlfn.IFS(G1210&lt;10000, "Low", G1210&lt;=25000, "Medium", G1210&gt;25000, "High")</f>
        <v>High</v>
      </c>
    </row>
    <row r="1211" spans="1:11" x14ac:dyDescent="0.3">
      <c r="A1211">
        <v>59</v>
      </c>
      <c r="B1211" s="1" t="s">
        <v>8</v>
      </c>
      <c r="C1211">
        <v>38.94</v>
      </c>
      <c r="D1211">
        <v>3</v>
      </c>
      <c r="E1211" t="s">
        <v>10</v>
      </c>
      <c r="F1211" t="s">
        <v>13</v>
      </c>
      <c r="G1211" s="2">
        <v>35595.589800000002</v>
      </c>
      <c r="H1211" t="str" cm="1">
        <f t="array" ref="H1211">_xlfn.IFS(A1211&lt;=30, "Youth", A1211&lt;=50, "Adult", A1211&gt;50, "Older")</f>
        <v>Older</v>
      </c>
      <c r="I1211" t="str" cm="1">
        <f t="array" ref="I1211">_xlfn.IFS(A1211&lt;=25,"18-25",A1211&lt;=35,"26-35",A1211&lt;=45,"36-45",A1211&lt;=60,"46-60",A1211&gt;60,"60+")</f>
        <v>46-60</v>
      </c>
      <c r="J1211" t="str" cm="1">
        <f t="array" ref="J1211">_xlfn.IFS(C1211&lt;18.5,"Underweight",C1211&lt;25,"Normal",C1211&lt;30,"Overweight",C1211&gt;=30,"Obese")</f>
        <v>Obese</v>
      </c>
      <c r="K1211" t="str" cm="1">
        <f t="array" ref="K1211">_xlfn.IFS(G1211&lt;10000, "Low", G1211&lt;=25000, "Medium", G1211&gt;25000, "High")</f>
        <v>High</v>
      </c>
    </row>
    <row r="1212" spans="1:11" x14ac:dyDescent="0.3">
      <c r="A1212">
        <v>59</v>
      </c>
      <c r="B1212" s="1" t="s">
        <v>8</v>
      </c>
      <c r="C1212">
        <v>38.950000000000003</v>
      </c>
      <c r="D1212">
        <v>3</v>
      </c>
      <c r="E1212" t="s">
        <v>10</v>
      </c>
      <c r="F1212" t="s">
        <v>12</v>
      </c>
      <c r="G1212" s="2">
        <v>36021.011200000001</v>
      </c>
      <c r="H1212" t="str" cm="1">
        <f t="array" ref="H1212">_xlfn.IFS(A1212&lt;=30, "Youth", A1212&lt;=50, "Adult", A1212&gt;50, "Older")</f>
        <v>Older</v>
      </c>
      <c r="I1212" t="str" cm="1">
        <f t="array" ref="I1212">_xlfn.IFS(A1212&lt;=25,"18-25",A1212&lt;=35,"26-35",A1212&lt;=45,"36-45",A1212&lt;=60,"46-60",A1212&gt;60,"60+")</f>
        <v>46-60</v>
      </c>
      <c r="J1212" t="str" cm="1">
        <f t="array" ref="J1212">_xlfn.IFS(C1212&lt;18.5,"Underweight",C1212&lt;25,"Normal",C1212&lt;30,"Overweight",C1212&gt;=30,"Obese")</f>
        <v>Obese</v>
      </c>
      <c r="K1212" t="str" cm="1">
        <f t="array" ref="K1212">_xlfn.IFS(G1212&lt;10000, "Low", G1212&lt;=25000, "Medium", G1212&gt;25000, "High")</f>
        <v>High</v>
      </c>
    </row>
    <row r="1213" spans="1:11" x14ac:dyDescent="0.3">
      <c r="A1213">
        <v>59</v>
      </c>
      <c r="B1213" s="1" t="s">
        <v>8</v>
      </c>
      <c r="C1213">
        <v>39.049999999999997</v>
      </c>
      <c r="D1213">
        <v>3</v>
      </c>
      <c r="E1213" t="s">
        <v>10</v>
      </c>
      <c r="F1213" t="s">
        <v>14</v>
      </c>
      <c r="G1213" s="2">
        <v>36085.218999999997</v>
      </c>
      <c r="H1213" t="str" cm="1">
        <f t="array" ref="H1213">_xlfn.IFS(A1213&lt;=30, "Youth", A1213&lt;=50, "Adult", A1213&gt;50, "Older")</f>
        <v>Older</v>
      </c>
      <c r="I1213" t="str" cm="1">
        <f t="array" ref="I1213">_xlfn.IFS(A1213&lt;=25,"18-25",A1213&lt;=35,"26-35",A1213&lt;=45,"36-45",A1213&lt;=60,"46-60",A1213&gt;60,"60+")</f>
        <v>46-60</v>
      </c>
      <c r="J1213" t="str" cm="1">
        <f t="array" ref="J1213">_xlfn.IFS(C1213&lt;18.5,"Underweight",C1213&lt;25,"Normal",C1213&lt;30,"Overweight",C1213&gt;=30,"Obese")</f>
        <v>Obese</v>
      </c>
      <c r="K1213" t="str" cm="1">
        <f t="array" ref="K1213">_xlfn.IFS(G1213&lt;10000, "Low", G1213&lt;=25000, "Medium", G1213&gt;25000, "High")</f>
        <v>High</v>
      </c>
    </row>
    <row r="1214" spans="1:11" x14ac:dyDescent="0.3">
      <c r="A1214">
        <v>59</v>
      </c>
      <c r="B1214" s="1" t="s">
        <v>7</v>
      </c>
      <c r="C1214">
        <v>39.049999999999997</v>
      </c>
      <c r="D1214">
        <v>3</v>
      </c>
      <c r="E1214" t="s">
        <v>10</v>
      </c>
      <c r="F1214" t="s">
        <v>11</v>
      </c>
      <c r="G1214" s="2">
        <v>36124.573700000001</v>
      </c>
      <c r="H1214" t="str" cm="1">
        <f t="array" ref="H1214">_xlfn.IFS(A1214&lt;=30, "Youth", A1214&lt;=50, "Adult", A1214&gt;50, "Older")</f>
        <v>Older</v>
      </c>
      <c r="I1214" t="str" cm="1">
        <f t="array" ref="I1214">_xlfn.IFS(A1214&lt;=25,"18-25",A1214&lt;=35,"26-35",A1214&lt;=45,"36-45",A1214&lt;=60,"46-60",A1214&gt;60,"60+")</f>
        <v>46-60</v>
      </c>
      <c r="J1214" t="str" cm="1">
        <f t="array" ref="J1214">_xlfn.IFS(C1214&lt;18.5,"Underweight",C1214&lt;25,"Normal",C1214&lt;30,"Overweight",C1214&gt;=30,"Obese")</f>
        <v>Obese</v>
      </c>
      <c r="K1214" t="str" cm="1">
        <f t="array" ref="K1214">_xlfn.IFS(G1214&lt;10000, "Low", G1214&lt;=25000, "Medium", G1214&gt;25000, "High")</f>
        <v>High</v>
      </c>
    </row>
    <row r="1215" spans="1:11" x14ac:dyDescent="0.3">
      <c r="A1215">
        <v>59</v>
      </c>
      <c r="B1215" s="1" t="s">
        <v>7</v>
      </c>
      <c r="C1215">
        <v>39.049999999999997</v>
      </c>
      <c r="D1215">
        <v>3</v>
      </c>
      <c r="E1215" t="s">
        <v>10</v>
      </c>
      <c r="F1215" t="s">
        <v>13</v>
      </c>
      <c r="G1215" s="2">
        <v>36149.483500000002</v>
      </c>
      <c r="H1215" t="str" cm="1">
        <f t="array" ref="H1215">_xlfn.IFS(A1215&lt;=30, "Youth", A1215&lt;=50, "Adult", A1215&gt;50, "Older")</f>
        <v>Older</v>
      </c>
      <c r="I1215" t="str" cm="1">
        <f t="array" ref="I1215">_xlfn.IFS(A1215&lt;=25,"18-25",A1215&lt;=35,"26-35",A1215&lt;=45,"36-45",A1215&lt;=60,"46-60",A1215&gt;60,"60+")</f>
        <v>46-60</v>
      </c>
      <c r="J1215" t="str" cm="1">
        <f t="array" ref="J1215">_xlfn.IFS(C1215&lt;18.5,"Underweight",C1215&lt;25,"Normal",C1215&lt;30,"Overweight",C1215&gt;=30,"Obese")</f>
        <v>Obese</v>
      </c>
      <c r="K1215" t="str" cm="1">
        <f t="array" ref="K1215">_xlfn.IFS(G1215&lt;10000, "Low", G1215&lt;=25000, "Medium", G1215&gt;25000, "High")</f>
        <v>High</v>
      </c>
    </row>
    <row r="1216" spans="1:11" x14ac:dyDescent="0.3">
      <c r="A1216">
        <v>59</v>
      </c>
      <c r="B1216" s="1" t="s">
        <v>8</v>
      </c>
      <c r="C1216">
        <v>39.1</v>
      </c>
      <c r="D1216">
        <v>3</v>
      </c>
      <c r="E1216" t="s">
        <v>10</v>
      </c>
      <c r="F1216" t="s">
        <v>14</v>
      </c>
      <c r="G1216" s="2">
        <v>36189.101699999999</v>
      </c>
      <c r="H1216" t="str" cm="1">
        <f t="array" ref="H1216">_xlfn.IFS(A1216&lt;=30, "Youth", A1216&lt;=50, "Adult", A1216&gt;50, "Older")</f>
        <v>Older</v>
      </c>
      <c r="I1216" t="str" cm="1">
        <f t="array" ref="I1216">_xlfn.IFS(A1216&lt;=25,"18-25",A1216&lt;=35,"26-35",A1216&lt;=45,"36-45",A1216&lt;=60,"46-60",A1216&gt;60,"60+")</f>
        <v>46-60</v>
      </c>
      <c r="J1216" t="str" cm="1">
        <f t="array" ref="J1216">_xlfn.IFS(C1216&lt;18.5,"Underweight",C1216&lt;25,"Normal",C1216&lt;30,"Overweight",C1216&gt;=30,"Obese")</f>
        <v>Obese</v>
      </c>
      <c r="K1216" t="str" cm="1">
        <f t="array" ref="K1216">_xlfn.IFS(G1216&lt;10000, "Low", G1216&lt;=25000, "Medium", G1216&gt;25000, "High")</f>
        <v>High</v>
      </c>
    </row>
    <row r="1217" spans="1:11" x14ac:dyDescent="0.3">
      <c r="A1217">
        <v>59</v>
      </c>
      <c r="B1217" s="1" t="s">
        <v>8</v>
      </c>
      <c r="C1217">
        <v>39.14</v>
      </c>
      <c r="D1217">
        <v>3</v>
      </c>
      <c r="E1217" t="s">
        <v>10</v>
      </c>
      <c r="F1217" t="s">
        <v>12</v>
      </c>
      <c r="G1217" s="2">
        <v>36197.699000000001</v>
      </c>
      <c r="H1217" t="str" cm="1">
        <f t="array" ref="H1217">_xlfn.IFS(A1217&lt;=30, "Youth", A1217&lt;=50, "Adult", A1217&gt;50, "Older")</f>
        <v>Older</v>
      </c>
      <c r="I1217" t="str" cm="1">
        <f t="array" ref="I1217">_xlfn.IFS(A1217&lt;=25,"18-25",A1217&lt;=35,"26-35",A1217&lt;=45,"36-45",A1217&lt;=60,"46-60",A1217&gt;60,"60+")</f>
        <v>46-60</v>
      </c>
      <c r="J1217" t="str" cm="1">
        <f t="array" ref="J1217">_xlfn.IFS(C1217&lt;18.5,"Underweight",C1217&lt;25,"Normal",C1217&lt;30,"Overweight",C1217&gt;=30,"Obese")</f>
        <v>Obese</v>
      </c>
      <c r="K1217" t="str" cm="1">
        <f t="array" ref="K1217">_xlfn.IFS(G1217&lt;10000, "Low", G1217&lt;=25000, "Medium", G1217&gt;25000, "High")</f>
        <v>High</v>
      </c>
    </row>
    <row r="1218" spans="1:11" x14ac:dyDescent="0.3">
      <c r="A1218">
        <v>59</v>
      </c>
      <c r="B1218" s="1" t="s">
        <v>8</v>
      </c>
      <c r="C1218">
        <v>39.159999999999997</v>
      </c>
      <c r="D1218">
        <v>3</v>
      </c>
      <c r="E1218" t="s">
        <v>10</v>
      </c>
      <c r="F1218" t="s">
        <v>12</v>
      </c>
      <c r="G1218" s="2">
        <v>36219.405449999998</v>
      </c>
      <c r="H1218" t="str" cm="1">
        <f t="array" ref="H1218">_xlfn.IFS(A1218&lt;=30, "Youth", A1218&lt;=50, "Adult", A1218&gt;50, "Older")</f>
        <v>Older</v>
      </c>
      <c r="I1218" t="str" cm="1">
        <f t="array" ref="I1218">_xlfn.IFS(A1218&lt;=25,"18-25",A1218&lt;=35,"26-35",A1218&lt;=45,"36-45",A1218&lt;=60,"46-60",A1218&gt;60,"60+")</f>
        <v>46-60</v>
      </c>
      <c r="J1218" t="str" cm="1">
        <f t="array" ref="J1218">_xlfn.IFS(C1218&lt;18.5,"Underweight",C1218&lt;25,"Normal",C1218&lt;30,"Overweight",C1218&gt;=30,"Obese")</f>
        <v>Obese</v>
      </c>
      <c r="K1218" t="str" cm="1">
        <f t="array" ref="K1218">_xlfn.IFS(G1218&lt;10000, "Low", G1218&lt;=25000, "Medium", G1218&gt;25000, "High")</f>
        <v>High</v>
      </c>
    </row>
    <row r="1219" spans="1:11" x14ac:dyDescent="0.3">
      <c r="A1219">
        <v>59</v>
      </c>
      <c r="B1219" s="1" t="s">
        <v>7</v>
      </c>
      <c r="C1219">
        <v>39.159999999999997</v>
      </c>
      <c r="D1219">
        <v>3</v>
      </c>
      <c r="E1219" t="s">
        <v>9</v>
      </c>
      <c r="F1219" t="s">
        <v>11</v>
      </c>
      <c r="G1219" s="2">
        <v>36307.798300000002</v>
      </c>
      <c r="H1219" t="str" cm="1">
        <f t="array" ref="H1219">_xlfn.IFS(A1219&lt;=30, "Youth", A1219&lt;=50, "Adult", A1219&gt;50, "Older")</f>
        <v>Older</v>
      </c>
      <c r="I1219" t="str" cm="1">
        <f t="array" ref="I1219">_xlfn.IFS(A1219&lt;=25,"18-25",A1219&lt;=35,"26-35",A1219&lt;=45,"36-45",A1219&lt;=60,"46-60",A1219&gt;60,"60+")</f>
        <v>46-60</v>
      </c>
      <c r="J1219" t="str" cm="1">
        <f t="array" ref="J1219">_xlfn.IFS(C1219&lt;18.5,"Underweight",C1219&lt;25,"Normal",C1219&lt;30,"Overweight",C1219&gt;=30,"Obese")</f>
        <v>Obese</v>
      </c>
      <c r="K1219" t="str" cm="1">
        <f t="array" ref="K1219">_xlfn.IFS(G1219&lt;10000, "Low", G1219&lt;=25000, "Medium", G1219&gt;25000, "High")</f>
        <v>High</v>
      </c>
    </row>
    <row r="1220" spans="1:11" x14ac:dyDescent="0.3">
      <c r="A1220">
        <v>59</v>
      </c>
      <c r="B1220" s="1" t="s">
        <v>7</v>
      </c>
      <c r="C1220">
        <v>39.159999999999997</v>
      </c>
      <c r="D1220">
        <v>3</v>
      </c>
      <c r="E1220" t="s">
        <v>10</v>
      </c>
      <c r="F1220" t="s">
        <v>13</v>
      </c>
      <c r="G1220" s="2">
        <v>36397.576000000001</v>
      </c>
      <c r="H1220" t="str" cm="1">
        <f t="array" ref="H1220">_xlfn.IFS(A1220&lt;=30, "Youth", A1220&lt;=50, "Adult", A1220&gt;50, "Older")</f>
        <v>Older</v>
      </c>
      <c r="I1220" t="str" cm="1">
        <f t="array" ref="I1220">_xlfn.IFS(A1220&lt;=25,"18-25",A1220&lt;=35,"26-35",A1220&lt;=45,"36-45",A1220&lt;=60,"46-60",A1220&gt;60,"60+")</f>
        <v>46-60</v>
      </c>
      <c r="J1220" t="str" cm="1">
        <f t="array" ref="J1220">_xlfn.IFS(C1220&lt;18.5,"Underweight",C1220&lt;25,"Normal",C1220&lt;30,"Overweight",C1220&gt;=30,"Obese")</f>
        <v>Obese</v>
      </c>
      <c r="K1220" t="str" cm="1">
        <f t="array" ref="K1220">_xlfn.IFS(G1220&lt;10000, "Low", G1220&lt;=25000, "Medium", G1220&gt;25000, "High")</f>
        <v>High</v>
      </c>
    </row>
    <row r="1221" spans="1:11" x14ac:dyDescent="0.3">
      <c r="A1221">
        <v>59</v>
      </c>
      <c r="B1221" s="1" t="s">
        <v>7</v>
      </c>
      <c r="C1221">
        <v>39.200000000000003</v>
      </c>
      <c r="D1221">
        <v>3</v>
      </c>
      <c r="E1221" t="s">
        <v>10</v>
      </c>
      <c r="F1221" t="s">
        <v>14</v>
      </c>
      <c r="G1221" s="2">
        <v>36580.282160000002</v>
      </c>
      <c r="H1221" t="str" cm="1">
        <f t="array" ref="H1221">_xlfn.IFS(A1221&lt;=30, "Youth", A1221&lt;=50, "Adult", A1221&gt;50, "Older")</f>
        <v>Older</v>
      </c>
      <c r="I1221" t="str" cm="1">
        <f t="array" ref="I1221">_xlfn.IFS(A1221&lt;=25,"18-25",A1221&lt;=35,"26-35",A1221&lt;=45,"36-45",A1221&lt;=60,"46-60",A1221&gt;60,"60+")</f>
        <v>46-60</v>
      </c>
      <c r="J1221" t="str" cm="1">
        <f t="array" ref="J1221">_xlfn.IFS(C1221&lt;18.5,"Underweight",C1221&lt;25,"Normal",C1221&lt;30,"Overweight",C1221&gt;=30,"Obese")</f>
        <v>Obese</v>
      </c>
      <c r="K1221" t="str" cm="1">
        <f t="array" ref="K1221">_xlfn.IFS(G1221&lt;10000, "Low", G1221&lt;=25000, "Medium", G1221&gt;25000, "High")</f>
        <v>High</v>
      </c>
    </row>
    <row r="1222" spans="1:11" x14ac:dyDescent="0.3">
      <c r="A1222">
        <v>59</v>
      </c>
      <c r="B1222" s="1" t="s">
        <v>8</v>
      </c>
      <c r="C1222">
        <v>39.270000000000003</v>
      </c>
      <c r="D1222">
        <v>3</v>
      </c>
      <c r="E1222" t="s">
        <v>10</v>
      </c>
      <c r="F1222" t="s">
        <v>12</v>
      </c>
      <c r="G1222" s="2">
        <v>36837.466999999997</v>
      </c>
      <c r="H1222" t="str" cm="1">
        <f t="array" ref="H1222">_xlfn.IFS(A1222&lt;=30, "Youth", A1222&lt;=50, "Adult", A1222&gt;50, "Older")</f>
        <v>Older</v>
      </c>
      <c r="I1222" t="str" cm="1">
        <f t="array" ref="I1222">_xlfn.IFS(A1222&lt;=25,"18-25",A1222&lt;=35,"26-35",A1222&lt;=45,"36-45",A1222&lt;=60,"46-60",A1222&gt;60,"60+")</f>
        <v>46-60</v>
      </c>
      <c r="J1222" t="str" cm="1">
        <f t="array" ref="J1222">_xlfn.IFS(C1222&lt;18.5,"Underweight",C1222&lt;25,"Normal",C1222&lt;30,"Overweight",C1222&gt;=30,"Obese")</f>
        <v>Obese</v>
      </c>
      <c r="K1222" t="str" cm="1">
        <f t="array" ref="K1222">_xlfn.IFS(G1222&lt;10000, "Low", G1222&lt;=25000, "Medium", G1222&gt;25000, "High")</f>
        <v>High</v>
      </c>
    </row>
    <row r="1223" spans="1:11" x14ac:dyDescent="0.3">
      <c r="A1223">
        <v>59</v>
      </c>
      <c r="B1223" s="1" t="s">
        <v>8</v>
      </c>
      <c r="C1223">
        <v>39.33</v>
      </c>
      <c r="D1223">
        <v>3</v>
      </c>
      <c r="E1223" t="s">
        <v>10</v>
      </c>
      <c r="F1223" t="s">
        <v>12</v>
      </c>
      <c r="G1223" s="2">
        <v>36898.733079999998</v>
      </c>
      <c r="H1223" t="str" cm="1">
        <f t="array" ref="H1223">_xlfn.IFS(A1223&lt;=30, "Youth", A1223&lt;=50, "Adult", A1223&gt;50, "Older")</f>
        <v>Older</v>
      </c>
      <c r="I1223" t="str" cm="1">
        <f t="array" ref="I1223">_xlfn.IFS(A1223&lt;=25,"18-25",A1223&lt;=35,"26-35",A1223&lt;=45,"36-45",A1223&lt;=60,"46-60",A1223&gt;60,"60+")</f>
        <v>46-60</v>
      </c>
      <c r="J1223" t="str" cm="1">
        <f t="array" ref="J1223">_xlfn.IFS(C1223&lt;18.5,"Underweight",C1223&lt;25,"Normal",C1223&lt;30,"Overweight",C1223&gt;=30,"Obese")</f>
        <v>Obese</v>
      </c>
      <c r="K1223" t="str" cm="1">
        <f t="array" ref="K1223">_xlfn.IFS(G1223&lt;10000, "Low", G1223&lt;=25000, "Medium", G1223&gt;25000, "High")</f>
        <v>High</v>
      </c>
    </row>
    <row r="1224" spans="1:11" x14ac:dyDescent="0.3">
      <c r="A1224">
        <v>59</v>
      </c>
      <c r="B1224" s="1" t="s">
        <v>7</v>
      </c>
      <c r="C1224">
        <v>39.4</v>
      </c>
      <c r="D1224">
        <v>3</v>
      </c>
      <c r="E1224" t="s">
        <v>9</v>
      </c>
      <c r="F1224" t="s">
        <v>12</v>
      </c>
      <c r="G1224" s="2">
        <v>36910.608030000003</v>
      </c>
      <c r="H1224" t="str" cm="1">
        <f t="array" ref="H1224">_xlfn.IFS(A1224&lt;=30, "Youth", A1224&lt;=50, "Adult", A1224&gt;50, "Older")</f>
        <v>Older</v>
      </c>
      <c r="I1224" t="str" cm="1">
        <f t="array" ref="I1224">_xlfn.IFS(A1224&lt;=25,"18-25",A1224&lt;=35,"26-35",A1224&lt;=45,"36-45",A1224&lt;=60,"46-60",A1224&gt;60,"60+")</f>
        <v>46-60</v>
      </c>
      <c r="J1224" t="str" cm="1">
        <f t="array" ref="J1224">_xlfn.IFS(C1224&lt;18.5,"Underweight",C1224&lt;25,"Normal",C1224&lt;30,"Overweight",C1224&gt;=30,"Obese")</f>
        <v>Obese</v>
      </c>
      <c r="K1224" t="str" cm="1">
        <f t="array" ref="K1224">_xlfn.IFS(G1224&lt;10000, "Low", G1224&lt;=25000, "Medium", G1224&gt;25000, "High")</f>
        <v>High</v>
      </c>
    </row>
    <row r="1225" spans="1:11" x14ac:dyDescent="0.3">
      <c r="A1225">
        <v>60</v>
      </c>
      <c r="B1225" s="1" t="s">
        <v>8</v>
      </c>
      <c r="C1225">
        <v>39.424999999999997</v>
      </c>
      <c r="D1225">
        <v>3</v>
      </c>
      <c r="E1225" t="s">
        <v>10</v>
      </c>
      <c r="F1225" t="s">
        <v>14</v>
      </c>
      <c r="G1225" s="2">
        <v>36950.256699999998</v>
      </c>
      <c r="H1225" t="str" cm="1">
        <f t="array" ref="H1225">_xlfn.IFS(A1225&lt;=30, "Youth", A1225&lt;=50, "Adult", A1225&gt;50, "Older")</f>
        <v>Older</v>
      </c>
      <c r="I1225" t="str" cm="1">
        <f t="array" ref="I1225">_xlfn.IFS(A1225&lt;=25,"18-25",A1225&lt;=35,"26-35",A1225&lt;=45,"36-45",A1225&lt;=60,"46-60",A1225&gt;60,"60+")</f>
        <v>46-60</v>
      </c>
      <c r="J1225" t="str" cm="1">
        <f t="array" ref="J1225">_xlfn.IFS(C1225&lt;18.5,"Underweight",C1225&lt;25,"Normal",C1225&lt;30,"Overweight",C1225&gt;=30,"Obese")</f>
        <v>Obese</v>
      </c>
      <c r="K1225" t="str" cm="1">
        <f t="array" ref="K1225">_xlfn.IFS(G1225&lt;10000, "Low", G1225&lt;=25000, "Medium", G1225&gt;25000, "High")</f>
        <v>High</v>
      </c>
    </row>
    <row r="1226" spans="1:11" x14ac:dyDescent="0.3">
      <c r="A1226">
        <v>60</v>
      </c>
      <c r="B1226" s="1" t="s">
        <v>7</v>
      </c>
      <c r="C1226">
        <v>39.49</v>
      </c>
      <c r="D1226">
        <v>3</v>
      </c>
      <c r="E1226" t="s">
        <v>10</v>
      </c>
      <c r="F1226" t="s">
        <v>12</v>
      </c>
      <c r="G1226" s="2">
        <v>37079.372000000003</v>
      </c>
      <c r="H1226" t="str" cm="1">
        <f t="array" ref="H1226">_xlfn.IFS(A1226&lt;=30, "Youth", A1226&lt;=50, "Adult", A1226&gt;50, "Older")</f>
        <v>Older</v>
      </c>
      <c r="I1226" t="str" cm="1">
        <f t="array" ref="I1226">_xlfn.IFS(A1226&lt;=25,"18-25",A1226&lt;=35,"26-35",A1226&lt;=45,"36-45",A1226&lt;=60,"46-60",A1226&gt;60,"60+")</f>
        <v>46-60</v>
      </c>
      <c r="J1226" t="str" cm="1">
        <f t="array" ref="J1226">_xlfn.IFS(C1226&lt;18.5,"Underweight",C1226&lt;25,"Normal",C1226&lt;30,"Overweight",C1226&gt;=30,"Obese")</f>
        <v>Obese</v>
      </c>
      <c r="K1226" t="str" cm="1">
        <f t="array" ref="K1226">_xlfn.IFS(G1226&lt;10000, "Low", G1226&lt;=25000, "Medium", G1226&gt;25000, "High")</f>
        <v>High</v>
      </c>
    </row>
    <row r="1227" spans="1:11" x14ac:dyDescent="0.3">
      <c r="A1227">
        <v>60</v>
      </c>
      <c r="B1227" s="1" t="s">
        <v>8</v>
      </c>
      <c r="C1227">
        <v>39.49</v>
      </c>
      <c r="D1227">
        <v>3</v>
      </c>
      <c r="E1227" t="s">
        <v>10</v>
      </c>
      <c r="F1227" t="s">
        <v>14</v>
      </c>
      <c r="G1227" s="2">
        <v>37133.898200000003</v>
      </c>
      <c r="H1227" t="str" cm="1">
        <f t="array" ref="H1227">_xlfn.IFS(A1227&lt;=30, "Youth", A1227&lt;=50, "Adult", A1227&gt;50, "Older")</f>
        <v>Older</v>
      </c>
      <c r="I1227" t="str" cm="1">
        <f t="array" ref="I1227">_xlfn.IFS(A1227&lt;=25,"18-25",A1227&lt;=35,"26-35",A1227&lt;=45,"36-45",A1227&lt;=60,"46-60",A1227&gt;60,"60+")</f>
        <v>46-60</v>
      </c>
      <c r="J1227" t="str" cm="1">
        <f t="array" ref="J1227">_xlfn.IFS(C1227&lt;18.5,"Underweight",C1227&lt;25,"Normal",C1227&lt;30,"Overweight",C1227&gt;=30,"Obese")</f>
        <v>Obese</v>
      </c>
      <c r="K1227" t="str" cm="1">
        <f t="array" ref="K1227">_xlfn.IFS(G1227&lt;10000, "Low", G1227&lt;=25000, "Medium", G1227&gt;25000, "High")</f>
        <v>High</v>
      </c>
    </row>
    <row r="1228" spans="1:11" x14ac:dyDescent="0.3">
      <c r="A1228">
        <v>60</v>
      </c>
      <c r="B1228" s="1" t="s">
        <v>8</v>
      </c>
      <c r="C1228">
        <v>39.49</v>
      </c>
      <c r="D1228">
        <v>3</v>
      </c>
      <c r="E1228" t="s">
        <v>10</v>
      </c>
      <c r="F1228" t="s">
        <v>12</v>
      </c>
      <c r="G1228" s="2">
        <v>37165.163800000002</v>
      </c>
      <c r="H1228" t="str" cm="1">
        <f t="array" ref="H1228">_xlfn.IFS(A1228&lt;=30, "Youth", A1228&lt;=50, "Adult", A1228&gt;50, "Older")</f>
        <v>Older</v>
      </c>
      <c r="I1228" t="str" cm="1">
        <f t="array" ref="I1228">_xlfn.IFS(A1228&lt;=25,"18-25",A1228&lt;=35,"26-35",A1228&lt;=45,"36-45",A1228&lt;=60,"46-60",A1228&gt;60,"60+")</f>
        <v>46-60</v>
      </c>
      <c r="J1228" t="str" cm="1">
        <f t="array" ref="J1228">_xlfn.IFS(C1228&lt;18.5,"Underweight",C1228&lt;25,"Normal",C1228&lt;30,"Overweight",C1228&gt;=30,"Obese")</f>
        <v>Obese</v>
      </c>
      <c r="K1228" t="str" cm="1">
        <f t="array" ref="K1228">_xlfn.IFS(G1228&lt;10000, "Low", G1228&lt;=25000, "Medium", G1228&gt;25000, "High")</f>
        <v>High</v>
      </c>
    </row>
    <row r="1229" spans="1:11" x14ac:dyDescent="0.3">
      <c r="A1229">
        <v>60</v>
      </c>
      <c r="B1229" s="1" t="s">
        <v>8</v>
      </c>
      <c r="C1229">
        <v>39.5</v>
      </c>
      <c r="D1229">
        <v>3</v>
      </c>
      <c r="E1229" t="s">
        <v>10</v>
      </c>
      <c r="F1229" t="s">
        <v>12</v>
      </c>
      <c r="G1229" s="2">
        <v>37270.1512</v>
      </c>
      <c r="H1229" t="str" cm="1">
        <f t="array" ref="H1229">_xlfn.IFS(A1229&lt;=30, "Youth", A1229&lt;=50, "Adult", A1229&gt;50, "Older")</f>
        <v>Older</v>
      </c>
      <c r="I1229" t="str" cm="1">
        <f t="array" ref="I1229">_xlfn.IFS(A1229&lt;=25,"18-25",A1229&lt;=35,"26-35",A1229&lt;=45,"36-45",A1229&lt;=60,"46-60",A1229&gt;60,"60+")</f>
        <v>46-60</v>
      </c>
      <c r="J1229" t="str" cm="1">
        <f t="array" ref="J1229">_xlfn.IFS(C1229&lt;18.5,"Underweight",C1229&lt;25,"Normal",C1229&lt;30,"Overweight",C1229&gt;=30,"Obese")</f>
        <v>Obese</v>
      </c>
      <c r="K1229" t="str" cm="1">
        <f t="array" ref="K1229">_xlfn.IFS(G1229&lt;10000, "Low", G1229&lt;=25000, "Medium", G1229&gt;25000, "High")</f>
        <v>High</v>
      </c>
    </row>
    <row r="1230" spans="1:11" x14ac:dyDescent="0.3">
      <c r="A1230">
        <v>60</v>
      </c>
      <c r="B1230" s="1" t="s">
        <v>8</v>
      </c>
      <c r="C1230">
        <v>39.5</v>
      </c>
      <c r="D1230">
        <v>3</v>
      </c>
      <c r="E1230" t="s">
        <v>10</v>
      </c>
      <c r="F1230" t="s">
        <v>14</v>
      </c>
      <c r="G1230" s="2">
        <v>37465.34375</v>
      </c>
      <c r="H1230" t="str" cm="1">
        <f t="array" ref="H1230">_xlfn.IFS(A1230&lt;=30, "Youth", A1230&lt;=50, "Adult", A1230&gt;50, "Older")</f>
        <v>Older</v>
      </c>
      <c r="I1230" t="str" cm="1">
        <f t="array" ref="I1230">_xlfn.IFS(A1230&lt;=25,"18-25",A1230&lt;=35,"26-35",A1230&lt;=45,"36-45",A1230&lt;=60,"46-60",A1230&gt;60,"60+")</f>
        <v>46-60</v>
      </c>
      <c r="J1230" t="str" cm="1">
        <f t="array" ref="J1230">_xlfn.IFS(C1230&lt;18.5,"Underweight",C1230&lt;25,"Normal",C1230&lt;30,"Overweight",C1230&gt;=30,"Obese")</f>
        <v>Obese</v>
      </c>
      <c r="K1230" t="str" cm="1">
        <f t="array" ref="K1230">_xlfn.IFS(G1230&lt;10000, "Low", G1230&lt;=25000, "Medium", G1230&gt;25000, "High")</f>
        <v>High</v>
      </c>
    </row>
    <row r="1231" spans="1:11" x14ac:dyDescent="0.3">
      <c r="A1231">
        <v>60</v>
      </c>
      <c r="B1231" s="1" t="s">
        <v>8</v>
      </c>
      <c r="C1231">
        <v>39.520000000000003</v>
      </c>
      <c r="D1231">
        <v>3</v>
      </c>
      <c r="E1231" t="s">
        <v>9</v>
      </c>
      <c r="F1231" t="s">
        <v>13</v>
      </c>
      <c r="G1231" s="2">
        <v>37484.4493</v>
      </c>
      <c r="H1231" t="str" cm="1">
        <f t="array" ref="H1231">_xlfn.IFS(A1231&lt;=30, "Youth", A1231&lt;=50, "Adult", A1231&gt;50, "Older")</f>
        <v>Older</v>
      </c>
      <c r="I1231" t="str" cm="1">
        <f t="array" ref="I1231">_xlfn.IFS(A1231&lt;=25,"18-25",A1231&lt;=35,"26-35",A1231&lt;=45,"36-45",A1231&lt;=60,"46-60",A1231&gt;60,"60+")</f>
        <v>46-60</v>
      </c>
      <c r="J1231" t="str" cm="1">
        <f t="array" ref="J1231">_xlfn.IFS(C1231&lt;18.5,"Underweight",C1231&lt;25,"Normal",C1231&lt;30,"Overweight",C1231&gt;=30,"Obese")</f>
        <v>Obese</v>
      </c>
      <c r="K1231" t="str" cm="1">
        <f t="array" ref="K1231">_xlfn.IFS(G1231&lt;10000, "Low", G1231&lt;=25000, "Medium", G1231&gt;25000, "High")</f>
        <v>High</v>
      </c>
    </row>
    <row r="1232" spans="1:11" x14ac:dyDescent="0.3">
      <c r="A1232">
        <v>60</v>
      </c>
      <c r="B1232" s="1" t="s">
        <v>7</v>
      </c>
      <c r="C1232">
        <v>39.6</v>
      </c>
      <c r="D1232">
        <v>3</v>
      </c>
      <c r="E1232" t="s">
        <v>9</v>
      </c>
      <c r="F1232" t="s">
        <v>11</v>
      </c>
      <c r="G1232" s="2">
        <v>37607.527699999999</v>
      </c>
      <c r="H1232" t="str" cm="1">
        <f t="array" ref="H1232">_xlfn.IFS(A1232&lt;=30, "Youth", A1232&lt;=50, "Adult", A1232&gt;50, "Older")</f>
        <v>Older</v>
      </c>
      <c r="I1232" t="str" cm="1">
        <f t="array" ref="I1232">_xlfn.IFS(A1232&lt;=25,"18-25",A1232&lt;=35,"26-35",A1232&lt;=45,"36-45",A1232&lt;=60,"46-60",A1232&gt;60,"60+")</f>
        <v>46-60</v>
      </c>
      <c r="J1232" t="str" cm="1">
        <f t="array" ref="J1232">_xlfn.IFS(C1232&lt;18.5,"Underweight",C1232&lt;25,"Normal",C1232&lt;30,"Overweight",C1232&gt;=30,"Obese")</f>
        <v>Obese</v>
      </c>
      <c r="K1232" t="str" cm="1">
        <f t="array" ref="K1232">_xlfn.IFS(G1232&lt;10000, "Low", G1232&lt;=25000, "Medium", G1232&gt;25000, "High")</f>
        <v>High</v>
      </c>
    </row>
    <row r="1233" spans="1:11" x14ac:dyDescent="0.3">
      <c r="A1233">
        <v>60</v>
      </c>
      <c r="B1233" s="1" t="s">
        <v>7</v>
      </c>
      <c r="C1233">
        <v>39.6</v>
      </c>
      <c r="D1233">
        <v>3</v>
      </c>
      <c r="E1233" t="s">
        <v>10</v>
      </c>
      <c r="F1233" t="s">
        <v>13</v>
      </c>
      <c r="G1233" s="2">
        <v>37701.876799999998</v>
      </c>
      <c r="H1233" t="str" cm="1">
        <f t="array" ref="H1233">_xlfn.IFS(A1233&lt;=30, "Youth", A1233&lt;=50, "Adult", A1233&gt;50, "Older")</f>
        <v>Older</v>
      </c>
      <c r="I1233" t="str" cm="1">
        <f t="array" ref="I1233">_xlfn.IFS(A1233&lt;=25,"18-25",A1233&lt;=35,"26-35",A1233&lt;=45,"36-45",A1233&lt;=60,"46-60",A1233&gt;60,"60+")</f>
        <v>46-60</v>
      </c>
      <c r="J1233" t="str" cm="1">
        <f t="array" ref="J1233">_xlfn.IFS(C1233&lt;18.5,"Underweight",C1233&lt;25,"Normal",C1233&lt;30,"Overweight",C1233&gt;=30,"Obese")</f>
        <v>Obese</v>
      </c>
      <c r="K1233" t="str" cm="1">
        <f t="array" ref="K1233">_xlfn.IFS(G1233&lt;10000, "Low", G1233&lt;=25000, "Medium", G1233&gt;25000, "High")</f>
        <v>High</v>
      </c>
    </row>
    <row r="1234" spans="1:11" x14ac:dyDescent="0.3">
      <c r="A1234">
        <v>60</v>
      </c>
      <c r="B1234" s="1" t="s">
        <v>8</v>
      </c>
      <c r="C1234">
        <v>39.6</v>
      </c>
      <c r="D1234">
        <v>3</v>
      </c>
      <c r="E1234" t="s">
        <v>10</v>
      </c>
      <c r="F1234" t="s">
        <v>11</v>
      </c>
      <c r="G1234" s="2">
        <v>37742.575700000001</v>
      </c>
      <c r="H1234" t="str" cm="1">
        <f t="array" ref="H1234">_xlfn.IFS(A1234&lt;=30, "Youth", A1234&lt;=50, "Adult", A1234&gt;50, "Older")</f>
        <v>Older</v>
      </c>
      <c r="I1234" t="str" cm="1">
        <f t="array" ref="I1234">_xlfn.IFS(A1234&lt;=25,"18-25",A1234&lt;=35,"26-35",A1234&lt;=45,"36-45",A1234&lt;=60,"46-60",A1234&gt;60,"60+")</f>
        <v>46-60</v>
      </c>
      <c r="J1234" t="str" cm="1">
        <f t="array" ref="J1234">_xlfn.IFS(C1234&lt;18.5,"Underweight",C1234&lt;25,"Normal",C1234&lt;30,"Overweight",C1234&gt;=30,"Obese")</f>
        <v>Obese</v>
      </c>
      <c r="K1234" t="str" cm="1">
        <f t="array" ref="K1234">_xlfn.IFS(G1234&lt;10000, "Low", G1234&lt;=25000, "Medium", G1234&gt;25000, "High")</f>
        <v>High</v>
      </c>
    </row>
    <row r="1235" spans="1:11" x14ac:dyDescent="0.3">
      <c r="A1235">
        <v>60</v>
      </c>
      <c r="B1235" s="1" t="s">
        <v>7</v>
      </c>
      <c r="C1235">
        <v>39.615000000000002</v>
      </c>
      <c r="D1235">
        <v>3</v>
      </c>
      <c r="E1235" t="s">
        <v>10</v>
      </c>
      <c r="F1235" t="s">
        <v>12</v>
      </c>
      <c r="G1235" s="2">
        <v>37829.724199999997</v>
      </c>
      <c r="H1235" t="str" cm="1">
        <f t="array" ref="H1235">_xlfn.IFS(A1235&lt;=30, "Youth", A1235&lt;=50, "Adult", A1235&gt;50, "Older")</f>
        <v>Older</v>
      </c>
      <c r="I1235" t="str" cm="1">
        <f t="array" ref="I1235">_xlfn.IFS(A1235&lt;=25,"18-25",A1235&lt;=35,"26-35",A1235&lt;=45,"36-45",A1235&lt;=60,"46-60",A1235&gt;60,"60+")</f>
        <v>46-60</v>
      </c>
      <c r="J1235" t="str" cm="1">
        <f t="array" ref="J1235">_xlfn.IFS(C1235&lt;18.5,"Underweight",C1235&lt;25,"Normal",C1235&lt;30,"Overweight",C1235&gt;=30,"Obese")</f>
        <v>Obese</v>
      </c>
      <c r="K1235" t="str" cm="1">
        <f t="array" ref="K1235">_xlfn.IFS(G1235&lt;10000, "Low", G1235&lt;=25000, "Medium", G1235&gt;25000, "High")</f>
        <v>High</v>
      </c>
    </row>
    <row r="1236" spans="1:11" x14ac:dyDescent="0.3">
      <c r="A1236">
        <v>60</v>
      </c>
      <c r="B1236" s="1" t="s">
        <v>8</v>
      </c>
      <c r="C1236">
        <v>39.700000000000003</v>
      </c>
      <c r="D1236">
        <v>3</v>
      </c>
      <c r="E1236" t="s">
        <v>10</v>
      </c>
      <c r="F1236" t="s">
        <v>13</v>
      </c>
      <c r="G1236" s="2">
        <v>38126.246500000001</v>
      </c>
      <c r="H1236" t="str" cm="1">
        <f t="array" ref="H1236">_xlfn.IFS(A1236&lt;=30, "Youth", A1236&lt;=50, "Adult", A1236&gt;50, "Older")</f>
        <v>Older</v>
      </c>
      <c r="I1236" t="str" cm="1">
        <f t="array" ref="I1236">_xlfn.IFS(A1236&lt;=25,"18-25",A1236&lt;=35,"26-35",A1236&lt;=45,"36-45",A1236&lt;=60,"46-60",A1236&gt;60,"60+")</f>
        <v>46-60</v>
      </c>
      <c r="J1236" t="str" cm="1">
        <f t="array" ref="J1236">_xlfn.IFS(C1236&lt;18.5,"Underweight",C1236&lt;25,"Normal",C1236&lt;30,"Overweight",C1236&gt;=30,"Obese")</f>
        <v>Obese</v>
      </c>
      <c r="K1236" t="str" cm="1">
        <f t="array" ref="K1236">_xlfn.IFS(G1236&lt;10000, "Low", G1236&lt;=25000, "Medium", G1236&gt;25000, "High")</f>
        <v>High</v>
      </c>
    </row>
    <row r="1237" spans="1:11" x14ac:dyDescent="0.3">
      <c r="A1237">
        <v>60</v>
      </c>
      <c r="B1237" s="1" t="s">
        <v>7</v>
      </c>
      <c r="C1237">
        <v>39.700000000000003</v>
      </c>
      <c r="D1237">
        <v>3</v>
      </c>
      <c r="E1237" t="s">
        <v>10</v>
      </c>
      <c r="F1237" t="s">
        <v>14</v>
      </c>
      <c r="G1237" s="2">
        <v>38245.593269999998</v>
      </c>
      <c r="H1237" t="str" cm="1">
        <f t="array" ref="H1237">_xlfn.IFS(A1237&lt;=30, "Youth", A1237&lt;=50, "Adult", A1237&gt;50, "Older")</f>
        <v>Older</v>
      </c>
      <c r="I1237" t="str" cm="1">
        <f t="array" ref="I1237">_xlfn.IFS(A1237&lt;=25,"18-25",A1237&lt;=35,"26-35",A1237&lt;=45,"36-45",A1237&lt;=60,"46-60",A1237&gt;60,"60+")</f>
        <v>46-60</v>
      </c>
      <c r="J1237" t="str" cm="1">
        <f t="array" ref="J1237">_xlfn.IFS(C1237&lt;18.5,"Underweight",C1237&lt;25,"Normal",C1237&lt;30,"Overweight",C1237&gt;=30,"Obese")</f>
        <v>Obese</v>
      </c>
      <c r="K1237" t="str" cm="1">
        <f t="array" ref="K1237">_xlfn.IFS(G1237&lt;10000, "Low", G1237&lt;=25000, "Medium", G1237&gt;25000, "High")</f>
        <v>High</v>
      </c>
    </row>
    <row r="1238" spans="1:11" x14ac:dyDescent="0.3">
      <c r="A1238">
        <v>60</v>
      </c>
      <c r="B1238" s="1" t="s">
        <v>7</v>
      </c>
      <c r="C1238">
        <v>39.71</v>
      </c>
      <c r="D1238">
        <v>3</v>
      </c>
      <c r="E1238" t="s">
        <v>10</v>
      </c>
      <c r="F1238" t="s">
        <v>13</v>
      </c>
      <c r="G1238" s="2">
        <v>38282.749499999998</v>
      </c>
      <c r="H1238" t="str" cm="1">
        <f t="array" ref="H1238">_xlfn.IFS(A1238&lt;=30, "Youth", A1238&lt;=50, "Adult", A1238&gt;50, "Older")</f>
        <v>Older</v>
      </c>
      <c r="I1238" t="str" cm="1">
        <f t="array" ref="I1238">_xlfn.IFS(A1238&lt;=25,"18-25",A1238&lt;=35,"26-35",A1238&lt;=45,"36-45",A1238&lt;=60,"46-60",A1238&gt;60,"60+")</f>
        <v>46-60</v>
      </c>
      <c r="J1238" t="str" cm="1">
        <f t="array" ref="J1238">_xlfn.IFS(C1238&lt;18.5,"Underweight",C1238&lt;25,"Normal",C1238&lt;30,"Overweight",C1238&gt;=30,"Obese")</f>
        <v>Obese</v>
      </c>
      <c r="K1238" t="str" cm="1">
        <f t="array" ref="K1238">_xlfn.IFS(G1238&lt;10000, "Low", G1238&lt;=25000, "Medium", G1238&gt;25000, "High")</f>
        <v>High</v>
      </c>
    </row>
    <row r="1239" spans="1:11" x14ac:dyDescent="0.3">
      <c r="A1239">
        <v>60</v>
      </c>
      <c r="B1239" s="1" t="s">
        <v>8</v>
      </c>
      <c r="C1239">
        <v>39.799999999999997</v>
      </c>
      <c r="D1239">
        <v>3</v>
      </c>
      <c r="E1239" t="s">
        <v>10</v>
      </c>
      <c r="F1239" t="s">
        <v>14</v>
      </c>
      <c r="G1239" s="2">
        <v>38344.565999999999</v>
      </c>
      <c r="H1239" t="str" cm="1">
        <f t="array" ref="H1239">_xlfn.IFS(A1239&lt;=30, "Youth", A1239&lt;=50, "Adult", A1239&gt;50, "Older")</f>
        <v>Older</v>
      </c>
      <c r="I1239" t="str" cm="1">
        <f t="array" ref="I1239">_xlfn.IFS(A1239&lt;=25,"18-25",A1239&lt;=35,"26-35",A1239&lt;=45,"36-45",A1239&lt;=60,"46-60",A1239&gt;60,"60+")</f>
        <v>46-60</v>
      </c>
      <c r="J1239" t="str" cm="1">
        <f t="array" ref="J1239">_xlfn.IFS(C1239&lt;18.5,"Underweight",C1239&lt;25,"Normal",C1239&lt;30,"Overweight",C1239&gt;=30,"Obese")</f>
        <v>Obese</v>
      </c>
      <c r="K1239" t="str" cm="1">
        <f t="array" ref="K1239">_xlfn.IFS(G1239&lt;10000, "Low", G1239&lt;=25000, "Medium", G1239&gt;25000, "High")</f>
        <v>High</v>
      </c>
    </row>
    <row r="1240" spans="1:11" x14ac:dyDescent="0.3">
      <c r="A1240">
        <v>60</v>
      </c>
      <c r="B1240" s="1" t="s">
        <v>7</v>
      </c>
      <c r="C1240">
        <v>39.805</v>
      </c>
      <c r="D1240">
        <v>3</v>
      </c>
      <c r="E1240" t="s">
        <v>10</v>
      </c>
      <c r="F1240" t="s">
        <v>12</v>
      </c>
      <c r="G1240" s="2">
        <v>38415.474000000002</v>
      </c>
      <c r="H1240" t="str" cm="1">
        <f t="array" ref="H1240">_xlfn.IFS(A1240&lt;=30, "Youth", A1240&lt;=50, "Adult", A1240&gt;50, "Older")</f>
        <v>Older</v>
      </c>
      <c r="I1240" t="str" cm="1">
        <f t="array" ref="I1240">_xlfn.IFS(A1240&lt;=25,"18-25",A1240&lt;=35,"26-35",A1240&lt;=45,"36-45",A1240&lt;=60,"46-60",A1240&gt;60,"60+")</f>
        <v>46-60</v>
      </c>
      <c r="J1240" t="str" cm="1">
        <f t="array" ref="J1240">_xlfn.IFS(C1240&lt;18.5,"Underweight",C1240&lt;25,"Normal",C1240&lt;30,"Overweight",C1240&gt;=30,"Obese")</f>
        <v>Obese</v>
      </c>
      <c r="K1240" t="str" cm="1">
        <f t="array" ref="K1240">_xlfn.IFS(G1240&lt;10000, "Low", G1240&lt;=25000, "Medium", G1240&gt;25000, "High")</f>
        <v>High</v>
      </c>
    </row>
    <row r="1241" spans="1:11" x14ac:dyDescent="0.3">
      <c r="A1241">
        <v>60</v>
      </c>
      <c r="B1241" s="1" t="s">
        <v>8</v>
      </c>
      <c r="C1241">
        <v>39.805</v>
      </c>
      <c r="D1241">
        <v>3</v>
      </c>
      <c r="E1241" t="s">
        <v>9</v>
      </c>
      <c r="F1241" t="s">
        <v>12</v>
      </c>
      <c r="G1241" s="2">
        <v>38511.628299999997</v>
      </c>
      <c r="H1241" t="str" cm="1">
        <f t="array" ref="H1241">_xlfn.IFS(A1241&lt;=30, "Youth", A1241&lt;=50, "Adult", A1241&gt;50, "Older")</f>
        <v>Older</v>
      </c>
      <c r="I1241" t="str" cm="1">
        <f t="array" ref="I1241">_xlfn.IFS(A1241&lt;=25,"18-25",A1241&lt;=35,"26-35",A1241&lt;=45,"36-45",A1241&lt;=60,"46-60",A1241&gt;60,"60+")</f>
        <v>46-60</v>
      </c>
      <c r="J1241" t="str" cm="1">
        <f t="array" ref="J1241">_xlfn.IFS(C1241&lt;18.5,"Underweight",C1241&lt;25,"Normal",C1241&lt;30,"Overweight",C1241&gt;=30,"Obese")</f>
        <v>Obese</v>
      </c>
      <c r="K1241" t="str" cm="1">
        <f t="array" ref="K1241">_xlfn.IFS(G1241&lt;10000, "Low", G1241&lt;=25000, "Medium", G1241&gt;25000, "High")</f>
        <v>High</v>
      </c>
    </row>
    <row r="1242" spans="1:11" x14ac:dyDescent="0.3">
      <c r="A1242">
        <v>60</v>
      </c>
      <c r="B1242" s="1" t="s">
        <v>8</v>
      </c>
      <c r="C1242">
        <v>39.82</v>
      </c>
      <c r="D1242">
        <v>3</v>
      </c>
      <c r="E1242" t="s">
        <v>9</v>
      </c>
      <c r="F1242" t="s">
        <v>12</v>
      </c>
      <c r="G1242" s="2">
        <v>38709.175999999999</v>
      </c>
      <c r="H1242" t="str" cm="1">
        <f t="array" ref="H1242">_xlfn.IFS(A1242&lt;=30, "Youth", A1242&lt;=50, "Adult", A1242&gt;50, "Older")</f>
        <v>Older</v>
      </c>
      <c r="I1242" t="str" cm="1">
        <f t="array" ref="I1242">_xlfn.IFS(A1242&lt;=25,"18-25",A1242&lt;=35,"26-35",A1242&lt;=45,"36-45",A1242&lt;=60,"46-60",A1242&gt;60,"60+")</f>
        <v>46-60</v>
      </c>
      <c r="J1242" t="str" cm="1">
        <f t="array" ref="J1242">_xlfn.IFS(C1242&lt;18.5,"Underweight",C1242&lt;25,"Normal",C1242&lt;30,"Overweight",C1242&gt;=30,"Obese")</f>
        <v>Obese</v>
      </c>
      <c r="K1242" t="str" cm="1">
        <f t="array" ref="K1242">_xlfn.IFS(G1242&lt;10000, "Low", G1242&lt;=25000, "Medium", G1242&gt;25000, "High")</f>
        <v>High</v>
      </c>
    </row>
    <row r="1243" spans="1:11" x14ac:dyDescent="0.3">
      <c r="A1243">
        <v>60</v>
      </c>
      <c r="B1243" s="1" t="s">
        <v>7</v>
      </c>
      <c r="C1243">
        <v>39.82</v>
      </c>
      <c r="D1243">
        <v>3</v>
      </c>
      <c r="E1243" t="s">
        <v>10</v>
      </c>
      <c r="F1243" t="s">
        <v>13</v>
      </c>
      <c r="G1243" s="2">
        <v>38711</v>
      </c>
      <c r="H1243" t="str" cm="1">
        <f t="array" ref="H1243">_xlfn.IFS(A1243&lt;=30, "Youth", A1243&lt;=50, "Adult", A1243&gt;50, "Older")</f>
        <v>Older</v>
      </c>
      <c r="I1243" t="str" cm="1">
        <f t="array" ref="I1243">_xlfn.IFS(A1243&lt;=25,"18-25",A1243&lt;=35,"26-35",A1243&lt;=45,"36-45",A1243&lt;=60,"46-60",A1243&gt;60,"60+")</f>
        <v>46-60</v>
      </c>
      <c r="J1243" t="str" cm="1">
        <f t="array" ref="J1243">_xlfn.IFS(C1243&lt;18.5,"Underweight",C1243&lt;25,"Normal",C1243&lt;30,"Overweight",C1243&gt;=30,"Obese")</f>
        <v>Obese</v>
      </c>
      <c r="K1243" t="str" cm="1">
        <f t="array" ref="K1243">_xlfn.IFS(G1243&lt;10000, "Low", G1243&lt;=25000, "Medium", G1243&gt;25000, "High")</f>
        <v>High</v>
      </c>
    </row>
    <row r="1244" spans="1:11" x14ac:dyDescent="0.3">
      <c r="A1244">
        <v>60</v>
      </c>
      <c r="B1244" s="1" t="s">
        <v>7</v>
      </c>
      <c r="C1244">
        <v>39.82</v>
      </c>
      <c r="D1244">
        <v>3</v>
      </c>
      <c r="E1244" t="s">
        <v>10</v>
      </c>
      <c r="F1244" t="s">
        <v>12</v>
      </c>
      <c r="G1244" s="2">
        <v>38746.355100000001</v>
      </c>
      <c r="H1244" t="str" cm="1">
        <f t="array" ref="H1244">_xlfn.IFS(A1244&lt;=30, "Youth", A1244&lt;=50, "Adult", A1244&gt;50, "Older")</f>
        <v>Older</v>
      </c>
      <c r="I1244" t="str" cm="1">
        <f t="array" ref="I1244">_xlfn.IFS(A1244&lt;=25,"18-25",A1244&lt;=35,"26-35",A1244&lt;=45,"36-45",A1244&lt;=60,"46-60",A1244&gt;60,"60+")</f>
        <v>46-60</v>
      </c>
      <c r="J1244" t="str" cm="1">
        <f t="array" ref="J1244">_xlfn.IFS(C1244&lt;18.5,"Underweight",C1244&lt;25,"Normal",C1244&lt;30,"Overweight",C1244&gt;=30,"Obese")</f>
        <v>Obese</v>
      </c>
      <c r="K1244" t="str" cm="1">
        <f t="array" ref="K1244">_xlfn.IFS(G1244&lt;10000, "Low", G1244&lt;=25000, "Medium", G1244&gt;25000, "High")</f>
        <v>High</v>
      </c>
    </row>
    <row r="1245" spans="1:11" x14ac:dyDescent="0.3">
      <c r="A1245">
        <v>60</v>
      </c>
      <c r="B1245" s="1" t="s">
        <v>8</v>
      </c>
      <c r="C1245">
        <v>39.9</v>
      </c>
      <c r="D1245">
        <v>3</v>
      </c>
      <c r="E1245" t="s">
        <v>10</v>
      </c>
      <c r="F1245" t="s">
        <v>12</v>
      </c>
      <c r="G1245" s="2">
        <v>38792.685599999997</v>
      </c>
      <c r="H1245" t="str" cm="1">
        <f t="array" ref="H1245">_xlfn.IFS(A1245&lt;=30, "Youth", A1245&lt;=50, "Adult", A1245&gt;50, "Older")</f>
        <v>Older</v>
      </c>
      <c r="I1245" t="str" cm="1">
        <f t="array" ref="I1245">_xlfn.IFS(A1245&lt;=25,"18-25",A1245&lt;=35,"26-35",A1245&lt;=45,"36-45",A1245&lt;=60,"46-60",A1245&gt;60,"60+")</f>
        <v>46-60</v>
      </c>
      <c r="J1245" t="str" cm="1">
        <f t="array" ref="J1245">_xlfn.IFS(C1245&lt;18.5,"Underweight",C1245&lt;25,"Normal",C1245&lt;30,"Overweight",C1245&gt;=30,"Obese")</f>
        <v>Obese</v>
      </c>
      <c r="K1245" t="str" cm="1">
        <f t="array" ref="K1245">_xlfn.IFS(G1245&lt;10000, "Low", G1245&lt;=25000, "Medium", G1245&gt;25000, "High")</f>
        <v>High</v>
      </c>
    </row>
    <row r="1246" spans="1:11" x14ac:dyDescent="0.3">
      <c r="A1246">
        <v>60</v>
      </c>
      <c r="B1246" s="1" t="s">
        <v>8</v>
      </c>
      <c r="C1246">
        <v>39.93</v>
      </c>
      <c r="D1246">
        <v>3</v>
      </c>
      <c r="E1246" t="s">
        <v>10</v>
      </c>
      <c r="F1246" t="s">
        <v>11</v>
      </c>
      <c r="G1246" s="2">
        <v>38998.546000000002</v>
      </c>
      <c r="H1246" t="str" cm="1">
        <f t="array" ref="H1246">_xlfn.IFS(A1246&lt;=30, "Youth", A1246&lt;=50, "Adult", A1246&gt;50, "Older")</f>
        <v>Older</v>
      </c>
      <c r="I1246" t="str" cm="1">
        <f t="array" ref="I1246">_xlfn.IFS(A1246&lt;=25,"18-25",A1246&lt;=35,"26-35",A1246&lt;=45,"36-45",A1246&lt;=60,"46-60",A1246&gt;60,"60+")</f>
        <v>46-60</v>
      </c>
      <c r="J1246" t="str" cm="1">
        <f t="array" ref="J1246">_xlfn.IFS(C1246&lt;18.5,"Underweight",C1246&lt;25,"Normal",C1246&lt;30,"Overweight",C1246&gt;=30,"Obese")</f>
        <v>Obese</v>
      </c>
      <c r="K1246" t="str" cm="1">
        <f t="array" ref="K1246">_xlfn.IFS(G1246&lt;10000, "Low", G1246&lt;=25000, "Medium", G1246&gt;25000, "High")</f>
        <v>High</v>
      </c>
    </row>
    <row r="1247" spans="1:11" x14ac:dyDescent="0.3">
      <c r="A1247">
        <v>60</v>
      </c>
      <c r="B1247" s="1" t="s">
        <v>7</v>
      </c>
      <c r="C1247">
        <v>39.994999999999997</v>
      </c>
      <c r="D1247">
        <v>3</v>
      </c>
      <c r="E1247" t="s">
        <v>10</v>
      </c>
      <c r="F1247" t="s">
        <v>11</v>
      </c>
      <c r="G1247" s="2">
        <v>39047.285000000003</v>
      </c>
      <c r="H1247" t="str" cm="1">
        <f t="array" ref="H1247">_xlfn.IFS(A1247&lt;=30, "Youth", A1247&lt;=50, "Adult", A1247&gt;50, "Older")</f>
        <v>Older</v>
      </c>
      <c r="I1247" t="str" cm="1">
        <f t="array" ref="I1247">_xlfn.IFS(A1247&lt;=25,"18-25",A1247&lt;=35,"26-35",A1247&lt;=45,"36-45",A1247&lt;=60,"46-60",A1247&gt;60,"60+")</f>
        <v>46-60</v>
      </c>
      <c r="J1247" t="str" cm="1">
        <f t="array" ref="J1247">_xlfn.IFS(C1247&lt;18.5,"Underweight",C1247&lt;25,"Normal",C1247&lt;30,"Overweight",C1247&gt;=30,"Obese")</f>
        <v>Obese</v>
      </c>
      <c r="K1247" t="str" cm="1">
        <f t="array" ref="K1247">_xlfn.IFS(G1247&lt;10000, "Low", G1247&lt;=25000, "Medium", G1247&gt;25000, "High")</f>
        <v>High</v>
      </c>
    </row>
    <row r="1248" spans="1:11" x14ac:dyDescent="0.3">
      <c r="A1248">
        <v>61</v>
      </c>
      <c r="B1248" s="1" t="s">
        <v>8</v>
      </c>
      <c r="C1248">
        <v>40.15</v>
      </c>
      <c r="D1248">
        <v>3</v>
      </c>
      <c r="E1248" t="s">
        <v>10</v>
      </c>
      <c r="F1248" t="s">
        <v>11</v>
      </c>
      <c r="G1248" s="2">
        <v>39125.332249999999</v>
      </c>
      <c r="H1248" t="str" cm="1">
        <f t="array" ref="H1248">_xlfn.IFS(A1248&lt;=30, "Youth", A1248&lt;=50, "Adult", A1248&gt;50, "Older")</f>
        <v>Older</v>
      </c>
      <c r="I1248" t="str" cm="1">
        <f t="array" ref="I1248">_xlfn.IFS(A1248&lt;=25,"18-25",A1248&lt;=35,"26-35",A1248&lt;=45,"36-45",A1248&lt;=60,"46-60",A1248&gt;60,"60+")</f>
        <v>60+</v>
      </c>
      <c r="J1248" t="str" cm="1">
        <f t="array" ref="J1248">_xlfn.IFS(C1248&lt;18.5,"Underweight",C1248&lt;25,"Normal",C1248&lt;30,"Overweight",C1248&gt;=30,"Obese")</f>
        <v>Obese</v>
      </c>
      <c r="K1248" t="str" cm="1">
        <f t="array" ref="K1248">_xlfn.IFS(G1248&lt;10000, "Low", G1248&lt;=25000, "Medium", G1248&gt;25000, "High")</f>
        <v>High</v>
      </c>
    </row>
    <row r="1249" spans="1:11" x14ac:dyDescent="0.3">
      <c r="A1249">
        <v>61</v>
      </c>
      <c r="B1249" s="1" t="s">
        <v>7</v>
      </c>
      <c r="C1249">
        <v>40.15</v>
      </c>
      <c r="D1249">
        <v>3</v>
      </c>
      <c r="E1249" t="s">
        <v>10</v>
      </c>
      <c r="F1249" t="s">
        <v>12</v>
      </c>
      <c r="G1249" s="2">
        <v>39241.442000000003</v>
      </c>
      <c r="H1249" t="str" cm="1">
        <f t="array" ref="H1249">_xlfn.IFS(A1249&lt;=30, "Youth", A1249&lt;=50, "Adult", A1249&gt;50, "Older")</f>
        <v>Older</v>
      </c>
      <c r="I1249" t="str" cm="1">
        <f t="array" ref="I1249">_xlfn.IFS(A1249&lt;=25,"18-25",A1249&lt;=35,"26-35",A1249&lt;=45,"36-45",A1249&lt;=60,"46-60",A1249&gt;60,"60+")</f>
        <v>60+</v>
      </c>
      <c r="J1249" t="str" cm="1">
        <f t="array" ref="J1249">_xlfn.IFS(C1249&lt;18.5,"Underweight",C1249&lt;25,"Normal",C1249&lt;30,"Overweight",C1249&gt;=30,"Obese")</f>
        <v>Obese</v>
      </c>
      <c r="K1249" t="str" cm="1">
        <f t="array" ref="K1249">_xlfn.IFS(G1249&lt;10000, "Low", G1249&lt;=25000, "Medium", G1249&gt;25000, "High")</f>
        <v>High</v>
      </c>
    </row>
    <row r="1250" spans="1:11" x14ac:dyDescent="0.3">
      <c r="A1250">
        <v>61</v>
      </c>
      <c r="B1250" s="1" t="s">
        <v>8</v>
      </c>
      <c r="C1250">
        <v>40.15</v>
      </c>
      <c r="D1250">
        <v>3</v>
      </c>
      <c r="E1250" t="s">
        <v>9</v>
      </c>
      <c r="F1250" t="s">
        <v>14</v>
      </c>
      <c r="G1250" s="2">
        <v>39556.494500000001</v>
      </c>
      <c r="H1250" t="str" cm="1">
        <f t="array" ref="H1250">_xlfn.IFS(A1250&lt;=30, "Youth", A1250&lt;=50, "Adult", A1250&gt;50, "Older")</f>
        <v>Older</v>
      </c>
      <c r="I1250" t="str" cm="1">
        <f t="array" ref="I1250">_xlfn.IFS(A1250&lt;=25,"18-25",A1250&lt;=35,"26-35",A1250&lt;=45,"36-45",A1250&lt;=60,"46-60",A1250&gt;60,"60+")</f>
        <v>60+</v>
      </c>
      <c r="J1250" t="str" cm="1">
        <f t="array" ref="J1250">_xlfn.IFS(C1250&lt;18.5,"Underweight",C1250&lt;25,"Normal",C1250&lt;30,"Overweight",C1250&gt;=30,"Obese")</f>
        <v>Obese</v>
      </c>
      <c r="K1250" t="str" cm="1">
        <f t="array" ref="K1250">_xlfn.IFS(G1250&lt;10000, "Low", G1250&lt;=25000, "Medium", G1250&gt;25000, "High")</f>
        <v>High</v>
      </c>
    </row>
    <row r="1251" spans="1:11" x14ac:dyDescent="0.3">
      <c r="A1251">
        <v>61</v>
      </c>
      <c r="B1251" s="1" t="s">
        <v>8</v>
      </c>
      <c r="C1251">
        <v>40.185000000000002</v>
      </c>
      <c r="D1251">
        <v>3</v>
      </c>
      <c r="E1251" t="s">
        <v>9</v>
      </c>
      <c r="F1251" t="s">
        <v>14</v>
      </c>
      <c r="G1251" s="2">
        <v>39597.407200000001</v>
      </c>
      <c r="H1251" t="str" cm="1">
        <f t="array" ref="H1251">_xlfn.IFS(A1251&lt;=30, "Youth", A1251&lt;=50, "Adult", A1251&gt;50, "Older")</f>
        <v>Older</v>
      </c>
      <c r="I1251" t="str" cm="1">
        <f t="array" ref="I1251">_xlfn.IFS(A1251&lt;=25,"18-25",A1251&lt;=35,"26-35",A1251&lt;=45,"36-45",A1251&lt;=60,"46-60",A1251&gt;60,"60+")</f>
        <v>60+</v>
      </c>
      <c r="J1251" t="str" cm="1">
        <f t="array" ref="J1251">_xlfn.IFS(C1251&lt;18.5,"Underweight",C1251&lt;25,"Normal",C1251&lt;30,"Overweight",C1251&gt;=30,"Obese")</f>
        <v>Obese</v>
      </c>
      <c r="K1251" t="str" cm="1">
        <f t="array" ref="K1251">_xlfn.IFS(G1251&lt;10000, "Low", G1251&lt;=25000, "Medium", G1251&gt;25000, "High")</f>
        <v>High</v>
      </c>
    </row>
    <row r="1252" spans="1:11" x14ac:dyDescent="0.3">
      <c r="A1252">
        <v>61</v>
      </c>
      <c r="B1252" s="1" t="s">
        <v>8</v>
      </c>
      <c r="C1252">
        <v>40.185000000000002</v>
      </c>
      <c r="D1252">
        <v>3</v>
      </c>
      <c r="E1252" t="s">
        <v>10</v>
      </c>
      <c r="F1252" t="s">
        <v>11</v>
      </c>
      <c r="G1252" s="2">
        <v>39611.757700000002</v>
      </c>
      <c r="H1252" t="str" cm="1">
        <f t="array" ref="H1252">_xlfn.IFS(A1252&lt;=30, "Youth", A1252&lt;=50, "Adult", A1252&gt;50, "Older")</f>
        <v>Older</v>
      </c>
      <c r="I1252" t="str" cm="1">
        <f t="array" ref="I1252">_xlfn.IFS(A1252&lt;=25,"18-25",A1252&lt;=35,"26-35",A1252&lt;=45,"36-45",A1252&lt;=60,"46-60",A1252&gt;60,"60+")</f>
        <v>60+</v>
      </c>
      <c r="J1252" t="str" cm="1">
        <f t="array" ref="J1252">_xlfn.IFS(C1252&lt;18.5,"Underweight",C1252&lt;25,"Normal",C1252&lt;30,"Overweight",C1252&gt;=30,"Obese")</f>
        <v>Obese</v>
      </c>
      <c r="K1252" t="str" cm="1">
        <f t="array" ref="K1252">_xlfn.IFS(G1252&lt;10000, "Low", G1252&lt;=25000, "Medium", G1252&gt;25000, "High")</f>
        <v>High</v>
      </c>
    </row>
    <row r="1253" spans="1:11" x14ac:dyDescent="0.3">
      <c r="A1253">
        <v>61</v>
      </c>
      <c r="B1253" s="1" t="s">
        <v>8</v>
      </c>
      <c r="C1253">
        <v>40.26</v>
      </c>
      <c r="D1253">
        <v>3</v>
      </c>
      <c r="E1253" t="s">
        <v>9</v>
      </c>
      <c r="F1253" t="s">
        <v>11</v>
      </c>
      <c r="G1253" s="2">
        <v>39722.746200000001</v>
      </c>
      <c r="H1253" t="str" cm="1">
        <f t="array" ref="H1253">_xlfn.IFS(A1253&lt;=30, "Youth", A1253&lt;=50, "Adult", A1253&gt;50, "Older")</f>
        <v>Older</v>
      </c>
      <c r="I1253" t="str" cm="1">
        <f t="array" ref="I1253">_xlfn.IFS(A1253&lt;=25,"18-25",A1253&lt;=35,"26-35",A1253&lt;=45,"36-45",A1253&lt;=60,"46-60",A1253&gt;60,"60+")</f>
        <v>60+</v>
      </c>
      <c r="J1253" t="str" cm="1">
        <f t="array" ref="J1253">_xlfn.IFS(C1253&lt;18.5,"Underweight",C1253&lt;25,"Normal",C1253&lt;30,"Overweight",C1253&gt;=30,"Obese")</f>
        <v>Obese</v>
      </c>
      <c r="K1253" t="str" cm="1">
        <f t="array" ref="K1253">_xlfn.IFS(G1253&lt;10000, "Low", G1253&lt;=25000, "Medium", G1253&gt;25000, "High")</f>
        <v>High</v>
      </c>
    </row>
    <row r="1254" spans="1:11" x14ac:dyDescent="0.3">
      <c r="A1254">
        <v>61</v>
      </c>
      <c r="B1254" s="1" t="s">
        <v>7</v>
      </c>
      <c r="C1254">
        <v>40.26</v>
      </c>
      <c r="D1254">
        <v>3</v>
      </c>
      <c r="E1254" t="s">
        <v>10</v>
      </c>
      <c r="F1254" t="s">
        <v>11</v>
      </c>
      <c r="G1254" s="2">
        <v>39725.518049999999</v>
      </c>
      <c r="H1254" t="str" cm="1">
        <f t="array" ref="H1254">_xlfn.IFS(A1254&lt;=30, "Youth", A1254&lt;=50, "Adult", A1254&gt;50, "Older")</f>
        <v>Older</v>
      </c>
      <c r="I1254" t="str" cm="1">
        <f t="array" ref="I1254">_xlfn.IFS(A1254&lt;=25,"18-25",A1254&lt;=35,"26-35",A1254&lt;=45,"36-45",A1254&lt;=60,"46-60",A1254&gt;60,"60+")</f>
        <v>60+</v>
      </c>
      <c r="J1254" t="str" cm="1">
        <f t="array" ref="J1254">_xlfn.IFS(C1254&lt;18.5,"Underweight",C1254&lt;25,"Normal",C1254&lt;30,"Overweight",C1254&gt;=30,"Obese")</f>
        <v>Obese</v>
      </c>
      <c r="K1254" t="str" cm="1">
        <f t="array" ref="K1254">_xlfn.IFS(G1254&lt;10000, "Low", G1254&lt;=25000, "Medium", G1254&gt;25000, "High")</f>
        <v>High</v>
      </c>
    </row>
    <row r="1255" spans="1:11" x14ac:dyDescent="0.3">
      <c r="A1255">
        <v>61</v>
      </c>
      <c r="B1255" s="1" t="s">
        <v>7</v>
      </c>
      <c r="C1255">
        <v>40.28</v>
      </c>
      <c r="D1255">
        <v>3</v>
      </c>
      <c r="E1255" t="s">
        <v>10</v>
      </c>
      <c r="F1255" t="s">
        <v>12</v>
      </c>
      <c r="G1255" s="2">
        <v>39727.614000000001</v>
      </c>
      <c r="H1255" t="str" cm="1">
        <f t="array" ref="H1255">_xlfn.IFS(A1255&lt;=30, "Youth", A1255&lt;=50, "Adult", A1255&gt;50, "Older")</f>
        <v>Older</v>
      </c>
      <c r="I1255" t="str" cm="1">
        <f t="array" ref="I1255">_xlfn.IFS(A1255&lt;=25,"18-25",A1255&lt;=35,"26-35",A1255&lt;=45,"36-45",A1255&lt;=60,"46-60",A1255&gt;60,"60+")</f>
        <v>60+</v>
      </c>
      <c r="J1255" t="str" cm="1">
        <f t="array" ref="J1255">_xlfn.IFS(C1255&lt;18.5,"Underweight",C1255&lt;25,"Normal",C1255&lt;30,"Overweight",C1255&gt;=30,"Obese")</f>
        <v>Obese</v>
      </c>
      <c r="K1255" t="str" cm="1">
        <f t="array" ref="K1255">_xlfn.IFS(G1255&lt;10000, "Low", G1255&lt;=25000, "Medium", G1255&gt;25000, "High")</f>
        <v>High</v>
      </c>
    </row>
    <row r="1256" spans="1:11" x14ac:dyDescent="0.3">
      <c r="A1256">
        <v>61</v>
      </c>
      <c r="B1256" s="1" t="s">
        <v>7</v>
      </c>
      <c r="C1256">
        <v>40.28</v>
      </c>
      <c r="D1256">
        <v>3</v>
      </c>
      <c r="E1256" t="s">
        <v>10</v>
      </c>
      <c r="F1256" t="s">
        <v>11</v>
      </c>
      <c r="G1256" s="2">
        <v>39774.276299999998</v>
      </c>
      <c r="H1256" t="str" cm="1">
        <f t="array" ref="H1256">_xlfn.IFS(A1256&lt;=30, "Youth", A1256&lt;=50, "Adult", A1256&gt;50, "Older")</f>
        <v>Older</v>
      </c>
      <c r="I1256" t="str" cm="1">
        <f t="array" ref="I1256">_xlfn.IFS(A1256&lt;=25,"18-25",A1256&lt;=35,"26-35",A1256&lt;=45,"36-45",A1256&lt;=60,"46-60",A1256&gt;60,"60+")</f>
        <v>60+</v>
      </c>
      <c r="J1256" t="str" cm="1">
        <f t="array" ref="J1256">_xlfn.IFS(C1256&lt;18.5,"Underweight",C1256&lt;25,"Normal",C1256&lt;30,"Overweight",C1256&gt;=30,"Obese")</f>
        <v>Obese</v>
      </c>
      <c r="K1256" t="str" cm="1">
        <f t="array" ref="K1256">_xlfn.IFS(G1256&lt;10000, "Low", G1256&lt;=25000, "Medium", G1256&gt;25000, "High")</f>
        <v>High</v>
      </c>
    </row>
    <row r="1257" spans="1:11" x14ac:dyDescent="0.3">
      <c r="A1257">
        <v>61</v>
      </c>
      <c r="B1257" s="1" t="s">
        <v>7</v>
      </c>
      <c r="C1257">
        <v>40.299999999999997</v>
      </c>
      <c r="D1257">
        <v>3</v>
      </c>
      <c r="E1257" t="s">
        <v>10</v>
      </c>
      <c r="F1257" t="s">
        <v>13</v>
      </c>
      <c r="G1257" s="2">
        <v>39836.519</v>
      </c>
      <c r="H1257" t="str" cm="1">
        <f t="array" ref="H1257">_xlfn.IFS(A1257&lt;=30, "Youth", A1257&lt;=50, "Adult", A1257&gt;50, "Older")</f>
        <v>Older</v>
      </c>
      <c r="I1257" t="str" cm="1">
        <f t="array" ref="I1257">_xlfn.IFS(A1257&lt;=25,"18-25",A1257&lt;=35,"26-35",A1257&lt;=45,"36-45",A1257&lt;=60,"46-60",A1257&gt;60,"60+")</f>
        <v>60+</v>
      </c>
      <c r="J1257" t="str" cm="1">
        <f t="array" ref="J1257">_xlfn.IFS(C1257&lt;18.5,"Underweight",C1257&lt;25,"Normal",C1257&lt;30,"Overweight",C1257&gt;=30,"Obese")</f>
        <v>Obese</v>
      </c>
      <c r="K1257" t="str" cm="1">
        <f t="array" ref="K1257">_xlfn.IFS(G1257&lt;10000, "Low", G1257&lt;=25000, "Medium", G1257&gt;25000, "High")</f>
        <v>High</v>
      </c>
    </row>
    <row r="1258" spans="1:11" x14ac:dyDescent="0.3">
      <c r="A1258">
        <v>61</v>
      </c>
      <c r="B1258" s="1" t="s">
        <v>7</v>
      </c>
      <c r="C1258">
        <v>40.369999999999997</v>
      </c>
      <c r="D1258">
        <v>3</v>
      </c>
      <c r="E1258" t="s">
        <v>10</v>
      </c>
      <c r="F1258" t="s">
        <v>13</v>
      </c>
      <c r="G1258" s="2">
        <v>39871.704299999998</v>
      </c>
      <c r="H1258" t="str" cm="1">
        <f t="array" ref="H1258">_xlfn.IFS(A1258&lt;=30, "Youth", A1258&lt;=50, "Adult", A1258&gt;50, "Older")</f>
        <v>Older</v>
      </c>
      <c r="I1258" t="str" cm="1">
        <f t="array" ref="I1258">_xlfn.IFS(A1258&lt;=25,"18-25",A1258&lt;=35,"26-35",A1258&lt;=45,"36-45",A1258&lt;=60,"46-60",A1258&gt;60,"60+")</f>
        <v>60+</v>
      </c>
      <c r="J1258" t="str" cm="1">
        <f t="array" ref="J1258">_xlfn.IFS(C1258&lt;18.5,"Underweight",C1258&lt;25,"Normal",C1258&lt;30,"Overweight",C1258&gt;=30,"Obese")</f>
        <v>Obese</v>
      </c>
      <c r="K1258" t="str" cm="1">
        <f t="array" ref="K1258">_xlfn.IFS(G1258&lt;10000, "Low", G1258&lt;=25000, "Medium", G1258&gt;25000, "High")</f>
        <v>High</v>
      </c>
    </row>
    <row r="1259" spans="1:11" x14ac:dyDescent="0.3">
      <c r="A1259">
        <v>61</v>
      </c>
      <c r="B1259" s="1" t="s">
        <v>8</v>
      </c>
      <c r="C1259">
        <v>40.369999999999997</v>
      </c>
      <c r="D1259">
        <v>3</v>
      </c>
      <c r="E1259" t="s">
        <v>10</v>
      </c>
      <c r="F1259" t="s">
        <v>13</v>
      </c>
      <c r="G1259" s="2">
        <v>39983.425949999997</v>
      </c>
      <c r="H1259" t="str" cm="1">
        <f t="array" ref="H1259">_xlfn.IFS(A1259&lt;=30, "Youth", A1259&lt;=50, "Adult", A1259&gt;50, "Older")</f>
        <v>Older</v>
      </c>
      <c r="I1259" t="str" cm="1">
        <f t="array" ref="I1259">_xlfn.IFS(A1259&lt;=25,"18-25",A1259&lt;=35,"26-35",A1259&lt;=45,"36-45",A1259&lt;=60,"46-60",A1259&gt;60,"60+")</f>
        <v>60+</v>
      </c>
      <c r="J1259" t="str" cm="1">
        <f t="array" ref="J1259">_xlfn.IFS(C1259&lt;18.5,"Underweight",C1259&lt;25,"Normal",C1259&lt;30,"Overweight",C1259&gt;=30,"Obese")</f>
        <v>Obese</v>
      </c>
      <c r="K1259" t="str" cm="1">
        <f t="array" ref="K1259">_xlfn.IFS(G1259&lt;10000, "Low", G1259&lt;=25000, "Medium", G1259&gt;25000, "High")</f>
        <v>High</v>
      </c>
    </row>
    <row r="1260" spans="1:11" x14ac:dyDescent="0.3">
      <c r="A1260">
        <v>61</v>
      </c>
      <c r="B1260" s="1" t="s">
        <v>7</v>
      </c>
      <c r="C1260">
        <v>40.375</v>
      </c>
      <c r="D1260">
        <v>3</v>
      </c>
      <c r="E1260" t="s">
        <v>10</v>
      </c>
      <c r="F1260" t="s">
        <v>14</v>
      </c>
      <c r="G1260" s="2">
        <v>40003.332249999999</v>
      </c>
      <c r="H1260" t="str" cm="1">
        <f t="array" ref="H1260">_xlfn.IFS(A1260&lt;=30, "Youth", A1260&lt;=50, "Adult", A1260&gt;50, "Older")</f>
        <v>Older</v>
      </c>
      <c r="I1260" t="str" cm="1">
        <f t="array" ref="I1260">_xlfn.IFS(A1260&lt;=25,"18-25",A1260&lt;=35,"26-35",A1260&lt;=45,"36-45",A1260&lt;=60,"46-60",A1260&gt;60,"60+")</f>
        <v>60+</v>
      </c>
      <c r="J1260" t="str" cm="1">
        <f t="array" ref="J1260">_xlfn.IFS(C1260&lt;18.5,"Underweight",C1260&lt;25,"Normal",C1260&lt;30,"Overweight",C1260&gt;=30,"Obese")</f>
        <v>Obese</v>
      </c>
      <c r="K1260" t="str" cm="1">
        <f t="array" ref="K1260">_xlfn.IFS(G1260&lt;10000, "Low", G1260&lt;=25000, "Medium", G1260&gt;25000, "High")</f>
        <v>High</v>
      </c>
    </row>
    <row r="1261" spans="1:11" x14ac:dyDescent="0.3">
      <c r="A1261">
        <v>61</v>
      </c>
      <c r="B1261" s="1" t="s">
        <v>7</v>
      </c>
      <c r="C1261">
        <v>40.47</v>
      </c>
      <c r="D1261">
        <v>3</v>
      </c>
      <c r="E1261" t="s">
        <v>10</v>
      </c>
      <c r="F1261" t="s">
        <v>14</v>
      </c>
      <c r="G1261" s="2">
        <v>40103.89</v>
      </c>
      <c r="H1261" t="str" cm="1">
        <f t="array" ref="H1261">_xlfn.IFS(A1261&lt;=30, "Youth", A1261&lt;=50, "Adult", A1261&gt;50, "Older")</f>
        <v>Older</v>
      </c>
      <c r="I1261" t="str" cm="1">
        <f t="array" ref="I1261">_xlfn.IFS(A1261&lt;=25,"18-25",A1261&lt;=35,"26-35",A1261&lt;=45,"36-45",A1261&lt;=60,"46-60",A1261&gt;60,"60+")</f>
        <v>60+</v>
      </c>
      <c r="J1261" t="str" cm="1">
        <f t="array" ref="J1261">_xlfn.IFS(C1261&lt;18.5,"Underweight",C1261&lt;25,"Normal",C1261&lt;30,"Overweight",C1261&gt;=30,"Obese")</f>
        <v>Obese</v>
      </c>
      <c r="K1261" t="str" cm="1">
        <f t="array" ref="K1261">_xlfn.IFS(G1261&lt;10000, "Low", G1261&lt;=25000, "Medium", G1261&gt;25000, "High")</f>
        <v>High</v>
      </c>
    </row>
    <row r="1262" spans="1:11" x14ac:dyDescent="0.3">
      <c r="A1262">
        <v>61</v>
      </c>
      <c r="B1262" s="1" t="s">
        <v>8</v>
      </c>
      <c r="C1262">
        <v>40.479999999999997</v>
      </c>
      <c r="D1262">
        <v>3</v>
      </c>
      <c r="E1262" t="s">
        <v>10</v>
      </c>
      <c r="F1262" t="s">
        <v>11</v>
      </c>
      <c r="G1262" s="2">
        <v>40182.245999999999</v>
      </c>
      <c r="H1262" t="str" cm="1">
        <f t="array" ref="H1262">_xlfn.IFS(A1262&lt;=30, "Youth", A1262&lt;=50, "Adult", A1262&gt;50, "Older")</f>
        <v>Older</v>
      </c>
      <c r="I1262" t="str" cm="1">
        <f t="array" ref="I1262">_xlfn.IFS(A1262&lt;=25,"18-25",A1262&lt;=35,"26-35",A1262&lt;=45,"36-45",A1262&lt;=60,"46-60",A1262&gt;60,"60+")</f>
        <v>60+</v>
      </c>
      <c r="J1262" t="str" cm="1">
        <f t="array" ref="J1262">_xlfn.IFS(C1262&lt;18.5,"Underweight",C1262&lt;25,"Normal",C1262&lt;30,"Overweight",C1262&gt;=30,"Obese")</f>
        <v>Obese</v>
      </c>
      <c r="K1262" t="str" cm="1">
        <f t="array" ref="K1262">_xlfn.IFS(G1262&lt;10000, "Low", G1262&lt;=25000, "Medium", G1262&gt;25000, "High")</f>
        <v>High</v>
      </c>
    </row>
    <row r="1263" spans="1:11" x14ac:dyDescent="0.3">
      <c r="A1263">
        <v>61</v>
      </c>
      <c r="B1263" s="1" t="s">
        <v>7</v>
      </c>
      <c r="C1263">
        <v>40.5</v>
      </c>
      <c r="D1263">
        <v>3</v>
      </c>
      <c r="E1263" t="s">
        <v>10</v>
      </c>
      <c r="F1263" t="s">
        <v>12</v>
      </c>
      <c r="G1263" s="2">
        <v>40273.645499999999</v>
      </c>
      <c r="H1263" t="str" cm="1">
        <f t="array" ref="H1263">_xlfn.IFS(A1263&lt;=30, "Youth", A1263&lt;=50, "Adult", A1263&gt;50, "Older")</f>
        <v>Older</v>
      </c>
      <c r="I1263" t="str" cm="1">
        <f t="array" ref="I1263">_xlfn.IFS(A1263&lt;=25,"18-25",A1263&lt;=35,"26-35",A1263&lt;=45,"36-45",A1263&lt;=60,"46-60",A1263&gt;60,"60+")</f>
        <v>60+</v>
      </c>
      <c r="J1263" t="str" cm="1">
        <f t="array" ref="J1263">_xlfn.IFS(C1263&lt;18.5,"Underweight",C1263&lt;25,"Normal",C1263&lt;30,"Overweight",C1263&gt;=30,"Obese")</f>
        <v>Obese</v>
      </c>
      <c r="K1263" t="str" cm="1">
        <f t="array" ref="K1263">_xlfn.IFS(G1263&lt;10000, "Low", G1263&lt;=25000, "Medium", G1263&gt;25000, "High")</f>
        <v>High</v>
      </c>
    </row>
    <row r="1264" spans="1:11" x14ac:dyDescent="0.3">
      <c r="A1264">
        <v>61</v>
      </c>
      <c r="B1264" s="1" t="s">
        <v>7</v>
      </c>
      <c r="C1264">
        <v>40.564999999999998</v>
      </c>
      <c r="D1264">
        <v>3</v>
      </c>
      <c r="E1264" t="s">
        <v>10</v>
      </c>
      <c r="F1264" t="s">
        <v>11</v>
      </c>
      <c r="G1264" s="2">
        <v>40419.019099999998</v>
      </c>
      <c r="H1264" t="str" cm="1">
        <f t="array" ref="H1264">_xlfn.IFS(A1264&lt;=30, "Youth", A1264&lt;=50, "Adult", A1264&gt;50, "Older")</f>
        <v>Older</v>
      </c>
      <c r="I1264" t="str" cm="1">
        <f t="array" ref="I1264">_xlfn.IFS(A1264&lt;=25,"18-25",A1264&lt;=35,"26-35",A1264&lt;=45,"36-45",A1264&lt;=60,"46-60",A1264&gt;60,"60+")</f>
        <v>60+</v>
      </c>
      <c r="J1264" t="str" cm="1">
        <f t="array" ref="J1264">_xlfn.IFS(C1264&lt;18.5,"Underweight",C1264&lt;25,"Normal",C1264&lt;30,"Overweight",C1264&gt;=30,"Obese")</f>
        <v>Obese</v>
      </c>
      <c r="K1264" t="str" cm="1">
        <f t="array" ref="K1264">_xlfn.IFS(G1264&lt;10000, "Low", G1264&lt;=25000, "Medium", G1264&gt;25000, "High")</f>
        <v>High</v>
      </c>
    </row>
    <row r="1265" spans="1:11" x14ac:dyDescent="0.3">
      <c r="A1265">
        <v>61</v>
      </c>
      <c r="B1265" s="1" t="s">
        <v>7</v>
      </c>
      <c r="C1265">
        <v>40.564999999999998</v>
      </c>
      <c r="D1265">
        <v>3</v>
      </c>
      <c r="E1265" t="s">
        <v>10</v>
      </c>
      <c r="F1265" t="s">
        <v>14</v>
      </c>
      <c r="G1265" s="2">
        <v>40720.551050000002</v>
      </c>
      <c r="H1265" t="str" cm="1">
        <f t="array" ref="H1265">_xlfn.IFS(A1265&lt;=30, "Youth", A1265&lt;=50, "Adult", A1265&gt;50, "Older")</f>
        <v>Older</v>
      </c>
      <c r="I1265" t="str" cm="1">
        <f t="array" ref="I1265">_xlfn.IFS(A1265&lt;=25,"18-25",A1265&lt;=35,"26-35",A1265&lt;=45,"36-45",A1265&lt;=60,"46-60",A1265&gt;60,"60+")</f>
        <v>60+</v>
      </c>
      <c r="J1265" t="str" cm="1">
        <f t="array" ref="J1265">_xlfn.IFS(C1265&lt;18.5,"Underweight",C1265&lt;25,"Normal",C1265&lt;30,"Overweight",C1265&gt;=30,"Obese")</f>
        <v>Obese</v>
      </c>
      <c r="K1265" t="str" cm="1">
        <f t="array" ref="K1265">_xlfn.IFS(G1265&lt;10000, "Low", G1265&lt;=25000, "Medium", G1265&gt;25000, "High")</f>
        <v>High</v>
      </c>
    </row>
    <row r="1266" spans="1:11" x14ac:dyDescent="0.3">
      <c r="A1266">
        <v>61</v>
      </c>
      <c r="B1266" s="1" t="s">
        <v>8</v>
      </c>
      <c r="C1266">
        <v>40.564999999999998</v>
      </c>
      <c r="D1266">
        <v>3</v>
      </c>
      <c r="E1266" t="s">
        <v>9</v>
      </c>
      <c r="F1266" t="s">
        <v>12</v>
      </c>
      <c r="G1266" s="2">
        <v>40904.199500000002</v>
      </c>
      <c r="H1266" t="str" cm="1">
        <f t="array" ref="H1266">_xlfn.IFS(A1266&lt;=30, "Youth", A1266&lt;=50, "Adult", A1266&gt;50, "Older")</f>
        <v>Older</v>
      </c>
      <c r="I1266" t="str" cm="1">
        <f t="array" ref="I1266">_xlfn.IFS(A1266&lt;=25,"18-25",A1266&lt;=35,"26-35",A1266&lt;=45,"36-45",A1266&lt;=60,"46-60",A1266&gt;60,"60+")</f>
        <v>60+</v>
      </c>
      <c r="J1266" t="str" cm="1">
        <f t="array" ref="J1266">_xlfn.IFS(C1266&lt;18.5,"Underweight",C1266&lt;25,"Normal",C1266&lt;30,"Overweight",C1266&gt;=30,"Obese")</f>
        <v>Obese</v>
      </c>
      <c r="K1266" t="str" cm="1">
        <f t="array" ref="K1266">_xlfn.IFS(G1266&lt;10000, "Low", G1266&lt;=25000, "Medium", G1266&gt;25000, "High")</f>
        <v>High</v>
      </c>
    </row>
    <row r="1267" spans="1:11" x14ac:dyDescent="0.3">
      <c r="A1267">
        <v>61</v>
      </c>
      <c r="B1267" s="1" t="s">
        <v>7</v>
      </c>
      <c r="C1267">
        <v>40.659999999999997</v>
      </c>
      <c r="D1267">
        <v>3</v>
      </c>
      <c r="E1267" t="s">
        <v>10</v>
      </c>
      <c r="F1267" t="s">
        <v>11</v>
      </c>
      <c r="G1267" s="2">
        <v>40932.429499999998</v>
      </c>
      <c r="H1267" t="str" cm="1">
        <f t="array" ref="H1267">_xlfn.IFS(A1267&lt;=30, "Youth", A1267&lt;=50, "Adult", A1267&gt;50, "Older")</f>
        <v>Older</v>
      </c>
      <c r="I1267" t="str" cm="1">
        <f t="array" ref="I1267">_xlfn.IFS(A1267&lt;=25,"18-25",A1267&lt;=35,"26-35",A1267&lt;=45,"36-45",A1267&lt;=60,"46-60",A1267&gt;60,"60+")</f>
        <v>60+</v>
      </c>
      <c r="J1267" t="str" cm="1">
        <f t="array" ref="J1267">_xlfn.IFS(C1267&lt;18.5,"Underweight",C1267&lt;25,"Normal",C1267&lt;30,"Overweight",C1267&gt;=30,"Obese")</f>
        <v>Obese</v>
      </c>
      <c r="K1267" t="str" cm="1">
        <f t="array" ref="K1267">_xlfn.IFS(G1267&lt;10000, "Low", G1267&lt;=25000, "Medium", G1267&gt;25000, "High")</f>
        <v>High</v>
      </c>
    </row>
    <row r="1268" spans="1:11" x14ac:dyDescent="0.3">
      <c r="A1268">
        <v>61</v>
      </c>
      <c r="B1268" s="1" t="s">
        <v>8</v>
      </c>
      <c r="C1268">
        <v>40.81</v>
      </c>
      <c r="D1268">
        <v>3</v>
      </c>
      <c r="E1268" t="s">
        <v>9</v>
      </c>
      <c r="F1268" t="s">
        <v>14</v>
      </c>
      <c r="G1268" s="2">
        <v>40941.285400000001</v>
      </c>
      <c r="H1268" t="str" cm="1">
        <f t="array" ref="H1268">_xlfn.IFS(A1268&lt;=30, "Youth", A1268&lt;=50, "Adult", A1268&gt;50, "Older")</f>
        <v>Older</v>
      </c>
      <c r="I1268" t="str" cm="1">
        <f t="array" ref="I1268">_xlfn.IFS(A1268&lt;=25,"18-25",A1268&lt;=35,"26-35",A1268&lt;=45,"36-45",A1268&lt;=60,"46-60",A1268&gt;60,"60+")</f>
        <v>60+</v>
      </c>
      <c r="J1268" t="str" cm="1">
        <f t="array" ref="J1268">_xlfn.IFS(C1268&lt;18.5,"Underweight",C1268&lt;25,"Normal",C1268&lt;30,"Overweight",C1268&gt;=30,"Obese")</f>
        <v>Obese</v>
      </c>
      <c r="K1268" t="str" cm="1">
        <f t="array" ref="K1268">_xlfn.IFS(G1268&lt;10000, "Low", G1268&lt;=25000, "Medium", G1268&gt;25000, "High")</f>
        <v>High</v>
      </c>
    </row>
    <row r="1269" spans="1:11" x14ac:dyDescent="0.3">
      <c r="A1269">
        <v>61</v>
      </c>
      <c r="B1269" s="1" t="s">
        <v>7</v>
      </c>
      <c r="C1269">
        <v>40.92</v>
      </c>
      <c r="D1269">
        <v>3</v>
      </c>
      <c r="E1269" t="s">
        <v>10</v>
      </c>
      <c r="F1269" t="s">
        <v>11</v>
      </c>
      <c r="G1269" s="2">
        <v>40974.164900000003</v>
      </c>
      <c r="H1269" t="str" cm="1">
        <f t="array" ref="H1269">_xlfn.IFS(A1269&lt;=30, "Youth", A1269&lt;=50, "Adult", A1269&gt;50, "Older")</f>
        <v>Older</v>
      </c>
      <c r="I1269" t="str" cm="1">
        <f t="array" ref="I1269">_xlfn.IFS(A1269&lt;=25,"18-25",A1269&lt;=35,"26-35",A1269&lt;=45,"36-45",A1269&lt;=60,"46-60",A1269&gt;60,"60+")</f>
        <v>60+</v>
      </c>
      <c r="J1269" t="str" cm="1">
        <f t="array" ref="J1269">_xlfn.IFS(C1269&lt;18.5,"Underweight",C1269&lt;25,"Normal",C1269&lt;30,"Overweight",C1269&gt;=30,"Obese")</f>
        <v>Obese</v>
      </c>
      <c r="K1269" t="str" cm="1">
        <f t="array" ref="K1269">_xlfn.IFS(G1269&lt;10000, "Low", G1269&lt;=25000, "Medium", G1269&gt;25000, "High")</f>
        <v>High</v>
      </c>
    </row>
    <row r="1270" spans="1:11" x14ac:dyDescent="0.3">
      <c r="A1270">
        <v>61</v>
      </c>
      <c r="B1270" s="1" t="s">
        <v>8</v>
      </c>
      <c r="C1270">
        <v>40.945</v>
      </c>
      <c r="D1270">
        <v>3</v>
      </c>
      <c r="E1270" t="s">
        <v>10</v>
      </c>
      <c r="F1270" t="s">
        <v>11</v>
      </c>
      <c r="G1270" s="2">
        <v>41034.221400000002</v>
      </c>
      <c r="H1270" t="str" cm="1">
        <f t="array" ref="H1270">_xlfn.IFS(A1270&lt;=30, "Youth", A1270&lt;=50, "Adult", A1270&gt;50, "Older")</f>
        <v>Older</v>
      </c>
      <c r="I1270" t="str" cm="1">
        <f t="array" ref="I1270">_xlfn.IFS(A1270&lt;=25,"18-25",A1270&lt;=35,"26-35",A1270&lt;=45,"36-45",A1270&lt;=60,"46-60",A1270&gt;60,"60+")</f>
        <v>60+</v>
      </c>
      <c r="J1270" t="str" cm="1">
        <f t="array" ref="J1270">_xlfn.IFS(C1270&lt;18.5,"Underweight",C1270&lt;25,"Normal",C1270&lt;30,"Overweight",C1270&gt;=30,"Obese")</f>
        <v>Obese</v>
      </c>
      <c r="K1270" t="str" cm="1">
        <f t="array" ref="K1270">_xlfn.IFS(G1270&lt;10000, "Low", G1270&lt;=25000, "Medium", G1270&gt;25000, "High")</f>
        <v>High</v>
      </c>
    </row>
    <row r="1271" spans="1:11" x14ac:dyDescent="0.3">
      <c r="A1271">
        <v>62</v>
      </c>
      <c r="B1271" s="1" t="s">
        <v>8</v>
      </c>
      <c r="C1271">
        <v>41.1</v>
      </c>
      <c r="D1271">
        <v>3</v>
      </c>
      <c r="E1271" t="s">
        <v>10</v>
      </c>
      <c r="F1271" t="s">
        <v>13</v>
      </c>
      <c r="G1271" s="2">
        <v>41097.161749999999</v>
      </c>
      <c r="H1271" t="str" cm="1">
        <f t="array" ref="H1271">_xlfn.IFS(A1271&lt;=30, "Youth", A1271&lt;=50, "Adult", A1271&gt;50, "Older")</f>
        <v>Older</v>
      </c>
      <c r="I1271" t="str" cm="1">
        <f t="array" ref="I1271">_xlfn.IFS(A1271&lt;=25,"18-25",A1271&lt;=35,"26-35",A1271&lt;=45,"36-45",A1271&lt;=60,"46-60",A1271&gt;60,"60+")</f>
        <v>60+</v>
      </c>
      <c r="J1271" t="str" cm="1">
        <f t="array" ref="J1271">_xlfn.IFS(C1271&lt;18.5,"Underweight",C1271&lt;25,"Normal",C1271&lt;30,"Overweight",C1271&gt;=30,"Obese")</f>
        <v>Obese</v>
      </c>
      <c r="K1271" t="str" cm="1">
        <f t="array" ref="K1271">_xlfn.IFS(G1271&lt;10000, "Low", G1271&lt;=25000, "Medium", G1271&gt;25000, "High")</f>
        <v>High</v>
      </c>
    </row>
    <row r="1272" spans="1:11" x14ac:dyDescent="0.3">
      <c r="A1272">
        <v>62</v>
      </c>
      <c r="B1272" s="1" t="s">
        <v>7</v>
      </c>
      <c r="C1272">
        <v>41.14</v>
      </c>
      <c r="D1272">
        <v>3</v>
      </c>
      <c r="E1272" t="s">
        <v>10</v>
      </c>
      <c r="F1272" t="s">
        <v>13</v>
      </c>
      <c r="G1272" s="2">
        <v>41661.601999999999</v>
      </c>
      <c r="H1272" t="str" cm="1">
        <f t="array" ref="H1272">_xlfn.IFS(A1272&lt;=30, "Youth", A1272&lt;=50, "Adult", A1272&gt;50, "Older")</f>
        <v>Older</v>
      </c>
      <c r="I1272" t="str" cm="1">
        <f t="array" ref="I1272">_xlfn.IFS(A1272&lt;=25,"18-25",A1272&lt;=35,"26-35",A1272&lt;=45,"36-45",A1272&lt;=60,"46-60",A1272&gt;60,"60+")</f>
        <v>60+</v>
      </c>
      <c r="J1272" t="str" cm="1">
        <f t="array" ref="J1272">_xlfn.IFS(C1272&lt;18.5,"Underweight",C1272&lt;25,"Normal",C1272&lt;30,"Overweight",C1272&gt;=30,"Obese")</f>
        <v>Obese</v>
      </c>
      <c r="K1272" t="str" cm="1">
        <f t="array" ref="K1272">_xlfn.IFS(G1272&lt;10000, "Low", G1272&lt;=25000, "Medium", G1272&gt;25000, "High")</f>
        <v>High</v>
      </c>
    </row>
    <row r="1273" spans="1:11" x14ac:dyDescent="0.3">
      <c r="A1273">
        <v>62</v>
      </c>
      <c r="B1273" s="1" t="s">
        <v>8</v>
      </c>
      <c r="C1273">
        <v>41.14</v>
      </c>
      <c r="D1273">
        <v>3</v>
      </c>
      <c r="E1273" t="s">
        <v>10</v>
      </c>
      <c r="F1273" t="s">
        <v>12</v>
      </c>
      <c r="G1273" s="2">
        <v>41676.081100000003</v>
      </c>
      <c r="H1273" t="str" cm="1">
        <f t="array" ref="H1273">_xlfn.IFS(A1273&lt;=30, "Youth", A1273&lt;=50, "Adult", A1273&gt;50, "Older")</f>
        <v>Older</v>
      </c>
      <c r="I1273" t="str" cm="1">
        <f t="array" ref="I1273">_xlfn.IFS(A1273&lt;=25,"18-25",A1273&lt;=35,"26-35",A1273&lt;=45,"36-45",A1273&lt;=60,"46-60",A1273&gt;60,"60+")</f>
        <v>60+</v>
      </c>
      <c r="J1273" t="str" cm="1">
        <f t="array" ref="J1273">_xlfn.IFS(C1273&lt;18.5,"Underweight",C1273&lt;25,"Normal",C1273&lt;30,"Overweight",C1273&gt;=30,"Obese")</f>
        <v>Obese</v>
      </c>
      <c r="K1273" t="str" cm="1">
        <f t="array" ref="K1273">_xlfn.IFS(G1273&lt;10000, "Low", G1273&lt;=25000, "Medium", G1273&gt;25000, "High")</f>
        <v>High</v>
      </c>
    </row>
    <row r="1274" spans="1:11" x14ac:dyDescent="0.3">
      <c r="A1274">
        <v>62</v>
      </c>
      <c r="B1274" s="1" t="s">
        <v>8</v>
      </c>
      <c r="C1274">
        <v>41.23</v>
      </c>
      <c r="D1274">
        <v>3</v>
      </c>
      <c r="E1274" t="s">
        <v>10</v>
      </c>
      <c r="F1274" t="s">
        <v>12</v>
      </c>
      <c r="G1274" s="2">
        <v>41919.097000000002</v>
      </c>
      <c r="H1274" t="str" cm="1">
        <f t="array" ref="H1274">_xlfn.IFS(A1274&lt;=30, "Youth", A1274&lt;=50, "Adult", A1274&gt;50, "Older")</f>
        <v>Older</v>
      </c>
      <c r="I1274" t="str" cm="1">
        <f t="array" ref="I1274">_xlfn.IFS(A1274&lt;=25,"18-25",A1274&lt;=35,"26-35",A1274&lt;=45,"36-45",A1274&lt;=60,"46-60",A1274&gt;60,"60+")</f>
        <v>60+</v>
      </c>
      <c r="J1274" t="str" cm="1">
        <f t="array" ref="J1274">_xlfn.IFS(C1274&lt;18.5,"Underweight",C1274&lt;25,"Normal",C1274&lt;30,"Overweight",C1274&gt;=30,"Obese")</f>
        <v>Obese</v>
      </c>
      <c r="K1274" t="str" cm="1">
        <f t="array" ref="K1274">_xlfn.IFS(G1274&lt;10000, "Low", G1274&lt;=25000, "Medium", G1274&gt;25000, "High")</f>
        <v>High</v>
      </c>
    </row>
    <row r="1275" spans="1:11" x14ac:dyDescent="0.3">
      <c r="A1275">
        <v>62</v>
      </c>
      <c r="B1275" s="1" t="s">
        <v>8</v>
      </c>
      <c r="C1275">
        <v>41.23</v>
      </c>
      <c r="D1275">
        <v>3</v>
      </c>
      <c r="E1275" t="s">
        <v>9</v>
      </c>
      <c r="F1275" t="s">
        <v>12</v>
      </c>
      <c r="G1275" s="2">
        <v>41949.244100000004</v>
      </c>
      <c r="H1275" t="str" cm="1">
        <f t="array" ref="H1275">_xlfn.IFS(A1275&lt;=30, "Youth", A1275&lt;=50, "Adult", A1275&gt;50, "Older")</f>
        <v>Older</v>
      </c>
      <c r="I1275" t="str" cm="1">
        <f t="array" ref="I1275">_xlfn.IFS(A1275&lt;=25,"18-25",A1275&lt;=35,"26-35",A1275&lt;=45,"36-45",A1275&lt;=60,"46-60",A1275&gt;60,"60+")</f>
        <v>60+</v>
      </c>
      <c r="J1275" t="str" cm="1">
        <f t="array" ref="J1275">_xlfn.IFS(C1275&lt;18.5,"Underweight",C1275&lt;25,"Normal",C1275&lt;30,"Overweight",C1275&gt;=30,"Obese")</f>
        <v>Obese</v>
      </c>
      <c r="K1275" t="str" cm="1">
        <f t="array" ref="K1275">_xlfn.IFS(G1275&lt;10000, "Low", G1275&lt;=25000, "Medium", G1275&gt;25000, "High")</f>
        <v>High</v>
      </c>
    </row>
    <row r="1276" spans="1:11" x14ac:dyDescent="0.3">
      <c r="A1276">
        <v>62</v>
      </c>
      <c r="B1276" s="1" t="s">
        <v>8</v>
      </c>
      <c r="C1276">
        <v>41.325000000000003</v>
      </c>
      <c r="D1276">
        <v>3</v>
      </c>
      <c r="E1276" t="s">
        <v>10</v>
      </c>
      <c r="F1276" t="s">
        <v>11</v>
      </c>
      <c r="G1276" s="2">
        <v>41999.519999999997</v>
      </c>
      <c r="H1276" t="str" cm="1">
        <f t="array" ref="H1276">_xlfn.IFS(A1276&lt;=30, "Youth", A1276&lt;=50, "Adult", A1276&gt;50, "Older")</f>
        <v>Older</v>
      </c>
      <c r="I1276" t="str" cm="1">
        <f t="array" ref="I1276">_xlfn.IFS(A1276&lt;=25,"18-25",A1276&lt;=35,"26-35",A1276&lt;=45,"36-45",A1276&lt;=60,"46-60",A1276&gt;60,"60+")</f>
        <v>60+</v>
      </c>
      <c r="J1276" t="str" cm="1">
        <f t="array" ref="J1276">_xlfn.IFS(C1276&lt;18.5,"Underweight",C1276&lt;25,"Normal",C1276&lt;30,"Overweight",C1276&gt;=30,"Obese")</f>
        <v>Obese</v>
      </c>
      <c r="K1276" t="str" cm="1">
        <f t="array" ref="K1276">_xlfn.IFS(G1276&lt;10000, "Low", G1276&lt;=25000, "Medium", G1276&gt;25000, "High")</f>
        <v>High</v>
      </c>
    </row>
    <row r="1277" spans="1:11" x14ac:dyDescent="0.3">
      <c r="A1277">
        <v>62</v>
      </c>
      <c r="B1277" s="1" t="s">
        <v>7</v>
      </c>
      <c r="C1277">
        <v>41.325000000000003</v>
      </c>
      <c r="D1277">
        <v>3</v>
      </c>
      <c r="E1277" t="s">
        <v>10</v>
      </c>
      <c r="F1277" t="s">
        <v>14</v>
      </c>
      <c r="G1277" s="2">
        <v>42111.664700000001</v>
      </c>
      <c r="H1277" t="str" cm="1">
        <f t="array" ref="H1277">_xlfn.IFS(A1277&lt;=30, "Youth", A1277&lt;=50, "Adult", A1277&gt;50, "Older")</f>
        <v>Older</v>
      </c>
      <c r="I1277" t="str" cm="1">
        <f t="array" ref="I1277">_xlfn.IFS(A1277&lt;=25,"18-25",A1277&lt;=35,"26-35",A1277&lt;=45,"36-45",A1277&lt;=60,"46-60",A1277&gt;60,"60+")</f>
        <v>60+</v>
      </c>
      <c r="J1277" t="str" cm="1">
        <f t="array" ref="J1277">_xlfn.IFS(C1277&lt;18.5,"Underweight",C1277&lt;25,"Normal",C1277&lt;30,"Overweight",C1277&gt;=30,"Obese")</f>
        <v>Obese</v>
      </c>
      <c r="K1277" t="str" cm="1">
        <f t="array" ref="K1277">_xlfn.IFS(G1277&lt;10000, "Low", G1277&lt;=25000, "Medium", G1277&gt;25000, "High")</f>
        <v>High</v>
      </c>
    </row>
    <row r="1278" spans="1:11" x14ac:dyDescent="0.3">
      <c r="A1278">
        <v>62</v>
      </c>
      <c r="B1278" s="1" t="s">
        <v>7</v>
      </c>
      <c r="C1278">
        <v>41.325000000000003</v>
      </c>
      <c r="D1278">
        <v>3</v>
      </c>
      <c r="E1278" t="s">
        <v>10</v>
      </c>
      <c r="F1278" t="s">
        <v>13</v>
      </c>
      <c r="G1278" s="2">
        <v>42112.2356</v>
      </c>
      <c r="H1278" t="str" cm="1">
        <f t="array" ref="H1278">_xlfn.IFS(A1278&lt;=30, "Youth", A1278&lt;=50, "Adult", A1278&gt;50, "Older")</f>
        <v>Older</v>
      </c>
      <c r="I1278" t="str" cm="1">
        <f t="array" ref="I1278">_xlfn.IFS(A1278&lt;=25,"18-25",A1278&lt;=35,"26-35",A1278&lt;=45,"36-45",A1278&lt;=60,"46-60",A1278&gt;60,"60+")</f>
        <v>60+</v>
      </c>
      <c r="J1278" t="str" cm="1">
        <f t="array" ref="J1278">_xlfn.IFS(C1278&lt;18.5,"Underweight",C1278&lt;25,"Normal",C1278&lt;30,"Overweight",C1278&gt;=30,"Obese")</f>
        <v>Obese</v>
      </c>
      <c r="K1278" t="str" cm="1">
        <f t="array" ref="K1278">_xlfn.IFS(G1278&lt;10000, "Low", G1278&lt;=25000, "Medium", G1278&gt;25000, "High")</f>
        <v>High</v>
      </c>
    </row>
    <row r="1279" spans="1:11" x14ac:dyDescent="0.3">
      <c r="A1279">
        <v>62</v>
      </c>
      <c r="B1279" s="1" t="s">
        <v>8</v>
      </c>
      <c r="C1279">
        <v>41.42</v>
      </c>
      <c r="D1279">
        <v>3</v>
      </c>
      <c r="E1279" t="s">
        <v>9</v>
      </c>
      <c r="F1279" t="s">
        <v>14</v>
      </c>
      <c r="G1279" s="2">
        <v>42124.515299999999</v>
      </c>
      <c r="H1279" t="str" cm="1">
        <f t="array" ref="H1279">_xlfn.IFS(A1279&lt;=30, "Youth", A1279&lt;=50, "Adult", A1279&gt;50, "Older")</f>
        <v>Older</v>
      </c>
      <c r="I1279" t="str" cm="1">
        <f t="array" ref="I1279">_xlfn.IFS(A1279&lt;=25,"18-25",A1279&lt;=35,"26-35",A1279&lt;=45,"36-45",A1279&lt;=60,"46-60",A1279&gt;60,"60+")</f>
        <v>60+</v>
      </c>
      <c r="J1279" t="str" cm="1">
        <f t="array" ref="J1279">_xlfn.IFS(C1279&lt;18.5,"Underweight",C1279&lt;25,"Normal",C1279&lt;30,"Overweight",C1279&gt;=30,"Obese")</f>
        <v>Obese</v>
      </c>
      <c r="K1279" t="str" cm="1">
        <f t="array" ref="K1279">_xlfn.IFS(G1279&lt;10000, "Low", G1279&lt;=25000, "Medium", G1279&gt;25000, "High")</f>
        <v>High</v>
      </c>
    </row>
    <row r="1280" spans="1:11" x14ac:dyDescent="0.3">
      <c r="A1280">
        <v>62</v>
      </c>
      <c r="B1280" s="1" t="s">
        <v>7</v>
      </c>
      <c r="C1280">
        <v>41.47</v>
      </c>
      <c r="D1280">
        <v>3</v>
      </c>
      <c r="E1280" t="s">
        <v>10</v>
      </c>
      <c r="F1280" t="s">
        <v>13</v>
      </c>
      <c r="G1280" s="2">
        <v>42211.138200000001</v>
      </c>
      <c r="H1280" t="str" cm="1">
        <f t="array" ref="H1280">_xlfn.IFS(A1280&lt;=30, "Youth", A1280&lt;=50, "Adult", A1280&gt;50, "Older")</f>
        <v>Older</v>
      </c>
      <c r="I1280" t="str" cm="1">
        <f t="array" ref="I1280">_xlfn.IFS(A1280&lt;=25,"18-25",A1280&lt;=35,"26-35",A1280&lt;=45,"36-45",A1280&lt;=60,"46-60",A1280&gt;60,"60+")</f>
        <v>60+</v>
      </c>
      <c r="J1280" t="str" cm="1">
        <f t="array" ref="J1280">_xlfn.IFS(C1280&lt;18.5,"Underweight",C1280&lt;25,"Normal",C1280&lt;30,"Overweight",C1280&gt;=30,"Obese")</f>
        <v>Obese</v>
      </c>
      <c r="K1280" t="str" cm="1">
        <f t="array" ref="K1280">_xlfn.IFS(G1280&lt;10000, "Low", G1280&lt;=25000, "Medium", G1280&gt;25000, "High")</f>
        <v>High</v>
      </c>
    </row>
    <row r="1281" spans="1:11" x14ac:dyDescent="0.3">
      <c r="A1281">
        <v>62</v>
      </c>
      <c r="B1281" s="1" t="s">
        <v>7</v>
      </c>
      <c r="C1281">
        <v>41.47</v>
      </c>
      <c r="D1281">
        <v>3</v>
      </c>
      <c r="E1281" t="s">
        <v>10</v>
      </c>
      <c r="F1281" t="s">
        <v>12</v>
      </c>
      <c r="G1281" s="2">
        <v>42303.692150000003</v>
      </c>
      <c r="H1281" t="str" cm="1">
        <f t="array" ref="H1281">_xlfn.IFS(A1281&lt;=30, "Youth", A1281&lt;=50, "Adult", A1281&gt;50, "Older")</f>
        <v>Older</v>
      </c>
      <c r="I1281" t="str" cm="1">
        <f t="array" ref="I1281">_xlfn.IFS(A1281&lt;=25,"18-25",A1281&lt;=35,"26-35",A1281&lt;=45,"36-45",A1281&lt;=60,"46-60",A1281&gt;60,"60+")</f>
        <v>60+</v>
      </c>
      <c r="J1281" t="str" cm="1">
        <f t="array" ref="J1281">_xlfn.IFS(C1281&lt;18.5,"Underweight",C1281&lt;25,"Normal",C1281&lt;30,"Overweight",C1281&gt;=30,"Obese")</f>
        <v>Obese</v>
      </c>
      <c r="K1281" t="str" cm="1">
        <f t="array" ref="K1281">_xlfn.IFS(G1281&lt;10000, "Low", G1281&lt;=25000, "Medium", G1281&gt;25000, "High")</f>
        <v>High</v>
      </c>
    </row>
    <row r="1282" spans="1:11" x14ac:dyDescent="0.3">
      <c r="A1282">
        <v>62</v>
      </c>
      <c r="B1282" s="1" t="s">
        <v>7</v>
      </c>
      <c r="C1282">
        <v>41.47</v>
      </c>
      <c r="D1282">
        <v>3</v>
      </c>
      <c r="E1282" t="s">
        <v>9</v>
      </c>
      <c r="F1282" t="s">
        <v>13</v>
      </c>
      <c r="G1282" s="2">
        <v>42560.430399999997</v>
      </c>
      <c r="H1282" t="str" cm="1">
        <f t="array" ref="H1282">_xlfn.IFS(A1282&lt;=30, "Youth", A1282&lt;=50, "Adult", A1282&gt;50, "Older")</f>
        <v>Older</v>
      </c>
      <c r="I1282" t="str" cm="1">
        <f t="array" ref="I1282">_xlfn.IFS(A1282&lt;=25,"18-25",A1282&lt;=35,"26-35",A1282&lt;=45,"36-45",A1282&lt;=60,"46-60",A1282&gt;60,"60+")</f>
        <v>60+</v>
      </c>
      <c r="J1282" t="str" cm="1">
        <f t="array" ref="J1282">_xlfn.IFS(C1282&lt;18.5,"Underweight",C1282&lt;25,"Normal",C1282&lt;30,"Overweight",C1282&gt;=30,"Obese")</f>
        <v>Obese</v>
      </c>
      <c r="K1282" t="str" cm="1">
        <f t="array" ref="K1282">_xlfn.IFS(G1282&lt;10000, "Low", G1282&lt;=25000, "Medium", G1282&gt;25000, "High")</f>
        <v>High</v>
      </c>
    </row>
    <row r="1283" spans="1:11" x14ac:dyDescent="0.3">
      <c r="A1283">
        <v>62</v>
      </c>
      <c r="B1283" s="1" t="s">
        <v>7</v>
      </c>
      <c r="C1283">
        <v>41.69</v>
      </c>
      <c r="D1283">
        <v>3</v>
      </c>
      <c r="E1283" t="s">
        <v>9</v>
      </c>
      <c r="F1283" t="s">
        <v>14</v>
      </c>
      <c r="G1283" s="2">
        <v>42760.502200000003</v>
      </c>
      <c r="H1283" t="str" cm="1">
        <f t="array" ref="H1283">_xlfn.IFS(A1283&lt;=30, "Youth", A1283&lt;=50, "Adult", A1283&gt;50, "Older")</f>
        <v>Older</v>
      </c>
      <c r="I1283" t="str" cm="1">
        <f t="array" ref="I1283">_xlfn.IFS(A1283&lt;=25,"18-25",A1283&lt;=35,"26-35",A1283&lt;=45,"36-45",A1283&lt;=60,"46-60",A1283&gt;60,"60+")</f>
        <v>60+</v>
      </c>
      <c r="J1283" t="str" cm="1">
        <f t="array" ref="J1283">_xlfn.IFS(C1283&lt;18.5,"Underweight",C1283&lt;25,"Normal",C1283&lt;30,"Overweight",C1283&gt;=30,"Obese")</f>
        <v>Obese</v>
      </c>
      <c r="K1283" t="str" cm="1">
        <f t="array" ref="K1283">_xlfn.IFS(G1283&lt;10000, "Low", G1283&lt;=25000, "Medium", G1283&gt;25000, "High")</f>
        <v>High</v>
      </c>
    </row>
    <row r="1284" spans="1:11" x14ac:dyDescent="0.3">
      <c r="A1284">
        <v>62</v>
      </c>
      <c r="B1284" s="1" t="s">
        <v>8</v>
      </c>
      <c r="C1284">
        <v>41.8</v>
      </c>
      <c r="D1284">
        <v>3</v>
      </c>
      <c r="E1284" t="s">
        <v>10</v>
      </c>
      <c r="F1284" t="s">
        <v>12</v>
      </c>
      <c r="G1284" s="2">
        <v>42856.838000000003</v>
      </c>
      <c r="H1284" t="str" cm="1">
        <f t="array" ref="H1284">_xlfn.IFS(A1284&lt;=30, "Youth", A1284&lt;=50, "Adult", A1284&gt;50, "Older")</f>
        <v>Older</v>
      </c>
      <c r="I1284" t="str" cm="1">
        <f t="array" ref="I1284">_xlfn.IFS(A1284&lt;=25,"18-25",A1284&lt;=35,"26-35",A1284&lt;=45,"36-45",A1284&lt;=60,"46-60",A1284&gt;60,"60+")</f>
        <v>60+</v>
      </c>
      <c r="J1284" t="str" cm="1">
        <f t="array" ref="J1284">_xlfn.IFS(C1284&lt;18.5,"Underweight",C1284&lt;25,"Normal",C1284&lt;30,"Overweight",C1284&gt;=30,"Obese")</f>
        <v>Obese</v>
      </c>
      <c r="K1284" t="str" cm="1">
        <f t="array" ref="K1284">_xlfn.IFS(G1284&lt;10000, "Low", G1284&lt;=25000, "Medium", G1284&gt;25000, "High")</f>
        <v>High</v>
      </c>
    </row>
    <row r="1285" spans="1:11" x14ac:dyDescent="0.3">
      <c r="A1285">
        <v>62</v>
      </c>
      <c r="B1285" s="1" t="s">
        <v>8</v>
      </c>
      <c r="C1285">
        <v>41.8</v>
      </c>
      <c r="D1285">
        <v>3</v>
      </c>
      <c r="E1285" t="s">
        <v>9</v>
      </c>
      <c r="F1285" t="s">
        <v>11</v>
      </c>
      <c r="G1285" s="2">
        <v>42969.852700000003</v>
      </c>
      <c r="H1285" t="str" cm="1">
        <f t="array" ref="H1285">_xlfn.IFS(A1285&lt;=30, "Youth", A1285&lt;=50, "Adult", A1285&gt;50, "Older")</f>
        <v>Older</v>
      </c>
      <c r="I1285" t="str" cm="1">
        <f t="array" ref="I1285">_xlfn.IFS(A1285&lt;=25,"18-25",A1285&lt;=35,"26-35",A1285&lt;=45,"36-45",A1285&lt;=60,"46-60",A1285&gt;60,"60+")</f>
        <v>60+</v>
      </c>
      <c r="J1285" t="str" cm="1">
        <f t="array" ref="J1285">_xlfn.IFS(C1285&lt;18.5,"Underweight",C1285&lt;25,"Normal",C1285&lt;30,"Overweight",C1285&gt;=30,"Obese")</f>
        <v>Obese</v>
      </c>
      <c r="K1285" t="str" cm="1">
        <f t="array" ref="K1285">_xlfn.IFS(G1285&lt;10000, "Low", G1285&lt;=25000, "Medium", G1285&gt;25000, "High")</f>
        <v>High</v>
      </c>
    </row>
    <row r="1286" spans="1:11" x14ac:dyDescent="0.3">
      <c r="A1286">
        <v>62</v>
      </c>
      <c r="B1286" s="1" t="s">
        <v>7</v>
      </c>
      <c r="C1286">
        <v>41.895000000000003</v>
      </c>
      <c r="D1286">
        <v>3</v>
      </c>
      <c r="E1286" t="s">
        <v>10</v>
      </c>
      <c r="F1286" t="s">
        <v>14</v>
      </c>
      <c r="G1286" s="2">
        <v>42983.458500000001</v>
      </c>
      <c r="H1286" t="str" cm="1">
        <f t="array" ref="H1286">_xlfn.IFS(A1286&lt;=30, "Youth", A1286&lt;=50, "Adult", A1286&gt;50, "Older")</f>
        <v>Older</v>
      </c>
      <c r="I1286" t="str" cm="1">
        <f t="array" ref="I1286">_xlfn.IFS(A1286&lt;=25,"18-25",A1286&lt;=35,"26-35",A1286&lt;=45,"36-45",A1286&lt;=60,"46-60",A1286&gt;60,"60+")</f>
        <v>60+</v>
      </c>
      <c r="J1286" t="str" cm="1">
        <f t="array" ref="J1286">_xlfn.IFS(C1286&lt;18.5,"Underweight",C1286&lt;25,"Normal",C1286&lt;30,"Overweight",C1286&gt;=30,"Obese")</f>
        <v>Obese</v>
      </c>
      <c r="K1286" t="str" cm="1">
        <f t="array" ref="K1286">_xlfn.IFS(G1286&lt;10000, "Low", G1286&lt;=25000, "Medium", G1286&gt;25000, "High")</f>
        <v>High</v>
      </c>
    </row>
    <row r="1287" spans="1:11" x14ac:dyDescent="0.3">
      <c r="A1287">
        <v>62</v>
      </c>
      <c r="B1287" s="1" t="s">
        <v>7</v>
      </c>
      <c r="C1287">
        <v>41.91</v>
      </c>
      <c r="D1287">
        <v>3</v>
      </c>
      <c r="E1287" t="s">
        <v>10</v>
      </c>
      <c r="F1287" t="s">
        <v>14</v>
      </c>
      <c r="G1287" s="2">
        <v>43254.417950000003</v>
      </c>
      <c r="H1287" t="str" cm="1">
        <f t="array" ref="H1287">_xlfn.IFS(A1287&lt;=30, "Youth", A1287&lt;=50, "Adult", A1287&gt;50, "Older")</f>
        <v>Older</v>
      </c>
      <c r="I1287" t="str" cm="1">
        <f t="array" ref="I1287">_xlfn.IFS(A1287&lt;=25,"18-25",A1287&lt;=35,"26-35",A1287&lt;=45,"36-45",A1287&lt;=60,"46-60",A1287&gt;60,"60+")</f>
        <v>60+</v>
      </c>
      <c r="J1287" t="str" cm="1">
        <f t="array" ref="J1287">_xlfn.IFS(C1287&lt;18.5,"Underweight",C1287&lt;25,"Normal",C1287&lt;30,"Overweight",C1287&gt;=30,"Obese")</f>
        <v>Obese</v>
      </c>
      <c r="K1287" t="str" cm="1">
        <f t="array" ref="K1287">_xlfn.IFS(G1287&lt;10000, "Low", G1287&lt;=25000, "Medium", G1287&gt;25000, "High")</f>
        <v>High</v>
      </c>
    </row>
    <row r="1288" spans="1:11" x14ac:dyDescent="0.3">
      <c r="A1288">
        <v>62</v>
      </c>
      <c r="B1288" s="1" t="s">
        <v>7</v>
      </c>
      <c r="C1288">
        <v>41.91</v>
      </c>
      <c r="D1288">
        <v>3</v>
      </c>
      <c r="E1288" t="s">
        <v>10</v>
      </c>
      <c r="F1288" t="s">
        <v>11</v>
      </c>
      <c r="G1288" s="2">
        <v>43578.939400000003</v>
      </c>
      <c r="H1288" t="str" cm="1">
        <f t="array" ref="H1288">_xlfn.IFS(A1288&lt;=30, "Youth", A1288&lt;=50, "Adult", A1288&gt;50, "Older")</f>
        <v>Older</v>
      </c>
      <c r="I1288" t="str" cm="1">
        <f t="array" ref="I1288">_xlfn.IFS(A1288&lt;=25,"18-25",A1288&lt;=35,"26-35",A1288&lt;=45,"36-45",A1288&lt;=60,"46-60",A1288&gt;60,"60+")</f>
        <v>60+</v>
      </c>
      <c r="J1288" t="str" cm="1">
        <f t="array" ref="J1288">_xlfn.IFS(C1288&lt;18.5,"Underweight",C1288&lt;25,"Normal",C1288&lt;30,"Overweight",C1288&gt;=30,"Obese")</f>
        <v>Obese</v>
      </c>
      <c r="K1288" t="str" cm="1">
        <f t="array" ref="K1288">_xlfn.IFS(G1288&lt;10000, "Low", G1288&lt;=25000, "Medium", G1288&gt;25000, "High")</f>
        <v>High</v>
      </c>
    </row>
    <row r="1289" spans="1:11" x14ac:dyDescent="0.3">
      <c r="A1289">
        <v>62</v>
      </c>
      <c r="B1289" s="1" t="s">
        <v>8</v>
      </c>
      <c r="C1289">
        <v>41.91</v>
      </c>
      <c r="D1289">
        <v>3</v>
      </c>
      <c r="E1289" t="s">
        <v>9</v>
      </c>
      <c r="F1289" t="s">
        <v>11</v>
      </c>
      <c r="G1289" s="2">
        <v>43753.337050000002</v>
      </c>
      <c r="H1289" t="str" cm="1">
        <f t="array" ref="H1289">_xlfn.IFS(A1289&lt;=30, "Youth", A1289&lt;=50, "Adult", A1289&gt;50, "Older")</f>
        <v>Older</v>
      </c>
      <c r="I1289" t="str" cm="1">
        <f t="array" ref="I1289">_xlfn.IFS(A1289&lt;=25,"18-25",A1289&lt;=35,"26-35",A1289&lt;=45,"36-45",A1289&lt;=60,"46-60",A1289&gt;60,"60+")</f>
        <v>60+</v>
      </c>
      <c r="J1289" t="str" cm="1">
        <f t="array" ref="J1289">_xlfn.IFS(C1289&lt;18.5,"Underweight",C1289&lt;25,"Normal",C1289&lt;30,"Overweight",C1289&gt;=30,"Obese")</f>
        <v>Obese</v>
      </c>
      <c r="K1289" t="str" cm="1">
        <f t="array" ref="K1289">_xlfn.IFS(G1289&lt;10000, "Low", G1289&lt;=25000, "Medium", G1289&gt;25000, "High")</f>
        <v>High</v>
      </c>
    </row>
    <row r="1290" spans="1:11" x14ac:dyDescent="0.3">
      <c r="A1290">
        <v>62</v>
      </c>
      <c r="B1290" s="1" t="s">
        <v>8</v>
      </c>
      <c r="C1290">
        <v>42.13</v>
      </c>
      <c r="D1290">
        <v>3</v>
      </c>
      <c r="E1290" t="s">
        <v>10</v>
      </c>
      <c r="F1290" t="s">
        <v>12</v>
      </c>
      <c r="G1290" s="2">
        <v>43813.866099999999</v>
      </c>
      <c r="H1290" t="str" cm="1">
        <f t="array" ref="H1290">_xlfn.IFS(A1290&lt;=30, "Youth", A1290&lt;=50, "Adult", A1290&gt;50, "Older")</f>
        <v>Older</v>
      </c>
      <c r="I1290" t="str" cm="1">
        <f t="array" ref="I1290">_xlfn.IFS(A1290&lt;=25,"18-25",A1290&lt;=35,"26-35",A1290&lt;=45,"36-45",A1290&lt;=60,"46-60",A1290&gt;60,"60+")</f>
        <v>60+</v>
      </c>
      <c r="J1290" t="str" cm="1">
        <f t="array" ref="J1290">_xlfn.IFS(C1290&lt;18.5,"Underweight",C1290&lt;25,"Normal",C1290&lt;30,"Overweight",C1290&gt;=30,"Obese")</f>
        <v>Obese</v>
      </c>
      <c r="K1290" t="str" cm="1">
        <f t="array" ref="K1290">_xlfn.IFS(G1290&lt;10000, "Low", G1290&lt;=25000, "Medium", G1290&gt;25000, "High")</f>
        <v>High</v>
      </c>
    </row>
    <row r="1291" spans="1:11" x14ac:dyDescent="0.3">
      <c r="A1291">
        <v>62</v>
      </c>
      <c r="B1291" s="1" t="s">
        <v>7</v>
      </c>
      <c r="C1291">
        <v>42.13</v>
      </c>
      <c r="D1291">
        <v>3</v>
      </c>
      <c r="E1291" t="s">
        <v>10</v>
      </c>
      <c r="F1291" t="s">
        <v>14</v>
      </c>
      <c r="G1291" s="2">
        <v>43896.376300000004</v>
      </c>
      <c r="H1291" t="str" cm="1">
        <f t="array" ref="H1291">_xlfn.IFS(A1291&lt;=30, "Youth", A1291&lt;=50, "Adult", A1291&gt;50, "Older")</f>
        <v>Older</v>
      </c>
      <c r="I1291" t="str" cm="1">
        <f t="array" ref="I1291">_xlfn.IFS(A1291&lt;=25,"18-25",A1291&lt;=35,"26-35",A1291&lt;=45,"36-45",A1291&lt;=60,"46-60",A1291&gt;60,"60+")</f>
        <v>60+</v>
      </c>
      <c r="J1291" t="str" cm="1">
        <f t="array" ref="J1291">_xlfn.IFS(C1291&lt;18.5,"Underweight",C1291&lt;25,"Normal",C1291&lt;30,"Overweight",C1291&gt;=30,"Obese")</f>
        <v>Obese</v>
      </c>
      <c r="K1291" t="str" cm="1">
        <f t="array" ref="K1291">_xlfn.IFS(G1291&lt;10000, "Low", G1291&lt;=25000, "Medium", G1291&gt;25000, "High")</f>
        <v>High</v>
      </c>
    </row>
    <row r="1292" spans="1:11" x14ac:dyDescent="0.3">
      <c r="A1292">
        <v>62</v>
      </c>
      <c r="B1292" s="1" t="s">
        <v>8</v>
      </c>
      <c r="C1292">
        <v>42.13</v>
      </c>
      <c r="D1292">
        <v>3</v>
      </c>
      <c r="E1292" t="s">
        <v>9</v>
      </c>
      <c r="F1292" t="s">
        <v>11</v>
      </c>
      <c r="G1292" s="2">
        <v>43921.183700000001</v>
      </c>
      <c r="H1292" t="str" cm="1">
        <f t="array" ref="H1292">_xlfn.IFS(A1292&lt;=30, "Youth", A1292&lt;=50, "Adult", A1292&gt;50, "Older")</f>
        <v>Older</v>
      </c>
      <c r="I1292" t="str" cm="1">
        <f t="array" ref="I1292">_xlfn.IFS(A1292&lt;=25,"18-25",A1292&lt;=35,"26-35",A1292&lt;=45,"36-45",A1292&lt;=60,"46-60",A1292&gt;60,"60+")</f>
        <v>60+</v>
      </c>
      <c r="J1292" t="str" cm="1">
        <f t="array" ref="J1292">_xlfn.IFS(C1292&lt;18.5,"Underweight",C1292&lt;25,"Normal",C1292&lt;30,"Overweight",C1292&gt;=30,"Obese")</f>
        <v>Obese</v>
      </c>
      <c r="K1292" t="str" cm="1">
        <f t="array" ref="K1292">_xlfn.IFS(G1292&lt;10000, "Low", G1292&lt;=25000, "Medium", G1292&gt;25000, "High")</f>
        <v>High</v>
      </c>
    </row>
    <row r="1293" spans="1:11" x14ac:dyDescent="0.3">
      <c r="A1293">
        <v>62</v>
      </c>
      <c r="B1293" s="1" t="s">
        <v>8</v>
      </c>
      <c r="C1293">
        <v>42.13</v>
      </c>
      <c r="D1293">
        <v>3</v>
      </c>
      <c r="E1293" t="s">
        <v>10</v>
      </c>
      <c r="F1293" t="s">
        <v>12</v>
      </c>
      <c r="G1293" s="2">
        <v>43943.876100000001</v>
      </c>
      <c r="H1293" t="str" cm="1">
        <f t="array" ref="H1293">_xlfn.IFS(A1293&lt;=30, "Youth", A1293&lt;=50, "Adult", A1293&gt;50, "Older")</f>
        <v>Older</v>
      </c>
      <c r="I1293" t="str" cm="1">
        <f t="array" ref="I1293">_xlfn.IFS(A1293&lt;=25,"18-25",A1293&lt;=35,"26-35",A1293&lt;=45,"36-45",A1293&lt;=60,"46-60",A1293&gt;60,"60+")</f>
        <v>60+</v>
      </c>
      <c r="J1293" t="str" cm="1">
        <f t="array" ref="J1293">_xlfn.IFS(C1293&lt;18.5,"Underweight",C1293&lt;25,"Normal",C1293&lt;30,"Overweight",C1293&gt;=30,"Obese")</f>
        <v>Obese</v>
      </c>
      <c r="K1293" t="str" cm="1">
        <f t="array" ref="K1293">_xlfn.IFS(G1293&lt;10000, "Low", G1293&lt;=25000, "Medium", G1293&gt;25000, "High")</f>
        <v>High</v>
      </c>
    </row>
    <row r="1294" spans="1:11" x14ac:dyDescent="0.3">
      <c r="A1294">
        <v>63</v>
      </c>
      <c r="B1294" s="1" t="s">
        <v>8</v>
      </c>
      <c r="C1294">
        <v>42.24</v>
      </c>
      <c r="D1294">
        <v>3</v>
      </c>
      <c r="E1294" t="s">
        <v>10</v>
      </c>
      <c r="F1294" t="s">
        <v>13</v>
      </c>
      <c r="G1294" s="2">
        <v>44202.653599999998</v>
      </c>
      <c r="H1294" t="str" cm="1">
        <f t="array" ref="H1294">_xlfn.IFS(A1294&lt;=30, "Youth", A1294&lt;=50, "Adult", A1294&gt;50, "Older")</f>
        <v>Older</v>
      </c>
      <c r="I1294" t="str" cm="1">
        <f t="array" ref="I1294">_xlfn.IFS(A1294&lt;=25,"18-25",A1294&lt;=35,"26-35",A1294&lt;=45,"36-45",A1294&lt;=60,"46-60",A1294&gt;60,"60+")</f>
        <v>60+</v>
      </c>
      <c r="J1294" t="str" cm="1">
        <f t="array" ref="J1294">_xlfn.IFS(C1294&lt;18.5,"Underweight",C1294&lt;25,"Normal",C1294&lt;30,"Overweight",C1294&gt;=30,"Obese")</f>
        <v>Obese</v>
      </c>
      <c r="K1294" t="str" cm="1">
        <f t="array" ref="K1294">_xlfn.IFS(G1294&lt;10000, "Low", G1294&lt;=25000, "Medium", G1294&gt;25000, "High")</f>
        <v>High</v>
      </c>
    </row>
    <row r="1295" spans="1:11" x14ac:dyDescent="0.3">
      <c r="A1295">
        <v>63</v>
      </c>
      <c r="B1295" s="1" t="s">
        <v>8</v>
      </c>
      <c r="C1295">
        <v>42.35</v>
      </c>
      <c r="D1295">
        <v>3</v>
      </c>
      <c r="E1295" t="s">
        <v>10</v>
      </c>
      <c r="F1295" t="s">
        <v>14</v>
      </c>
      <c r="G1295" s="2">
        <v>44260.749900000003</v>
      </c>
      <c r="H1295" t="str" cm="1">
        <f t="array" ref="H1295">_xlfn.IFS(A1295&lt;=30, "Youth", A1295&lt;=50, "Adult", A1295&gt;50, "Older")</f>
        <v>Older</v>
      </c>
      <c r="I1295" t="str" cm="1">
        <f t="array" ref="I1295">_xlfn.IFS(A1295&lt;=25,"18-25",A1295&lt;=35,"26-35",A1295&lt;=45,"36-45",A1295&lt;=60,"46-60",A1295&gt;60,"60+")</f>
        <v>60+</v>
      </c>
      <c r="J1295" t="str" cm="1">
        <f t="array" ref="J1295">_xlfn.IFS(C1295&lt;18.5,"Underweight",C1295&lt;25,"Normal",C1295&lt;30,"Overweight",C1295&gt;=30,"Obese")</f>
        <v>Obese</v>
      </c>
      <c r="K1295" t="str" cm="1">
        <f t="array" ref="K1295">_xlfn.IFS(G1295&lt;10000, "Low", G1295&lt;=25000, "Medium", G1295&gt;25000, "High")</f>
        <v>High</v>
      </c>
    </row>
    <row r="1296" spans="1:11" x14ac:dyDescent="0.3">
      <c r="A1296">
        <v>63</v>
      </c>
      <c r="B1296" s="1" t="s">
        <v>8</v>
      </c>
      <c r="C1296">
        <v>42.4</v>
      </c>
      <c r="D1296">
        <v>4</v>
      </c>
      <c r="E1296" t="s">
        <v>10</v>
      </c>
      <c r="F1296" t="s">
        <v>11</v>
      </c>
      <c r="G1296" s="2">
        <v>44400.4064</v>
      </c>
      <c r="H1296" t="str" cm="1">
        <f t="array" ref="H1296">_xlfn.IFS(A1296&lt;=30, "Youth", A1296&lt;=50, "Adult", A1296&gt;50, "Older")</f>
        <v>Older</v>
      </c>
      <c r="I1296" t="str" cm="1">
        <f t="array" ref="I1296">_xlfn.IFS(A1296&lt;=25,"18-25",A1296&lt;=35,"26-35",A1296&lt;=45,"36-45",A1296&lt;=60,"46-60",A1296&gt;60,"60+")</f>
        <v>60+</v>
      </c>
      <c r="J1296" t="str" cm="1">
        <f t="array" ref="J1296">_xlfn.IFS(C1296&lt;18.5,"Underweight",C1296&lt;25,"Normal",C1296&lt;30,"Overweight",C1296&gt;=30,"Obese")</f>
        <v>Obese</v>
      </c>
      <c r="K1296" t="str" cm="1">
        <f t="array" ref="K1296">_xlfn.IFS(G1296&lt;10000, "Low", G1296&lt;=25000, "Medium", G1296&gt;25000, "High")</f>
        <v>High</v>
      </c>
    </row>
    <row r="1297" spans="1:11" x14ac:dyDescent="0.3">
      <c r="A1297">
        <v>63</v>
      </c>
      <c r="B1297" s="1" t="s">
        <v>8</v>
      </c>
      <c r="C1297">
        <v>42.4</v>
      </c>
      <c r="D1297">
        <v>4</v>
      </c>
      <c r="E1297" t="s">
        <v>10</v>
      </c>
      <c r="F1297" t="s">
        <v>14</v>
      </c>
      <c r="G1297" s="2">
        <v>44423.803</v>
      </c>
      <c r="H1297" t="str" cm="1">
        <f t="array" ref="H1297">_xlfn.IFS(A1297&lt;=30, "Youth", A1297&lt;=50, "Adult", A1297&gt;50, "Older")</f>
        <v>Older</v>
      </c>
      <c r="I1297" t="str" cm="1">
        <f t="array" ref="I1297">_xlfn.IFS(A1297&lt;=25,"18-25",A1297&lt;=35,"26-35",A1297&lt;=45,"36-45",A1297&lt;=60,"46-60",A1297&gt;60,"60+")</f>
        <v>60+</v>
      </c>
      <c r="J1297" t="str" cm="1">
        <f t="array" ref="J1297">_xlfn.IFS(C1297&lt;18.5,"Underweight",C1297&lt;25,"Normal",C1297&lt;30,"Overweight",C1297&gt;=30,"Obese")</f>
        <v>Obese</v>
      </c>
      <c r="K1297" t="str" cm="1">
        <f t="array" ref="K1297">_xlfn.IFS(G1297&lt;10000, "Low", G1297&lt;=25000, "Medium", G1297&gt;25000, "High")</f>
        <v>High</v>
      </c>
    </row>
    <row r="1298" spans="1:11" x14ac:dyDescent="0.3">
      <c r="A1298">
        <v>63</v>
      </c>
      <c r="B1298" s="1" t="s">
        <v>7</v>
      </c>
      <c r="C1298">
        <v>42.46</v>
      </c>
      <c r="D1298">
        <v>4</v>
      </c>
      <c r="E1298" t="s">
        <v>10</v>
      </c>
      <c r="F1298" t="s">
        <v>12</v>
      </c>
      <c r="G1298" s="2">
        <v>44501.398200000003</v>
      </c>
      <c r="H1298" t="str" cm="1">
        <f t="array" ref="H1298">_xlfn.IFS(A1298&lt;=30, "Youth", A1298&lt;=50, "Adult", A1298&gt;50, "Older")</f>
        <v>Older</v>
      </c>
      <c r="I1298" t="str" cm="1">
        <f t="array" ref="I1298">_xlfn.IFS(A1298&lt;=25,"18-25",A1298&lt;=35,"26-35",A1298&lt;=45,"36-45",A1298&lt;=60,"46-60",A1298&gt;60,"60+")</f>
        <v>60+</v>
      </c>
      <c r="J1298" t="str" cm="1">
        <f t="array" ref="J1298">_xlfn.IFS(C1298&lt;18.5,"Underweight",C1298&lt;25,"Normal",C1298&lt;30,"Overweight",C1298&gt;=30,"Obese")</f>
        <v>Obese</v>
      </c>
      <c r="K1298" t="str" cm="1">
        <f t="array" ref="K1298">_xlfn.IFS(G1298&lt;10000, "Low", G1298&lt;=25000, "Medium", G1298&gt;25000, "High")</f>
        <v>High</v>
      </c>
    </row>
    <row r="1299" spans="1:11" x14ac:dyDescent="0.3">
      <c r="A1299">
        <v>63</v>
      </c>
      <c r="B1299" s="1" t="s">
        <v>8</v>
      </c>
      <c r="C1299">
        <v>42.655000000000001</v>
      </c>
      <c r="D1299">
        <v>4</v>
      </c>
      <c r="E1299" t="s">
        <v>10</v>
      </c>
      <c r="F1299" t="s">
        <v>13</v>
      </c>
      <c r="G1299" s="2">
        <v>44585.455869999998</v>
      </c>
      <c r="H1299" t="str" cm="1">
        <f t="array" ref="H1299">_xlfn.IFS(A1299&lt;=30, "Youth", A1299&lt;=50, "Adult", A1299&gt;50, "Older")</f>
        <v>Older</v>
      </c>
      <c r="I1299" t="str" cm="1">
        <f t="array" ref="I1299">_xlfn.IFS(A1299&lt;=25,"18-25",A1299&lt;=35,"26-35",A1299&lt;=45,"36-45",A1299&lt;=60,"46-60",A1299&gt;60,"60+")</f>
        <v>60+</v>
      </c>
      <c r="J1299" t="str" cm="1">
        <f t="array" ref="J1299">_xlfn.IFS(C1299&lt;18.5,"Underweight",C1299&lt;25,"Normal",C1299&lt;30,"Overweight",C1299&gt;=30,"Obese")</f>
        <v>Obese</v>
      </c>
      <c r="K1299" t="str" cm="1">
        <f t="array" ref="K1299">_xlfn.IFS(G1299&lt;10000, "Low", G1299&lt;=25000, "Medium", G1299&gt;25000, "High")</f>
        <v>High</v>
      </c>
    </row>
    <row r="1300" spans="1:11" x14ac:dyDescent="0.3">
      <c r="A1300">
        <v>63</v>
      </c>
      <c r="B1300" s="1" t="s">
        <v>7</v>
      </c>
      <c r="C1300">
        <v>42.68</v>
      </c>
      <c r="D1300">
        <v>4</v>
      </c>
      <c r="E1300" t="s">
        <v>10</v>
      </c>
      <c r="F1300" t="s">
        <v>13</v>
      </c>
      <c r="G1300" s="2">
        <v>44641.197399999997</v>
      </c>
      <c r="H1300" t="str" cm="1">
        <f t="array" ref="H1300">_xlfn.IFS(A1300&lt;=30, "Youth", A1300&lt;=50, "Adult", A1300&gt;50, "Older")</f>
        <v>Older</v>
      </c>
      <c r="I1300" t="str" cm="1">
        <f t="array" ref="I1300">_xlfn.IFS(A1300&lt;=25,"18-25",A1300&lt;=35,"26-35",A1300&lt;=45,"36-45",A1300&lt;=60,"46-60",A1300&gt;60,"60+")</f>
        <v>60+</v>
      </c>
      <c r="J1300" t="str" cm="1">
        <f t="array" ref="J1300">_xlfn.IFS(C1300&lt;18.5,"Underweight",C1300&lt;25,"Normal",C1300&lt;30,"Overweight",C1300&gt;=30,"Obese")</f>
        <v>Obese</v>
      </c>
      <c r="K1300" t="str" cm="1">
        <f t="array" ref="K1300">_xlfn.IFS(G1300&lt;10000, "Low", G1300&lt;=25000, "Medium", G1300&gt;25000, "High")</f>
        <v>High</v>
      </c>
    </row>
    <row r="1301" spans="1:11" x14ac:dyDescent="0.3">
      <c r="A1301">
        <v>63</v>
      </c>
      <c r="B1301" s="1" t="s">
        <v>8</v>
      </c>
      <c r="C1301">
        <v>42.75</v>
      </c>
      <c r="D1301">
        <v>4</v>
      </c>
      <c r="E1301" t="s">
        <v>9</v>
      </c>
      <c r="F1301" t="s">
        <v>12</v>
      </c>
      <c r="G1301" s="2">
        <v>45008.955499999996</v>
      </c>
      <c r="H1301" t="str" cm="1">
        <f t="array" ref="H1301">_xlfn.IFS(A1301&lt;=30, "Youth", A1301&lt;=50, "Adult", A1301&gt;50, "Older")</f>
        <v>Older</v>
      </c>
      <c r="I1301" t="str" cm="1">
        <f t="array" ref="I1301">_xlfn.IFS(A1301&lt;=25,"18-25",A1301&lt;=35,"26-35",A1301&lt;=45,"36-45",A1301&lt;=60,"46-60",A1301&gt;60,"60+")</f>
        <v>60+</v>
      </c>
      <c r="J1301" t="str" cm="1">
        <f t="array" ref="J1301">_xlfn.IFS(C1301&lt;18.5,"Underweight",C1301&lt;25,"Normal",C1301&lt;30,"Overweight",C1301&gt;=30,"Obese")</f>
        <v>Obese</v>
      </c>
      <c r="K1301" t="str" cm="1">
        <f t="array" ref="K1301">_xlfn.IFS(G1301&lt;10000, "Low", G1301&lt;=25000, "Medium", G1301&gt;25000, "High")</f>
        <v>High</v>
      </c>
    </row>
    <row r="1302" spans="1:11" x14ac:dyDescent="0.3">
      <c r="A1302">
        <v>63</v>
      </c>
      <c r="B1302" s="1" t="s">
        <v>8</v>
      </c>
      <c r="C1302">
        <v>42.9</v>
      </c>
      <c r="D1302">
        <v>4</v>
      </c>
      <c r="E1302" t="s">
        <v>9</v>
      </c>
      <c r="F1302" t="s">
        <v>13</v>
      </c>
      <c r="G1302" s="2">
        <v>45702.022349999999</v>
      </c>
      <c r="H1302" t="str" cm="1">
        <f t="array" ref="H1302">_xlfn.IFS(A1302&lt;=30, "Youth", A1302&lt;=50, "Adult", A1302&gt;50, "Older")</f>
        <v>Older</v>
      </c>
      <c r="I1302" t="str" cm="1">
        <f t="array" ref="I1302">_xlfn.IFS(A1302&lt;=25,"18-25",A1302&lt;=35,"26-35",A1302&lt;=45,"36-45",A1302&lt;=60,"46-60",A1302&gt;60,"60+")</f>
        <v>60+</v>
      </c>
      <c r="J1302" t="str" cm="1">
        <f t="array" ref="J1302">_xlfn.IFS(C1302&lt;18.5,"Underweight",C1302&lt;25,"Normal",C1302&lt;30,"Overweight",C1302&gt;=30,"Obese")</f>
        <v>Obese</v>
      </c>
      <c r="K1302" t="str" cm="1">
        <f t="array" ref="K1302">_xlfn.IFS(G1302&lt;10000, "Low", G1302&lt;=25000, "Medium", G1302&gt;25000, "High")</f>
        <v>High</v>
      </c>
    </row>
    <row r="1303" spans="1:11" x14ac:dyDescent="0.3">
      <c r="A1303">
        <v>63</v>
      </c>
      <c r="B1303" s="1" t="s">
        <v>7</v>
      </c>
      <c r="C1303">
        <v>42.9</v>
      </c>
      <c r="D1303">
        <v>4</v>
      </c>
      <c r="E1303" t="s">
        <v>10</v>
      </c>
      <c r="F1303" t="s">
        <v>11</v>
      </c>
      <c r="G1303" s="2">
        <v>45710.207849999999</v>
      </c>
      <c r="H1303" t="str" cm="1">
        <f t="array" ref="H1303">_xlfn.IFS(A1303&lt;=30, "Youth", A1303&lt;=50, "Adult", A1303&gt;50, "Older")</f>
        <v>Older</v>
      </c>
      <c r="I1303" t="str" cm="1">
        <f t="array" ref="I1303">_xlfn.IFS(A1303&lt;=25,"18-25",A1303&lt;=35,"26-35",A1303&lt;=45,"36-45",A1303&lt;=60,"46-60",A1303&gt;60,"60+")</f>
        <v>60+</v>
      </c>
      <c r="J1303" t="str" cm="1">
        <f t="array" ref="J1303">_xlfn.IFS(C1303&lt;18.5,"Underweight",C1303&lt;25,"Normal",C1303&lt;30,"Overweight",C1303&gt;=30,"Obese")</f>
        <v>Obese</v>
      </c>
      <c r="K1303" t="str" cm="1">
        <f t="array" ref="K1303">_xlfn.IFS(G1303&lt;10000, "Low", G1303&lt;=25000, "Medium", G1303&gt;25000, "High")</f>
        <v>High</v>
      </c>
    </row>
    <row r="1304" spans="1:11" x14ac:dyDescent="0.3">
      <c r="A1304">
        <v>63</v>
      </c>
      <c r="B1304" s="1" t="s">
        <v>8</v>
      </c>
      <c r="C1304">
        <v>42.94</v>
      </c>
      <c r="D1304">
        <v>4</v>
      </c>
      <c r="E1304" t="s">
        <v>9</v>
      </c>
      <c r="F1304" t="s">
        <v>11</v>
      </c>
      <c r="G1304" s="2">
        <v>45863.205000000002</v>
      </c>
      <c r="H1304" t="str" cm="1">
        <f t="array" ref="H1304">_xlfn.IFS(A1304&lt;=30, "Youth", A1304&lt;=50, "Adult", A1304&gt;50, "Older")</f>
        <v>Older</v>
      </c>
      <c r="I1304" t="str" cm="1">
        <f t="array" ref="I1304">_xlfn.IFS(A1304&lt;=25,"18-25",A1304&lt;=35,"26-35",A1304&lt;=45,"36-45",A1304&lt;=60,"46-60",A1304&gt;60,"60+")</f>
        <v>60+</v>
      </c>
      <c r="J1304" t="str" cm="1">
        <f t="array" ref="J1304">_xlfn.IFS(C1304&lt;18.5,"Underweight",C1304&lt;25,"Normal",C1304&lt;30,"Overweight",C1304&gt;=30,"Obese")</f>
        <v>Obese</v>
      </c>
      <c r="K1304" t="str" cm="1">
        <f t="array" ref="K1304">_xlfn.IFS(G1304&lt;10000, "Low", G1304&lt;=25000, "Medium", G1304&gt;25000, "High")</f>
        <v>High</v>
      </c>
    </row>
    <row r="1305" spans="1:11" x14ac:dyDescent="0.3">
      <c r="A1305">
        <v>63</v>
      </c>
      <c r="B1305" s="1" t="s">
        <v>8</v>
      </c>
      <c r="C1305">
        <v>43.01</v>
      </c>
      <c r="D1305">
        <v>4</v>
      </c>
      <c r="E1305" t="s">
        <v>9</v>
      </c>
      <c r="F1305" t="s">
        <v>14</v>
      </c>
      <c r="G1305" s="2">
        <v>46113.510999999999</v>
      </c>
      <c r="H1305" t="str" cm="1">
        <f t="array" ref="H1305">_xlfn.IFS(A1305&lt;=30, "Youth", A1305&lt;=50, "Adult", A1305&gt;50, "Older")</f>
        <v>Older</v>
      </c>
      <c r="I1305" t="str" cm="1">
        <f t="array" ref="I1305">_xlfn.IFS(A1305&lt;=25,"18-25",A1305&lt;=35,"26-35",A1305&lt;=45,"36-45",A1305&lt;=60,"46-60",A1305&gt;60,"60+")</f>
        <v>60+</v>
      </c>
      <c r="J1305" t="str" cm="1">
        <f t="array" ref="J1305">_xlfn.IFS(C1305&lt;18.5,"Underweight",C1305&lt;25,"Normal",C1305&lt;30,"Overweight",C1305&gt;=30,"Obese")</f>
        <v>Obese</v>
      </c>
      <c r="K1305" t="str" cm="1">
        <f t="array" ref="K1305">_xlfn.IFS(G1305&lt;10000, "Low", G1305&lt;=25000, "Medium", G1305&gt;25000, "High")</f>
        <v>High</v>
      </c>
    </row>
    <row r="1306" spans="1:11" x14ac:dyDescent="0.3">
      <c r="A1306">
        <v>63</v>
      </c>
      <c r="B1306" s="1" t="s">
        <v>7</v>
      </c>
      <c r="C1306">
        <v>43.12</v>
      </c>
      <c r="D1306">
        <v>4</v>
      </c>
      <c r="E1306" t="s">
        <v>10</v>
      </c>
      <c r="F1306" t="s">
        <v>12</v>
      </c>
      <c r="G1306" s="2">
        <v>46130.5265</v>
      </c>
      <c r="H1306" t="str" cm="1">
        <f t="array" ref="H1306">_xlfn.IFS(A1306&lt;=30, "Youth", A1306&lt;=50, "Adult", A1306&gt;50, "Older")</f>
        <v>Older</v>
      </c>
      <c r="I1306" t="str" cm="1">
        <f t="array" ref="I1306">_xlfn.IFS(A1306&lt;=25,"18-25",A1306&lt;=35,"26-35",A1306&lt;=45,"36-45",A1306&lt;=60,"46-60",A1306&gt;60,"60+")</f>
        <v>60+</v>
      </c>
      <c r="J1306" t="str" cm="1">
        <f t="array" ref="J1306">_xlfn.IFS(C1306&lt;18.5,"Underweight",C1306&lt;25,"Normal",C1306&lt;30,"Overweight",C1306&gt;=30,"Obese")</f>
        <v>Obese</v>
      </c>
      <c r="K1306" t="str" cm="1">
        <f t="array" ref="K1306">_xlfn.IFS(G1306&lt;10000, "Low", G1306&lt;=25000, "Medium", G1306&gt;25000, "High")</f>
        <v>High</v>
      </c>
    </row>
    <row r="1307" spans="1:11" x14ac:dyDescent="0.3">
      <c r="A1307">
        <v>63</v>
      </c>
      <c r="B1307" s="1" t="s">
        <v>7</v>
      </c>
      <c r="C1307">
        <v>43.34</v>
      </c>
      <c r="D1307">
        <v>4</v>
      </c>
      <c r="E1307" t="s">
        <v>9</v>
      </c>
      <c r="F1307" t="s">
        <v>14</v>
      </c>
      <c r="G1307" s="2">
        <v>46151.124499999998</v>
      </c>
      <c r="H1307" t="str" cm="1">
        <f t="array" ref="H1307">_xlfn.IFS(A1307&lt;=30, "Youth", A1307&lt;=50, "Adult", A1307&gt;50, "Older")</f>
        <v>Older</v>
      </c>
      <c r="I1307" t="str" cm="1">
        <f t="array" ref="I1307">_xlfn.IFS(A1307&lt;=25,"18-25",A1307&lt;=35,"26-35",A1307&lt;=45,"36-45",A1307&lt;=60,"46-60",A1307&gt;60,"60+")</f>
        <v>60+</v>
      </c>
      <c r="J1307" t="str" cm="1">
        <f t="array" ref="J1307">_xlfn.IFS(C1307&lt;18.5,"Underweight",C1307&lt;25,"Normal",C1307&lt;30,"Overweight",C1307&gt;=30,"Obese")</f>
        <v>Obese</v>
      </c>
      <c r="K1307" t="str" cm="1">
        <f t="array" ref="K1307">_xlfn.IFS(G1307&lt;10000, "Low", G1307&lt;=25000, "Medium", G1307&gt;25000, "High")</f>
        <v>High</v>
      </c>
    </row>
    <row r="1308" spans="1:11" x14ac:dyDescent="0.3">
      <c r="A1308">
        <v>63</v>
      </c>
      <c r="B1308" s="1" t="s">
        <v>8</v>
      </c>
      <c r="C1308">
        <v>43.4</v>
      </c>
      <c r="D1308">
        <v>4</v>
      </c>
      <c r="E1308" t="s">
        <v>9</v>
      </c>
      <c r="F1308" t="s">
        <v>13</v>
      </c>
      <c r="G1308" s="2">
        <v>46200.985099999998</v>
      </c>
      <c r="H1308" t="str" cm="1">
        <f t="array" ref="H1308">_xlfn.IFS(A1308&lt;=30, "Youth", A1308&lt;=50, "Adult", A1308&gt;50, "Older")</f>
        <v>Older</v>
      </c>
      <c r="I1308" t="str" cm="1">
        <f t="array" ref="I1308">_xlfn.IFS(A1308&lt;=25,"18-25",A1308&lt;=35,"26-35",A1308&lt;=45,"36-45",A1308&lt;=60,"46-60",A1308&gt;60,"60+")</f>
        <v>60+</v>
      </c>
      <c r="J1308" t="str" cm="1">
        <f t="array" ref="J1308">_xlfn.IFS(C1308&lt;18.5,"Underweight",C1308&lt;25,"Normal",C1308&lt;30,"Overweight",C1308&gt;=30,"Obese")</f>
        <v>Obese</v>
      </c>
      <c r="K1308" t="str" cm="1">
        <f t="array" ref="K1308">_xlfn.IFS(G1308&lt;10000, "Low", G1308&lt;=25000, "Medium", G1308&gt;25000, "High")</f>
        <v>High</v>
      </c>
    </row>
    <row r="1309" spans="1:11" x14ac:dyDescent="0.3">
      <c r="A1309">
        <v>63</v>
      </c>
      <c r="B1309" s="1" t="s">
        <v>7</v>
      </c>
      <c r="C1309">
        <v>43.7</v>
      </c>
      <c r="D1309">
        <v>4</v>
      </c>
      <c r="E1309" t="s">
        <v>9</v>
      </c>
      <c r="F1309" t="s">
        <v>11</v>
      </c>
      <c r="G1309" s="2">
        <v>46255.112500000003</v>
      </c>
      <c r="H1309" t="str" cm="1">
        <f t="array" ref="H1309">_xlfn.IFS(A1309&lt;=30, "Youth", A1309&lt;=50, "Adult", A1309&gt;50, "Older")</f>
        <v>Older</v>
      </c>
      <c r="I1309" t="str" cm="1">
        <f t="array" ref="I1309">_xlfn.IFS(A1309&lt;=25,"18-25",A1309&lt;=35,"26-35",A1309&lt;=45,"36-45",A1309&lt;=60,"46-60",A1309&gt;60,"60+")</f>
        <v>60+</v>
      </c>
      <c r="J1309" t="str" cm="1">
        <f t="array" ref="J1309">_xlfn.IFS(C1309&lt;18.5,"Underweight",C1309&lt;25,"Normal",C1309&lt;30,"Overweight",C1309&gt;=30,"Obese")</f>
        <v>Obese</v>
      </c>
      <c r="K1309" t="str" cm="1">
        <f t="array" ref="K1309">_xlfn.IFS(G1309&lt;10000, "Low", G1309&lt;=25000, "Medium", G1309&gt;25000, "High")</f>
        <v>High</v>
      </c>
    </row>
    <row r="1310" spans="1:11" x14ac:dyDescent="0.3">
      <c r="A1310">
        <v>63</v>
      </c>
      <c r="B1310" s="1" t="s">
        <v>8</v>
      </c>
      <c r="C1310">
        <v>43.89</v>
      </c>
      <c r="D1310">
        <v>4</v>
      </c>
      <c r="E1310" t="s">
        <v>10</v>
      </c>
      <c r="F1310" t="s">
        <v>11</v>
      </c>
      <c r="G1310" s="2">
        <v>46599.108399999997</v>
      </c>
      <c r="H1310" t="str" cm="1">
        <f t="array" ref="H1310">_xlfn.IFS(A1310&lt;=30, "Youth", A1310&lt;=50, "Adult", A1310&gt;50, "Older")</f>
        <v>Older</v>
      </c>
      <c r="I1310" t="str" cm="1">
        <f t="array" ref="I1310">_xlfn.IFS(A1310&lt;=25,"18-25",A1310&lt;=35,"26-35",A1310&lt;=45,"36-45",A1310&lt;=60,"46-60",A1310&gt;60,"60+")</f>
        <v>60+</v>
      </c>
      <c r="J1310" t="str" cm="1">
        <f t="array" ref="J1310">_xlfn.IFS(C1310&lt;18.5,"Underweight",C1310&lt;25,"Normal",C1310&lt;30,"Overweight",C1310&gt;=30,"Obese")</f>
        <v>Obese</v>
      </c>
      <c r="K1310" t="str" cm="1">
        <f t="array" ref="K1310">_xlfn.IFS(G1310&lt;10000, "Low", G1310&lt;=25000, "Medium", G1310&gt;25000, "High")</f>
        <v>High</v>
      </c>
    </row>
    <row r="1311" spans="1:11" x14ac:dyDescent="0.3">
      <c r="A1311">
        <v>63</v>
      </c>
      <c r="B1311" s="1" t="s">
        <v>8</v>
      </c>
      <c r="C1311">
        <v>43.89</v>
      </c>
      <c r="D1311">
        <v>4</v>
      </c>
      <c r="E1311" t="s">
        <v>10</v>
      </c>
      <c r="F1311" t="s">
        <v>13</v>
      </c>
      <c r="G1311" s="2">
        <v>46661.4424</v>
      </c>
      <c r="H1311" t="str" cm="1">
        <f t="array" ref="H1311">_xlfn.IFS(A1311&lt;=30, "Youth", A1311&lt;=50, "Adult", A1311&gt;50, "Older")</f>
        <v>Older</v>
      </c>
      <c r="I1311" t="str" cm="1">
        <f t="array" ref="I1311">_xlfn.IFS(A1311&lt;=25,"18-25",A1311&lt;=35,"26-35",A1311&lt;=45,"36-45",A1311&lt;=60,"46-60",A1311&gt;60,"60+")</f>
        <v>60+</v>
      </c>
      <c r="J1311" t="str" cm="1">
        <f t="array" ref="J1311">_xlfn.IFS(C1311&lt;18.5,"Underweight",C1311&lt;25,"Normal",C1311&lt;30,"Overweight",C1311&gt;=30,"Obese")</f>
        <v>Obese</v>
      </c>
      <c r="K1311" t="str" cm="1">
        <f t="array" ref="K1311">_xlfn.IFS(G1311&lt;10000, "Low", G1311&lt;=25000, "Medium", G1311&gt;25000, "High")</f>
        <v>High</v>
      </c>
    </row>
    <row r="1312" spans="1:11" x14ac:dyDescent="0.3">
      <c r="A1312">
        <v>63</v>
      </c>
      <c r="B1312" s="1" t="s">
        <v>7</v>
      </c>
      <c r="C1312">
        <v>44</v>
      </c>
      <c r="D1312">
        <v>4</v>
      </c>
      <c r="E1312" t="s">
        <v>10</v>
      </c>
      <c r="F1312" t="s">
        <v>13</v>
      </c>
      <c r="G1312" s="2">
        <v>46718.163249999998</v>
      </c>
      <c r="H1312" t="str" cm="1">
        <f t="array" ref="H1312">_xlfn.IFS(A1312&lt;=30, "Youth", A1312&lt;=50, "Adult", A1312&gt;50, "Older")</f>
        <v>Older</v>
      </c>
      <c r="I1312" t="str" cm="1">
        <f t="array" ref="I1312">_xlfn.IFS(A1312&lt;=25,"18-25",A1312&lt;=35,"26-35",A1312&lt;=45,"36-45",A1312&lt;=60,"46-60",A1312&gt;60,"60+")</f>
        <v>60+</v>
      </c>
      <c r="J1312" t="str" cm="1">
        <f t="array" ref="J1312">_xlfn.IFS(C1312&lt;18.5,"Underweight",C1312&lt;25,"Normal",C1312&lt;30,"Overweight",C1312&gt;=30,"Obese")</f>
        <v>Obese</v>
      </c>
      <c r="K1312" t="str" cm="1">
        <f t="array" ref="K1312">_xlfn.IFS(G1312&lt;10000, "Low", G1312&lt;=25000, "Medium", G1312&gt;25000, "High")</f>
        <v>High</v>
      </c>
    </row>
    <row r="1313" spans="1:11" x14ac:dyDescent="0.3">
      <c r="A1313">
        <v>63</v>
      </c>
      <c r="B1313" s="1" t="s">
        <v>8</v>
      </c>
      <c r="C1313">
        <v>44.22</v>
      </c>
      <c r="D1313">
        <v>4</v>
      </c>
      <c r="E1313" t="s">
        <v>10</v>
      </c>
      <c r="F1313" t="s">
        <v>11</v>
      </c>
      <c r="G1313" s="2">
        <v>46889.261200000001</v>
      </c>
      <c r="H1313" t="str" cm="1">
        <f t="array" ref="H1313">_xlfn.IFS(A1313&lt;=30, "Youth", A1313&lt;=50, "Adult", A1313&gt;50, "Older")</f>
        <v>Older</v>
      </c>
      <c r="I1313" t="str" cm="1">
        <f t="array" ref="I1313">_xlfn.IFS(A1313&lt;=25,"18-25",A1313&lt;=35,"26-35",A1313&lt;=45,"36-45",A1313&lt;=60,"46-60",A1313&gt;60,"60+")</f>
        <v>60+</v>
      </c>
      <c r="J1313" t="str" cm="1">
        <f t="array" ref="J1313">_xlfn.IFS(C1313&lt;18.5,"Underweight",C1313&lt;25,"Normal",C1313&lt;30,"Overweight",C1313&gt;=30,"Obese")</f>
        <v>Obese</v>
      </c>
      <c r="K1313" t="str" cm="1">
        <f t="array" ref="K1313">_xlfn.IFS(G1313&lt;10000, "Low", G1313&lt;=25000, "Medium", G1313&gt;25000, "High")</f>
        <v>High</v>
      </c>
    </row>
    <row r="1314" spans="1:11" x14ac:dyDescent="0.3">
      <c r="A1314">
        <v>63</v>
      </c>
      <c r="B1314" s="1" t="s">
        <v>7</v>
      </c>
      <c r="C1314">
        <v>44.22</v>
      </c>
      <c r="D1314">
        <v>4</v>
      </c>
      <c r="E1314" t="s">
        <v>9</v>
      </c>
      <c r="F1314" t="s">
        <v>11</v>
      </c>
      <c r="G1314" s="2">
        <v>47055.532099999997</v>
      </c>
      <c r="H1314" t="str" cm="1">
        <f t="array" ref="H1314">_xlfn.IFS(A1314&lt;=30, "Youth", A1314&lt;=50, "Adult", A1314&gt;50, "Older")</f>
        <v>Older</v>
      </c>
      <c r="I1314" t="str" cm="1">
        <f t="array" ref="I1314">_xlfn.IFS(A1314&lt;=25,"18-25",A1314&lt;=35,"26-35",A1314&lt;=45,"36-45",A1314&lt;=60,"46-60",A1314&gt;60,"60+")</f>
        <v>60+</v>
      </c>
      <c r="J1314" t="str" cm="1">
        <f t="array" ref="J1314">_xlfn.IFS(C1314&lt;18.5,"Underweight",C1314&lt;25,"Normal",C1314&lt;30,"Overweight",C1314&gt;=30,"Obese")</f>
        <v>Obese</v>
      </c>
      <c r="K1314" t="str" cm="1">
        <f t="array" ref="K1314">_xlfn.IFS(G1314&lt;10000, "Low", G1314&lt;=25000, "Medium", G1314&gt;25000, "High")</f>
        <v>High</v>
      </c>
    </row>
    <row r="1315" spans="1:11" x14ac:dyDescent="0.3">
      <c r="A1315">
        <v>63</v>
      </c>
      <c r="B1315" s="1" t="s">
        <v>7</v>
      </c>
      <c r="C1315">
        <v>44.7</v>
      </c>
      <c r="D1315">
        <v>4</v>
      </c>
      <c r="E1315" t="s">
        <v>9</v>
      </c>
      <c r="F1315" t="s">
        <v>13</v>
      </c>
      <c r="G1315" s="2">
        <v>47269.853999999999</v>
      </c>
      <c r="H1315" t="str" cm="1">
        <f t="array" ref="H1315">_xlfn.IFS(A1315&lt;=30, "Youth", A1315&lt;=50, "Adult", A1315&gt;50, "Older")</f>
        <v>Older</v>
      </c>
      <c r="I1315" t="str" cm="1">
        <f t="array" ref="I1315">_xlfn.IFS(A1315&lt;=25,"18-25",A1315&lt;=35,"26-35",A1315&lt;=45,"36-45",A1315&lt;=60,"46-60",A1315&gt;60,"60+")</f>
        <v>60+</v>
      </c>
      <c r="J1315" t="str" cm="1">
        <f t="array" ref="J1315">_xlfn.IFS(C1315&lt;18.5,"Underweight",C1315&lt;25,"Normal",C1315&lt;30,"Overweight",C1315&gt;=30,"Obese")</f>
        <v>Obese</v>
      </c>
      <c r="K1315" t="str" cm="1">
        <f t="array" ref="K1315">_xlfn.IFS(G1315&lt;10000, "Low", G1315&lt;=25000, "Medium", G1315&gt;25000, "High")</f>
        <v>High</v>
      </c>
    </row>
    <row r="1316" spans="1:11" x14ac:dyDescent="0.3">
      <c r="A1316">
        <v>63</v>
      </c>
      <c r="B1316" s="1" t="s">
        <v>8</v>
      </c>
      <c r="C1316">
        <v>44.744999999999997</v>
      </c>
      <c r="D1316">
        <v>4</v>
      </c>
      <c r="E1316" t="s">
        <v>10</v>
      </c>
      <c r="F1316" t="s">
        <v>14</v>
      </c>
      <c r="G1316" s="2">
        <v>47291.055</v>
      </c>
      <c r="H1316" t="str" cm="1">
        <f t="array" ref="H1316">_xlfn.IFS(A1316&lt;=30, "Youth", A1316&lt;=50, "Adult", A1316&gt;50, "Older")</f>
        <v>Older</v>
      </c>
      <c r="I1316" t="str" cm="1">
        <f t="array" ref="I1316">_xlfn.IFS(A1316&lt;=25,"18-25",A1316&lt;=35,"26-35",A1316&lt;=45,"36-45",A1316&lt;=60,"46-60",A1316&gt;60,"60+")</f>
        <v>60+</v>
      </c>
      <c r="J1316" t="str" cm="1">
        <f t="array" ref="J1316">_xlfn.IFS(C1316&lt;18.5,"Underweight",C1316&lt;25,"Normal",C1316&lt;30,"Overweight",C1316&gt;=30,"Obese")</f>
        <v>Obese</v>
      </c>
      <c r="K1316" t="str" cm="1">
        <f t="array" ref="K1316">_xlfn.IFS(G1316&lt;10000, "Low", G1316&lt;=25000, "Medium", G1316&gt;25000, "High")</f>
        <v>High</v>
      </c>
    </row>
    <row r="1317" spans="1:11" x14ac:dyDescent="0.3">
      <c r="A1317">
        <v>64</v>
      </c>
      <c r="B1317" s="1" t="s">
        <v>7</v>
      </c>
      <c r="C1317">
        <v>44.77</v>
      </c>
      <c r="D1317">
        <v>4</v>
      </c>
      <c r="E1317" t="s">
        <v>10</v>
      </c>
      <c r="F1317" t="s">
        <v>11</v>
      </c>
      <c r="G1317" s="2">
        <v>47305.305</v>
      </c>
      <c r="H1317" t="str" cm="1">
        <f t="array" ref="H1317">_xlfn.IFS(A1317&lt;=30, "Youth", A1317&lt;=50, "Adult", A1317&gt;50, "Older")</f>
        <v>Older</v>
      </c>
      <c r="I1317" t="str" cm="1">
        <f t="array" ref="I1317">_xlfn.IFS(A1317&lt;=25,"18-25",A1317&lt;=35,"26-35",A1317&lt;=45,"36-45",A1317&lt;=60,"46-60",A1317&gt;60,"60+")</f>
        <v>60+</v>
      </c>
      <c r="J1317" t="str" cm="1">
        <f t="array" ref="J1317">_xlfn.IFS(C1317&lt;18.5,"Underweight",C1317&lt;25,"Normal",C1317&lt;30,"Overweight",C1317&gt;=30,"Obese")</f>
        <v>Obese</v>
      </c>
      <c r="K1317" t="str" cm="1">
        <f t="array" ref="K1317">_xlfn.IFS(G1317&lt;10000, "Low", G1317&lt;=25000, "Medium", G1317&gt;25000, "High")</f>
        <v>High</v>
      </c>
    </row>
    <row r="1318" spans="1:11" x14ac:dyDescent="0.3">
      <c r="A1318">
        <v>64</v>
      </c>
      <c r="B1318" s="1" t="s">
        <v>8</v>
      </c>
      <c r="C1318">
        <v>44.88</v>
      </c>
      <c r="D1318">
        <v>4</v>
      </c>
      <c r="E1318" t="s">
        <v>10</v>
      </c>
      <c r="F1318" t="s">
        <v>12</v>
      </c>
      <c r="G1318" s="2">
        <v>47403.88</v>
      </c>
      <c r="H1318" t="str" cm="1">
        <f t="array" ref="H1318">_xlfn.IFS(A1318&lt;=30, "Youth", A1318&lt;=50, "Adult", A1318&gt;50, "Older")</f>
        <v>Older</v>
      </c>
      <c r="I1318" t="str" cm="1">
        <f t="array" ref="I1318">_xlfn.IFS(A1318&lt;=25,"18-25",A1318&lt;=35,"26-35",A1318&lt;=45,"36-45",A1318&lt;=60,"46-60",A1318&gt;60,"60+")</f>
        <v>60+</v>
      </c>
      <c r="J1318" t="str" cm="1">
        <f t="array" ref="J1318">_xlfn.IFS(C1318&lt;18.5,"Underweight",C1318&lt;25,"Normal",C1318&lt;30,"Overweight",C1318&gt;=30,"Obese")</f>
        <v>Obese</v>
      </c>
      <c r="K1318" t="str" cm="1">
        <f t="array" ref="K1318">_xlfn.IFS(G1318&lt;10000, "Low", G1318&lt;=25000, "Medium", G1318&gt;25000, "High")</f>
        <v>High</v>
      </c>
    </row>
    <row r="1319" spans="1:11" x14ac:dyDescent="0.3">
      <c r="A1319">
        <v>64</v>
      </c>
      <c r="B1319" s="1" t="s">
        <v>8</v>
      </c>
      <c r="C1319">
        <v>45.32</v>
      </c>
      <c r="D1319">
        <v>4</v>
      </c>
      <c r="E1319" t="s">
        <v>10</v>
      </c>
      <c r="F1319" t="s">
        <v>14</v>
      </c>
      <c r="G1319" s="2">
        <v>47462.894</v>
      </c>
      <c r="H1319" t="str" cm="1">
        <f t="array" ref="H1319">_xlfn.IFS(A1319&lt;=30, "Youth", A1319&lt;=50, "Adult", A1319&gt;50, "Older")</f>
        <v>Older</v>
      </c>
      <c r="I1319" t="str" cm="1">
        <f t="array" ref="I1319">_xlfn.IFS(A1319&lt;=25,"18-25",A1319&lt;=35,"26-35",A1319&lt;=45,"36-45",A1319&lt;=60,"46-60",A1319&gt;60,"60+")</f>
        <v>60+</v>
      </c>
      <c r="J1319" t="str" cm="1">
        <f t="array" ref="J1319">_xlfn.IFS(C1319&lt;18.5,"Underweight",C1319&lt;25,"Normal",C1319&lt;30,"Overweight",C1319&gt;=30,"Obese")</f>
        <v>Obese</v>
      </c>
      <c r="K1319" t="str" cm="1">
        <f t="array" ref="K1319">_xlfn.IFS(G1319&lt;10000, "Low", G1319&lt;=25000, "Medium", G1319&gt;25000, "High")</f>
        <v>High</v>
      </c>
    </row>
    <row r="1320" spans="1:11" x14ac:dyDescent="0.3">
      <c r="A1320">
        <v>64</v>
      </c>
      <c r="B1320" s="1" t="s">
        <v>7</v>
      </c>
      <c r="C1320">
        <v>45.43</v>
      </c>
      <c r="D1320">
        <v>4</v>
      </c>
      <c r="E1320" t="s">
        <v>10</v>
      </c>
      <c r="F1320" t="s">
        <v>13</v>
      </c>
      <c r="G1320" s="2">
        <v>47496.494449999998</v>
      </c>
      <c r="H1320" t="str" cm="1">
        <f t="array" ref="H1320">_xlfn.IFS(A1320&lt;=30, "Youth", A1320&lt;=50, "Adult", A1320&gt;50, "Older")</f>
        <v>Older</v>
      </c>
      <c r="I1320" t="str" cm="1">
        <f t="array" ref="I1320">_xlfn.IFS(A1320&lt;=25,"18-25",A1320&lt;=35,"26-35",A1320&lt;=45,"36-45",A1320&lt;=60,"46-60",A1320&gt;60,"60+")</f>
        <v>60+</v>
      </c>
      <c r="J1320" t="str" cm="1">
        <f t="array" ref="J1320">_xlfn.IFS(C1320&lt;18.5,"Underweight",C1320&lt;25,"Normal",C1320&lt;30,"Overweight",C1320&gt;=30,"Obese")</f>
        <v>Obese</v>
      </c>
      <c r="K1320" t="str" cm="1">
        <f t="array" ref="K1320">_xlfn.IFS(G1320&lt;10000, "Low", G1320&lt;=25000, "Medium", G1320&gt;25000, "High")</f>
        <v>High</v>
      </c>
    </row>
    <row r="1321" spans="1:11" x14ac:dyDescent="0.3">
      <c r="A1321">
        <v>64</v>
      </c>
      <c r="B1321" s="1" t="s">
        <v>8</v>
      </c>
      <c r="C1321">
        <v>45.54</v>
      </c>
      <c r="D1321">
        <v>5</v>
      </c>
      <c r="E1321" t="s">
        <v>10</v>
      </c>
      <c r="F1321" t="s">
        <v>13</v>
      </c>
      <c r="G1321" s="2">
        <v>47896.79135</v>
      </c>
      <c r="H1321" t="str" cm="1">
        <f t="array" ref="H1321">_xlfn.IFS(A1321&lt;=30, "Youth", A1321&lt;=50, "Adult", A1321&gt;50, "Older")</f>
        <v>Older</v>
      </c>
      <c r="I1321" t="str" cm="1">
        <f t="array" ref="I1321">_xlfn.IFS(A1321&lt;=25,"18-25",A1321&lt;=35,"26-35",A1321&lt;=45,"36-45",A1321&lt;=60,"46-60",A1321&gt;60,"60+")</f>
        <v>60+</v>
      </c>
      <c r="J1321" t="str" cm="1">
        <f t="array" ref="J1321">_xlfn.IFS(C1321&lt;18.5,"Underweight",C1321&lt;25,"Normal",C1321&lt;30,"Overweight",C1321&gt;=30,"Obese")</f>
        <v>Obese</v>
      </c>
      <c r="K1321" t="str" cm="1">
        <f t="array" ref="K1321">_xlfn.IFS(G1321&lt;10000, "Low", G1321&lt;=25000, "Medium", G1321&gt;25000, "High")</f>
        <v>High</v>
      </c>
    </row>
    <row r="1322" spans="1:11" x14ac:dyDescent="0.3">
      <c r="A1322">
        <v>64</v>
      </c>
      <c r="B1322" s="1" t="s">
        <v>8</v>
      </c>
      <c r="C1322">
        <v>45.9</v>
      </c>
      <c r="D1322">
        <v>5</v>
      </c>
      <c r="E1322" t="s">
        <v>9</v>
      </c>
      <c r="F1322" t="s">
        <v>14</v>
      </c>
      <c r="G1322" s="2">
        <v>47928.03</v>
      </c>
      <c r="H1322" t="str" cm="1">
        <f t="array" ref="H1322">_xlfn.IFS(A1322&lt;=30, "Youth", A1322&lt;=50, "Adult", A1322&gt;50, "Older")</f>
        <v>Older</v>
      </c>
      <c r="I1322" t="str" cm="1">
        <f t="array" ref="I1322">_xlfn.IFS(A1322&lt;=25,"18-25",A1322&lt;=35,"26-35",A1322&lt;=45,"36-45",A1322&lt;=60,"46-60",A1322&gt;60,"60+")</f>
        <v>60+</v>
      </c>
      <c r="J1322" t="str" cm="1">
        <f t="array" ref="J1322">_xlfn.IFS(C1322&lt;18.5,"Underweight",C1322&lt;25,"Normal",C1322&lt;30,"Overweight",C1322&gt;=30,"Obese")</f>
        <v>Obese</v>
      </c>
      <c r="K1322" t="str" cm="1">
        <f t="array" ref="K1322">_xlfn.IFS(G1322&lt;10000, "Low", G1322&lt;=25000, "Medium", G1322&gt;25000, "High")</f>
        <v>High</v>
      </c>
    </row>
    <row r="1323" spans="1:11" x14ac:dyDescent="0.3">
      <c r="A1323">
        <v>64</v>
      </c>
      <c r="B1323" s="1" t="s">
        <v>8</v>
      </c>
      <c r="C1323">
        <v>46.09</v>
      </c>
      <c r="D1323">
        <v>5</v>
      </c>
      <c r="E1323" t="s">
        <v>10</v>
      </c>
      <c r="F1323" t="s">
        <v>12</v>
      </c>
      <c r="G1323" s="2">
        <v>48173.360999999997</v>
      </c>
      <c r="H1323" t="str" cm="1">
        <f t="array" ref="H1323">_xlfn.IFS(A1323&lt;=30, "Youth", A1323&lt;=50, "Adult", A1323&gt;50, "Older")</f>
        <v>Older</v>
      </c>
      <c r="I1323" t="str" cm="1">
        <f t="array" ref="I1323">_xlfn.IFS(A1323&lt;=25,"18-25",A1323&lt;=35,"26-35",A1323&lt;=45,"36-45",A1323&lt;=60,"46-60",A1323&gt;60,"60+")</f>
        <v>60+</v>
      </c>
      <c r="J1323" t="str" cm="1">
        <f t="array" ref="J1323">_xlfn.IFS(C1323&lt;18.5,"Underweight",C1323&lt;25,"Normal",C1323&lt;30,"Overweight",C1323&gt;=30,"Obese")</f>
        <v>Obese</v>
      </c>
      <c r="K1323" t="str" cm="1">
        <f t="array" ref="K1323">_xlfn.IFS(G1323&lt;10000, "Low", G1323&lt;=25000, "Medium", G1323&gt;25000, "High")</f>
        <v>High</v>
      </c>
    </row>
    <row r="1324" spans="1:11" x14ac:dyDescent="0.3">
      <c r="A1324">
        <v>64</v>
      </c>
      <c r="B1324" s="1" t="s">
        <v>7</v>
      </c>
      <c r="C1324">
        <v>46.2</v>
      </c>
      <c r="D1324">
        <v>5</v>
      </c>
      <c r="E1324" t="s">
        <v>9</v>
      </c>
      <c r="F1324" t="s">
        <v>12</v>
      </c>
      <c r="G1324" s="2">
        <v>48517.563150000002</v>
      </c>
      <c r="H1324" t="str" cm="1">
        <f t="array" ref="H1324">_xlfn.IFS(A1324&lt;=30, "Youth", A1324&lt;=50, "Adult", A1324&gt;50, "Older")</f>
        <v>Older</v>
      </c>
      <c r="I1324" t="str" cm="1">
        <f t="array" ref="I1324">_xlfn.IFS(A1324&lt;=25,"18-25",A1324&lt;=35,"26-35",A1324&lt;=45,"36-45",A1324&lt;=60,"46-60",A1324&gt;60,"60+")</f>
        <v>60+</v>
      </c>
      <c r="J1324" t="str" cm="1">
        <f t="array" ref="J1324">_xlfn.IFS(C1324&lt;18.5,"Underweight",C1324&lt;25,"Normal",C1324&lt;30,"Overweight",C1324&gt;=30,"Obese")</f>
        <v>Obese</v>
      </c>
      <c r="K1324" t="str" cm="1">
        <f t="array" ref="K1324">_xlfn.IFS(G1324&lt;10000, "Low", G1324&lt;=25000, "Medium", G1324&gt;25000, "High")</f>
        <v>High</v>
      </c>
    </row>
    <row r="1325" spans="1:11" x14ac:dyDescent="0.3">
      <c r="A1325">
        <v>64</v>
      </c>
      <c r="B1325" s="1" t="s">
        <v>8</v>
      </c>
      <c r="C1325">
        <v>46.53</v>
      </c>
      <c r="D1325">
        <v>5</v>
      </c>
      <c r="E1325" t="s">
        <v>10</v>
      </c>
      <c r="F1325" t="s">
        <v>13</v>
      </c>
      <c r="G1325" s="2">
        <v>48549.178350000002</v>
      </c>
      <c r="H1325" t="str" cm="1">
        <f t="array" ref="H1325">_xlfn.IFS(A1325&lt;=30, "Youth", A1325&lt;=50, "Adult", A1325&gt;50, "Older")</f>
        <v>Older</v>
      </c>
      <c r="I1325" t="str" cm="1">
        <f t="array" ref="I1325">_xlfn.IFS(A1325&lt;=25,"18-25",A1325&lt;=35,"26-35",A1325&lt;=45,"36-45",A1325&lt;=60,"46-60",A1325&gt;60,"60+")</f>
        <v>60+</v>
      </c>
      <c r="J1325" t="str" cm="1">
        <f t="array" ref="J1325">_xlfn.IFS(C1325&lt;18.5,"Underweight",C1325&lt;25,"Normal",C1325&lt;30,"Overweight",C1325&gt;=30,"Obese")</f>
        <v>Obese</v>
      </c>
      <c r="K1325" t="str" cm="1">
        <f t="array" ref="K1325">_xlfn.IFS(G1325&lt;10000, "Low", G1325&lt;=25000, "Medium", G1325&gt;25000, "High")</f>
        <v>High</v>
      </c>
    </row>
    <row r="1326" spans="1:11" x14ac:dyDescent="0.3">
      <c r="A1326">
        <v>64</v>
      </c>
      <c r="B1326" s="1" t="s">
        <v>8</v>
      </c>
      <c r="C1326">
        <v>46.53</v>
      </c>
      <c r="D1326">
        <v>5</v>
      </c>
      <c r="E1326" t="s">
        <v>10</v>
      </c>
      <c r="F1326" t="s">
        <v>14</v>
      </c>
      <c r="G1326" s="2">
        <v>48673.558799999999</v>
      </c>
      <c r="H1326" t="str" cm="1">
        <f t="array" ref="H1326">_xlfn.IFS(A1326&lt;=30, "Youth", A1326&lt;=50, "Adult", A1326&gt;50, "Older")</f>
        <v>Older</v>
      </c>
      <c r="I1326" t="str" cm="1">
        <f t="array" ref="I1326">_xlfn.IFS(A1326&lt;=25,"18-25",A1326&lt;=35,"26-35",A1326&lt;=45,"36-45",A1326&lt;=60,"46-60",A1326&gt;60,"60+")</f>
        <v>60+</v>
      </c>
      <c r="J1326" t="str" cm="1">
        <f t="array" ref="J1326">_xlfn.IFS(C1326&lt;18.5,"Underweight",C1326&lt;25,"Normal",C1326&lt;30,"Overweight",C1326&gt;=30,"Obese")</f>
        <v>Obese</v>
      </c>
      <c r="K1326" t="str" cm="1">
        <f t="array" ref="K1326">_xlfn.IFS(G1326&lt;10000, "Low", G1326&lt;=25000, "Medium", G1326&gt;25000, "High")</f>
        <v>High</v>
      </c>
    </row>
    <row r="1327" spans="1:11" x14ac:dyDescent="0.3">
      <c r="A1327">
        <v>64</v>
      </c>
      <c r="B1327" s="1" t="s">
        <v>7</v>
      </c>
      <c r="C1327">
        <v>46.53</v>
      </c>
      <c r="D1327">
        <v>5</v>
      </c>
      <c r="E1327" t="s">
        <v>10</v>
      </c>
      <c r="F1327" t="s">
        <v>14</v>
      </c>
      <c r="G1327" s="2">
        <v>48675.517699999997</v>
      </c>
      <c r="H1327" t="str" cm="1">
        <f t="array" ref="H1327">_xlfn.IFS(A1327&lt;=30, "Youth", A1327&lt;=50, "Adult", A1327&gt;50, "Older")</f>
        <v>Older</v>
      </c>
      <c r="I1327" t="str" cm="1">
        <f t="array" ref="I1327">_xlfn.IFS(A1327&lt;=25,"18-25",A1327&lt;=35,"26-35",A1327&lt;=45,"36-45",A1327&lt;=60,"46-60",A1327&gt;60,"60+")</f>
        <v>60+</v>
      </c>
      <c r="J1327" t="str" cm="1">
        <f t="array" ref="J1327">_xlfn.IFS(C1327&lt;18.5,"Underweight",C1327&lt;25,"Normal",C1327&lt;30,"Overweight",C1327&gt;=30,"Obese")</f>
        <v>Obese</v>
      </c>
      <c r="K1327" t="str" cm="1">
        <f t="array" ref="K1327">_xlfn.IFS(G1327&lt;10000, "Low", G1327&lt;=25000, "Medium", G1327&gt;25000, "High")</f>
        <v>High</v>
      </c>
    </row>
    <row r="1328" spans="1:11" x14ac:dyDescent="0.3">
      <c r="A1328">
        <v>64</v>
      </c>
      <c r="B1328" s="1" t="s">
        <v>8</v>
      </c>
      <c r="C1328">
        <v>46.7</v>
      </c>
      <c r="D1328">
        <v>5</v>
      </c>
      <c r="E1328" t="s">
        <v>10</v>
      </c>
      <c r="F1328" t="s">
        <v>12</v>
      </c>
      <c r="G1328" s="2">
        <v>48824.45</v>
      </c>
      <c r="H1328" t="str" cm="1">
        <f t="array" ref="H1328">_xlfn.IFS(A1328&lt;=30, "Youth", A1328&lt;=50, "Adult", A1328&gt;50, "Older")</f>
        <v>Older</v>
      </c>
      <c r="I1328" t="str" cm="1">
        <f t="array" ref="I1328">_xlfn.IFS(A1328&lt;=25,"18-25",A1328&lt;=35,"26-35",A1328&lt;=45,"36-45",A1328&lt;=60,"46-60",A1328&gt;60,"60+")</f>
        <v>60+</v>
      </c>
      <c r="J1328" t="str" cm="1">
        <f t="array" ref="J1328">_xlfn.IFS(C1328&lt;18.5,"Underweight",C1328&lt;25,"Normal",C1328&lt;30,"Overweight",C1328&gt;=30,"Obese")</f>
        <v>Obese</v>
      </c>
      <c r="K1328" t="str" cm="1">
        <f t="array" ref="K1328">_xlfn.IFS(G1328&lt;10000, "Low", G1328&lt;=25000, "Medium", G1328&gt;25000, "High")</f>
        <v>High</v>
      </c>
    </row>
    <row r="1329" spans="1:11" x14ac:dyDescent="0.3">
      <c r="A1329">
        <v>64</v>
      </c>
      <c r="B1329" s="1" t="s">
        <v>7</v>
      </c>
      <c r="C1329">
        <v>46.75</v>
      </c>
      <c r="D1329">
        <v>5</v>
      </c>
      <c r="E1329" t="s">
        <v>10</v>
      </c>
      <c r="F1329" t="s">
        <v>14</v>
      </c>
      <c r="G1329" s="2">
        <v>48885.135609999998</v>
      </c>
      <c r="H1329" t="str" cm="1">
        <f t="array" ref="H1329">_xlfn.IFS(A1329&lt;=30, "Youth", A1329&lt;=50, "Adult", A1329&gt;50, "Older")</f>
        <v>Older</v>
      </c>
      <c r="I1329" t="str" cm="1">
        <f t="array" ref="I1329">_xlfn.IFS(A1329&lt;=25,"18-25",A1329&lt;=35,"26-35",A1329&lt;=45,"36-45",A1329&lt;=60,"46-60",A1329&gt;60,"60+")</f>
        <v>60+</v>
      </c>
      <c r="J1329" t="str" cm="1">
        <f t="array" ref="J1329">_xlfn.IFS(C1329&lt;18.5,"Underweight",C1329&lt;25,"Normal",C1329&lt;30,"Overweight",C1329&gt;=30,"Obese")</f>
        <v>Obese</v>
      </c>
      <c r="K1329" t="str" cm="1">
        <f t="array" ref="K1329">_xlfn.IFS(G1329&lt;10000, "Low", G1329&lt;=25000, "Medium", G1329&gt;25000, "High")</f>
        <v>High</v>
      </c>
    </row>
    <row r="1330" spans="1:11" x14ac:dyDescent="0.3">
      <c r="A1330">
        <v>64</v>
      </c>
      <c r="B1330" s="1" t="s">
        <v>8</v>
      </c>
      <c r="C1330">
        <v>47.41</v>
      </c>
      <c r="D1330">
        <v>5</v>
      </c>
      <c r="E1330" t="s">
        <v>10</v>
      </c>
      <c r="F1330" t="s">
        <v>11</v>
      </c>
      <c r="G1330" s="2">
        <v>48970.247600000002</v>
      </c>
      <c r="H1330" t="str" cm="1">
        <f t="array" ref="H1330">_xlfn.IFS(A1330&lt;=30, "Youth", A1330&lt;=50, "Adult", A1330&gt;50, "Older")</f>
        <v>Older</v>
      </c>
      <c r="I1330" t="str" cm="1">
        <f t="array" ref="I1330">_xlfn.IFS(A1330&lt;=25,"18-25",A1330&lt;=35,"26-35",A1330&lt;=45,"36-45",A1330&lt;=60,"46-60",A1330&gt;60,"60+")</f>
        <v>60+</v>
      </c>
      <c r="J1330" t="str" cm="1">
        <f t="array" ref="J1330">_xlfn.IFS(C1330&lt;18.5,"Underweight",C1330&lt;25,"Normal",C1330&lt;30,"Overweight",C1330&gt;=30,"Obese")</f>
        <v>Obese</v>
      </c>
      <c r="K1330" t="str" cm="1">
        <f t="array" ref="K1330">_xlfn.IFS(G1330&lt;10000, "Low", G1330&lt;=25000, "Medium", G1330&gt;25000, "High")</f>
        <v>High</v>
      </c>
    </row>
    <row r="1331" spans="1:11" x14ac:dyDescent="0.3">
      <c r="A1331">
        <v>64</v>
      </c>
      <c r="B1331" s="1" t="s">
        <v>7</v>
      </c>
      <c r="C1331">
        <v>47.52</v>
      </c>
      <c r="D1331">
        <v>5</v>
      </c>
      <c r="E1331" t="s">
        <v>10</v>
      </c>
      <c r="F1331" t="s">
        <v>12</v>
      </c>
      <c r="G1331" s="2">
        <v>49577.662400000001</v>
      </c>
      <c r="H1331" t="str" cm="1">
        <f t="array" ref="H1331">_xlfn.IFS(A1331&lt;=30, "Youth", A1331&lt;=50, "Adult", A1331&gt;50, "Older")</f>
        <v>Older</v>
      </c>
      <c r="I1331" t="str" cm="1">
        <f t="array" ref="I1331">_xlfn.IFS(A1331&lt;=25,"18-25",A1331&lt;=35,"26-35",A1331&lt;=45,"36-45",A1331&lt;=60,"46-60",A1331&gt;60,"60+")</f>
        <v>60+</v>
      </c>
      <c r="J1331" t="str" cm="1">
        <f t="array" ref="J1331">_xlfn.IFS(C1331&lt;18.5,"Underweight",C1331&lt;25,"Normal",C1331&lt;30,"Overweight",C1331&gt;=30,"Obese")</f>
        <v>Obese</v>
      </c>
      <c r="K1331" t="str" cm="1">
        <f t="array" ref="K1331">_xlfn.IFS(G1331&lt;10000, "Low", G1331&lt;=25000, "Medium", G1331&gt;25000, "High")</f>
        <v>High</v>
      </c>
    </row>
    <row r="1332" spans="1:11" x14ac:dyDescent="0.3">
      <c r="A1332">
        <v>64</v>
      </c>
      <c r="B1332" s="1" t="s">
        <v>7</v>
      </c>
      <c r="C1332">
        <v>47.6</v>
      </c>
      <c r="D1332">
        <v>5</v>
      </c>
      <c r="E1332" t="s">
        <v>10</v>
      </c>
      <c r="F1332" t="s">
        <v>11</v>
      </c>
      <c r="G1332" s="2">
        <v>51194.559139999998</v>
      </c>
      <c r="H1332" t="str" cm="1">
        <f t="array" ref="H1332">_xlfn.IFS(A1332&lt;=30, "Youth", A1332&lt;=50, "Adult", A1332&gt;50, "Older")</f>
        <v>Older</v>
      </c>
      <c r="I1332" t="str" cm="1">
        <f t="array" ref="I1332">_xlfn.IFS(A1332&lt;=25,"18-25",A1332&lt;=35,"26-35",A1332&lt;=45,"36-45",A1332&lt;=60,"46-60",A1332&gt;60,"60+")</f>
        <v>60+</v>
      </c>
      <c r="J1332" t="str" cm="1">
        <f t="array" ref="J1332">_xlfn.IFS(C1332&lt;18.5,"Underweight",C1332&lt;25,"Normal",C1332&lt;30,"Overweight",C1332&gt;=30,"Obese")</f>
        <v>Obese</v>
      </c>
      <c r="K1332" t="str" cm="1">
        <f t="array" ref="K1332">_xlfn.IFS(G1332&lt;10000, "Low", G1332&lt;=25000, "Medium", G1332&gt;25000, "High")</f>
        <v>High</v>
      </c>
    </row>
    <row r="1333" spans="1:11" x14ac:dyDescent="0.3">
      <c r="A1333">
        <v>64</v>
      </c>
      <c r="B1333" s="1" t="s">
        <v>7</v>
      </c>
      <c r="C1333">
        <v>47.74</v>
      </c>
      <c r="D1333">
        <v>5</v>
      </c>
      <c r="E1333" t="s">
        <v>10</v>
      </c>
      <c r="F1333" t="s">
        <v>11</v>
      </c>
      <c r="G1333" s="2">
        <v>52590.829389999999</v>
      </c>
      <c r="H1333" t="str" cm="1">
        <f t="array" ref="H1333">_xlfn.IFS(A1333&lt;=30, "Youth", A1333&lt;=50, "Adult", A1333&gt;50, "Older")</f>
        <v>Older</v>
      </c>
      <c r="I1333" t="str" cm="1">
        <f t="array" ref="I1333">_xlfn.IFS(A1333&lt;=25,"18-25",A1333&lt;=35,"26-35",A1333&lt;=45,"36-45",A1333&lt;=60,"46-60",A1333&gt;60,"60+")</f>
        <v>60+</v>
      </c>
      <c r="J1333" t="str" cm="1">
        <f t="array" ref="J1333">_xlfn.IFS(C1333&lt;18.5,"Underweight",C1333&lt;25,"Normal",C1333&lt;30,"Overweight",C1333&gt;=30,"Obese")</f>
        <v>Obese</v>
      </c>
      <c r="K1333" t="str" cm="1">
        <f t="array" ref="K1333">_xlfn.IFS(G1333&lt;10000, "Low", G1333&lt;=25000, "Medium", G1333&gt;25000, "High")</f>
        <v>High</v>
      </c>
    </row>
    <row r="1334" spans="1:11" x14ac:dyDescent="0.3">
      <c r="A1334">
        <v>64</v>
      </c>
      <c r="B1334" s="1" t="s">
        <v>8</v>
      </c>
      <c r="C1334">
        <v>48.07</v>
      </c>
      <c r="D1334">
        <v>5</v>
      </c>
      <c r="E1334" t="s">
        <v>10</v>
      </c>
      <c r="F1334" t="s">
        <v>13</v>
      </c>
      <c r="G1334" s="2">
        <v>55135.402090000003</v>
      </c>
      <c r="H1334" t="str" cm="1">
        <f t="array" ref="H1334">_xlfn.IFS(A1334&lt;=30, "Youth", A1334&lt;=50, "Adult", A1334&gt;50, "Older")</f>
        <v>Older</v>
      </c>
      <c r="I1334" t="str" cm="1">
        <f t="array" ref="I1334">_xlfn.IFS(A1334&lt;=25,"18-25",A1334&lt;=35,"26-35",A1334&lt;=45,"36-45",A1334&lt;=60,"46-60",A1334&gt;60,"60+")</f>
        <v>60+</v>
      </c>
      <c r="J1334" t="str" cm="1">
        <f t="array" ref="J1334">_xlfn.IFS(C1334&lt;18.5,"Underweight",C1334&lt;25,"Normal",C1334&lt;30,"Overweight",C1334&gt;=30,"Obese")</f>
        <v>Obese</v>
      </c>
      <c r="K1334" t="str" cm="1">
        <f t="array" ref="K1334">_xlfn.IFS(G1334&lt;10000, "Low", G1334&lt;=25000, "Medium", G1334&gt;25000, "High")</f>
        <v>High</v>
      </c>
    </row>
    <row r="1335" spans="1:11" x14ac:dyDescent="0.3">
      <c r="A1335">
        <v>64</v>
      </c>
      <c r="B1335" s="1" t="s">
        <v>7</v>
      </c>
      <c r="C1335">
        <v>49.06</v>
      </c>
      <c r="D1335">
        <v>5</v>
      </c>
      <c r="E1335" t="s">
        <v>10</v>
      </c>
      <c r="F1335" t="s">
        <v>14</v>
      </c>
      <c r="G1335" s="2">
        <v>58571.074480000003</v>
      </c>
      <c r="H1335" t="str" cm="1">
        <f t="array" ref="H1335">_xlfn.IFS(A1335&lt;=30, "Youth", A1335&lt;=50, "Adult", A1335&gt;50, "Older")</f>
        <v>Older</v>
      </c>
      <c r="I1335" t="str" cm="1">
        <f t="array" ref="I1335">_xlfn.IFS(A1335&lt;=25,"18-25",A1335&lt;=35,"26-35",A1335&lt;=45,"36-45",A1335&lt;=60,"46-60",A1335&gt;60,"60+")</f>
        <v>60+</v>
      </c>
      <c r="J1335" t="str" cm="1">
        <f t="array" ref="J1335">_xlfn.IFS(C1335&lt;18.5,"Underweight",C1335&lt;25,"Normal",C1335&lt;30,"Overweight",C1335&gt;=30,"Obese")</f>
        <v>Obese</v>
      </c>
      <c r="K1335" t="str" cm="1">
        <f t="array" ref="K1335">_xlfn.IFS(G1335&lt;10000, "Low", G1335&lt;=25000, "Medium", G1335&gt;25000, "High")</f>
        <v>High</v>
      </c>
    </row>
    <row r="1336" spans="1:11" x14ac:dyDescent="0.3">
      <c r="A1336">
        <v>64</v>
      </c>
      <c r="B1336" s="1" t="s">
        <v>7</v>
      </c>
      <c r="C1336">
        <v>50.38</v>
      </c>
      <c r="D1336">
        <v>5</v>
      </c>
      <c r="E1336" t="s">
        <v>10</v>
      </c>
      <c r="F1336" t="s">
        <v>12</v>
      </c>
      <c r="G1336" s="2">
        <v>60021.398970000002</v>
      </c>
      <c r="H1336" t="str" cm="1">
        <f t="array" ref="H1336">_xlfn.IFS(A1336&lt;=30, "Youth", A1336&lt;=50, "Adult", A1336&gt;50, "Older")</f>
        <v>Older</v>
      </c>
      <c r="I1336" t="str" cm="1">
        <f t="array" ref="I1336">_xlfn.IFS(A1336&lt;=25,"18-25",A1336&lt;=35,"26-35",A1336&lt;=45,"36-45",A1336&lt;=60,"46-60",A1336&gt;60,"60+")</f>
        <v>60+</v>
      </c>
      <c r="J1336" t="str" cm="1">
        <f t="array" ref="J1336">_xlfn.IFS(C1336&lt;18.5,"Underweight",C1336&lt;25,"Normal",C1336&lt;30,"Overweight",C1336&gt;=30,"Obese")</f>
        <v>Obese</v>
      </c>
      <c r="K1336" t="str" cm="1">
        <f t="array" ref="K1336">_xlfn.IFS(G1336&lt;10000, "Low", G1336&lt;=25000, "Medium", G1336&gt;25000, "High")</f>
        <v>High</v>
      </c>
    </row>
    <row r="1337" spans="1:11" x14ac:dyDescent="0.3">
      <c r="A1337">
        <v>64</v>
      </c>
      <c r="B1337" s="1" t="s">
        <v>7</v>
      </c>
      <c r="C1337">
        <v>52.58</v>
      </c>
      <c r="D1337">
        <v>5</v>
      </c>
      <c r="E1337" t="s">
        <v>10</v>
      </c>
      <c r="F1337" t="s">
        <v>11</v>
      </c>
      <c r="G1337" s="2">
        <v>62592.873090000001</v>
      </c>
      <c r="H1337" t="str" cm="1">
        <f t="array" ref="H1337">_xlfn.IFS(A1337&lt;=30, "Youth", A1337&lt;=50, "Adult", A1337&gt;50, "Older")</f>
        <v>Older</v>
      </c>
      <c r="I1337" t="str" cm="1">
        <f t="array" ref="I1337">_xlfn.IFS(A1337&lt;=25,"18-25",A1337&lt;=35,"26-35",A1337&lt;=45,"36-45",A1337&lt;=60,"46-60",A1337&gt;60,"60+")</f>
        <v>60+</v>
      </c>
      <c r="J1337" t="str" cm="1">
        <f t="array" ref="J1337">_xlfn.IFS(C1337&lt;18.5,"Underweight",C1337&lt;25,"Normal",C1337&lt;30,"Overweight",C1337&gt;=30,"Obese")</f>
        <v>Obese</v>
      </c>
      <c r="K1337" t="str" cm="1">
        <f t="array" ref="K1337">_xlfn.IFS(G1337&lt;10000, "Low", G1337&lt;=25000, "Medium", G1337&gt;25000, "High")</f>
        <v>High</v>
      </c>
    </row>
    <row r="1338" spans="1:11" x14ac:dyDescent="0.3">
      <c r="A1338">
        <v>64</v>
      </c>
      <c r="B1338" s="1" t="s">
        <v>7</v>
      </c>
      <c r="C1338">
        <v>53.13</v>
      </c>
      <c r="D1338">
        <v>5</v>
      </c>
      <c r="E1338" t="s">
        <v>9</v>
      </c>
      <c r="F1338" t="s">
        <v>13</v>
      </c>
      <c r="G1338" s="2">
        <v>63770.428010000003</v>
      </c>
      <c r="H1338" t="str" cm="1">
        <f t="array" ref="H1338">_xlfn.IFS(A1338&lt;=30, "Youth", A1338&lt;=50, "Adult", A1338&gt;50, "Older")</f>
        <v>Older</v>
      </c>
      <c r="I1338" t="str" cm="1">
        <f t="array" ref="I1338">_xlfn.IFS(A1338&lt;=25,"18-25",A1338&lt;=35,"26-35",A1338&lt;=45,"36-45",A1338&lt;=60,"46-60",A1338&gt;60,"60+")</f>
        <v>60+</v>
      </c>
      <c r="J1338" t="str" cm="1">
        <f t="array" ref="J1338">_xlfn.IFS(C1338&lt;18.5,"Underweight",C1338&lt;25,"Normal",C1338&lt;30,"Overweight",C1338&gt;=30,"Obese")</f>
        <v>Obese</v>
      </c>
      <c r="K1338" t="str" cm="1">
        <f t="array" ref="K1338">_xlfn.IFS(G1338&lt;10000, "Low", G1338&lt;=25000, "Medium", G1338&gt;25000, "High")</f>
        <v>High</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20257-7456-4118-AA98-2CEC10B8F324}">
  <dimension ref="A1:M1338"/>
  <sheetViews>
    <sheetView workbookViewId="0">
      <selection activeCell="M19" sqref="M19"/>
    </sheetView>
  </sheetViews>
  <sheetFormatPr defaultRowHeight="14.4" x14ac:dyDescent="0.3"/>
  <cols>
    <col min="2" max="2" width="8.88671875" style="1"/>
    <col min="4" max="4" width="9.77734375" customWidth="1"/>
    <col min="5" max="5" width="9.109375" customWidth="1"/>
    <col min="7" max="7" width="12" style="2" bestFit="1" customWidth="1"/>
    <col min="8" max="8" width="17.109375" customWidth="1"/>
    <col min="9" max="9" width="20.109375" customWidth="1"/>
    <col min="10" max="10" width="13.77734375" customWidth="1"/>
    <col min="11" max="11" width="13.21875" customWidth="1"/>
    <col min="13" max="13" width="11.109375" bestFit="1" customWidth="1"/>
  </cols>
  <sheetData>
    <row r="1" spans="1:13" x14ac:dyDescent="0.3">
      <c r="A1" t="s">
        <v>0</v>
      </c>
      <c r="B1" s="1" t="s">
        <v>1</v>
      </c>
      <c r="C1" t="s">
        <v>2</v>
      </c>
      <c r="D1" t="s">
        <v>3</v>
      </c>
      <c r="E1" t="s">
        <v>4</v>
      </c>
      <c r="F1" t="s">
        <v>5</v>
      </c>
      <c r="G1" s="2" t="s">
        <v>6</v>
      </c>
      <c r="H1" t="s">
        <v>15</v>
      </c>
      <c r="I1" t="s">
        <v>16</v>
      </c>
      <c r="J1" t="s">
        <v>17</v>
      </c>
      <c r="K1" t="s">
        <v>18</v>
      </c>
    </row>
    <row r="2" spans="1:13" x14ac:dyDescent="0.3">
      <c r="A2">
        <v>18</v>
      </c>
      <c r="B2" s="1" t="s">
        <v>7</v>
      </c>
      <c r="C2">
        <v>15.96</v>
      </c>
      <c r="D2">
        <v>0</v>
      </c>
      <c r="E2" t="s">
        <v>9</v>
      </c>
      <c r="F2" t="s">
        <v>11</v>
      </c>
      <c r="G2" s="2">
        <v>1121.8739</v>
      </c>
      <c r="H2" t="str" cm="1">
        <f t="array" ref="H2">_xlfn.IFS(A2&lt;=30, "Youth", A2&lt;=50, "Adult", A2&gt;50, "Older")</f>
        <v>Youth</v>
      </c>
      <c r="I2" t="str" cm="1">
        <f t="array" ref="I2">_xlfn.IFS(A2&lt;=25,"18-25",A2&lt;=35,"26-35",A2&lt;=45,"36-45",A2&lt;=60,"46-60",A2&gt;60,"60+")</f>
        <v>18-25</v>
      </c>
      <c r="J2" t="str" cm="1">
        <f t="array" ref="J2">_xlfn.IFS(C2&lt;18.5,"Underweight",C2&lt;25,"Normal",C2&lt;30,"Overweight",C2&gt;=30,"Obese")</f>
        <v>Underweight</v>
      </c>
      <c r="K2" t="str" cm="1">
        <f t="array" ref="K2">_xlfn.IFS(G2&lt;10000, "Low", G2&lt;=25000, "Medium", G2&gt;25000, "High")</f>
        <v>Low</v>
      </c>
    </row>
    <row r="3" spans="1:13" x14ac:dyDescent="0.3">
      <c r="A3">
        <v>18</v>
      </c>
      <c r="B3" s="1" t="s">
        <v>8</v>
      </c>
      <c r="C3">
        <v>16.815000000000001</v>
      </c>
      <c r="D3">
        <v>0</v>
      </c>
      <c r="E3" t="s">
        <v>10</v>
      </c>
      <c r="F3" t="s">
        <v>12</v>
      </c>
      <c r="G3" s="2">
        <v>1131.5065999999999</v>
      </c>
      <c r="H3" t="str" cm="1">
        <f t="array" ref="H3">_xlfn.IFS(A3&lt;=30, "Youth", A3&lt;=50, "Adult", A3&gt;50, "Older")</f>
        <v>Youth</v>
      </c>
      <c r="I3" t="str" cm="1">
        <f t="array" ref="I3">_xlfn.IFS(A3&lt;=25,"18-25",A3&lt;=35,"26-35",A3&lt;=45,"36-45",A3&lt;=60,"46-60",A3&gt;60,"60+")</f>
        <v>18-25</v>
      </c>
      <c r="J3" t="str" cm="1">
        <f t="array" ref="J3">_xlfn.IFS(C3&lt;18.5,"Underweight",C3&lt;25,"Normal",C3&lt;30,"Overweight",C3&gt;=30,"Obese")</f>
        <v>Underweight</v>
      </c>
      <c r="K3" t="str" cm="1">
        <f t="array" ref="K3">_xlfn.IFS(G3&lt;10000, "Low", G3&lt;=25000, "Medium", G3&gt;25000, "High")</f>
        <v>Low</v>
      </c>
    </row>
    <row r="4" spans="1:13" x14ac:dyDescent="0.3">
      <c r="A4">
        <v>18</v>
      </c>
      <c r="B4" s="1" t="s">
        <v>8</v>
      </c>
      <c r="C4">
        <v>16.815000000000001</v>
      </c>
      <c r="D4">
        <v>0</v>
      </c>
      <c r="E4" t="s">
        <v>10</v>
      </c>
      <c r="F4" t="s">
        <v>12</v>
      </c>
      <c r="G4" s="2">
        <v>1135.9407000000001</v>
      </c>
      <c r="H4" t="str" cm="1">
        <f t="array" ref="H4">_xlfn.IFS(A4&lt;=30, "Youth", A4&lt;=50, "Adult", A4&gt;50, "Older")</f>
        <v>Youth</v>
      </c>
      <c r="I4" t="str" cm="1">
        <f t="array" ref="I4">_xlfn.IFS(A4&lt;=25,"18-25",A4&lt;=35,"26-35",A4&lt;=45,"36-45",A4&lt;=60,"46-60",A4&gt;60,"60+")</f>
        <v>18-25</v>
      </c>
      <c r="J4" t="str" cm="1">
        <f t="array" ref="J4">_xlfn.IFS(C4&lt;18.5,"Underweight",C4&lt;25,"Normal",C4&lt;30,"Overweight",C4&gt;=30,"Obese")</f>
        <v>Underweight</v>
      </c>
      <c r="K4" t="str" cm="1">
        <f t="array" ref="K4">_xlfn.IFS(G4&lt;10000, "Low", G4&lt;=25000, "Medium", G4&gt;25000, "High")</f>
        <v>Low</v>
      </c>
    </row>
    <row r="5" spans="1:13" x14ac:dyDescent="0.3">
      <c r="A5">
        <v>18</v>
      </c>
      <c r="B5" s="1" t="s">
        <v>8</v>
      </c>
      <c r="C5">
        <v>17.195</v>
      </c>
      <c r="D5">
        <v>0</v>
      </c>
      <c r="E5" t="s">
        <v>10</v>
      </c>
      <c r="F5" t="s">
        <v>13</v>
      </c>
      <c r="G5" s="2">
        <v>1136.3994</v>
      </c>
      <c r="H5" t="str" cm="1">
        <f t="array" ref="H5">_xlfn.IFS(A5&lt;=30, "Youth", A5&lt;=50, "Adult", A5&gt;50, "Older")</f>
        <v>Youth</v>
      </c>
      <c r="I5" t="str" cm="1">
        <f t="array" ref="I5">_xlfn.IFS(A5&lt;=25,"18-25",A5&lt;=35,"26-35",A5&lt;=45,"36-45",A5&lt;=60,"46-60",A5&gt;60,"60+")</f>
        <v>18-25</v>
      </c>
      <c r="J5" t="str" cm="1">
        <f t="array" ref="J5">_xlfn.IFS(C5&lt;18.5,"Underweight",C5&lt;25,"Normal",C5&lt;30,"Overweight",C5&gt;=30,"Obese")</f>
        <v>Underweight</v>
      </c>
      <c r="K5" t="str" cm="1">
        <f t="array" ref="K5">_xlfn.IFS(G5&lt;10000, "Low", G5&lt;=25000, "Medium", G5&gt;25000, "High")</f>
        <v>Low</v>
      </c>
      <c r="M5" s="2"/>
    </row>
    <row r="6" spans="1:13" x14ac:dyDescent="0.3">
      <c r="A6">
        <v>18</v>
      </c>
      <c r="B6" s="1" t="s">
        <v>8</v>
      </c>
      <c r="C6">
        <v>17.29</v>
      </c>
      <c r="D6">
        <v>0</v>
      </c>
      <c r="E6" t="s">
        <v>10</v>
      </c>
      <c r="F6" t="s">
        <v>13</v>
      </c>
      <c r="G6" s="2">
        <v>1137.011</v>
      </c>
      <c r="H6" t="str" cm="1">
        <f t="array" ref="H6">_xlfn.IFS(A6&lt;=30, "Youth", A6&lt;=50, "Adult", A6&gt;50, "Older")</f>
        <v>Youth</v>
      </c>
      <c r="I6" t="str" cm="1">
        <f t="array" ref="I6">_xlfn.IFS(A6&lt;=25,"18-25",A6&lt;=35,"26-35",A6&lt;=45,"36-45",A6&lt;=60,"46-60",A6&gt;60,"60+")</f>
        <v>18-25</v>
      </c>
      <c r="J6" t="str" cm="1">
        <f t="array" ref="J6">_xlfn.IFS(C6&lt;18.5,"Underweight",C6&lt;25,"Normal",C6&lt;30,"Overweight",C6&gt;=30,"Obese")</f>
        <v>Underweight</v>
      </c>
      <c r="K6" t="str" cm="1">
        <f t="array" ref="K6">_xlfn.IFS(G6&lt;10000, "Low", G6&lt;=25000, "Medium", G6&gt;25000, "High")</f>
        <v>Low</v>
      </c>
    </row>
    <row r="7" spans="1:13" x14ac:dyDescent="0.3">
      <c r="A7">
        <v>18</v>
      </c>
      <c r="B7" s="1" t="s">
        <v>7</v>
      </c>
      <c r="C7">
        <v>17.29</v>
      </c>
      <c r="D7">
        <v>0</v>
      </c>
      <c r="E7" t="s">
        <v>10</v>
      </c>
      <c r="F7" t="s">
        <v>12</v>
      </c>
      <c r="G7" s="2">
        <v>1137.4697000000001</v>
      </c>
      <c r="H7" t="str" cm="1">
        <f t="array" ref="H7">_xlfn.IFS(A7&lt;=30, "Youth", A7&lt;=50, "Adult", A7&gt;50, "Older")</f>
        <v>Youth</v>
      </c>
      <c r="I7" t="str" cm="1">
        <f t="array" ref="I7">_xlfn.IFS(A7&lt;=25,"18-25",A7&lt;=35,"26-35",A7&lt;=45,"36-45",A7&lt;=60,"46-60",A7&gt;60,"60+")</f>
        <v>18-25</v>
      </c>
      <c r="J7" t="str" cm="1">
        <f t="array" ref="J7">_xlfn.IFS(C7&lt;18.5,"Underweight",C7&lt;25,"Normal",C7&lt;30,"Overweight",C7&gt;=30,"Obese")</f>
        <v>Underweight</v>
      </c>
      <c r="K7" t="str" cm="1">
        <f t="array" ref="K7">_xlfn.IFS(G7&lt;10000, "Low", G7&lt;=25000, "Medium", G7&gt;25000, "High")</f>
        <v>Low</v>
      </c>
    </row>
    <row r="8" spans="1:13" x14ac:dyDescent="0.3">
      <c r="A8">
        <v>18</v>
      </c>
      <c r="B8" s="1" t="s">
        <v>7</v>
      </c>
      <c r="C8">
        <v>17.29</v>
      </c>
      <c r="D8">
        <v>0</v>
      </c>
      <c r="E8" t="s">
        <v>10</v>
      </c>
      <c r="F8" t="s">
        <v>12</v>
      </c>
      <c r="G8" s="2">
        <v>1141.4450999999999</v>
      </c>
      <c r="H8" t="str" cm="1">
        <f t="array" ref="H8">_xlfn.IFS(A8&lt;=30, "Youth", A8&lt;=50, "Adult", A8&gt;50, "Older")</f>
        <v>Youth</v>
      </c>
      <c r="I8" t="str" cm="1">
        <f t="array" ref="I8">_xlfn.IFS(A8&lt;=25,"18-25",A8&lt;=35,"26-35",A8&lt;=45,"36-45",A8&lt;=60,"46-60",A8&gt;60,"60+")</f>
        <v>18-25</v>
      </c>
      <c r="J8" t="str" cm="1">
        <f t="array" ref="J8">_xlfn.IFS(C8&lt;18.5,"Underweight",C8&lt;25,"Normal",C8&lt;30,"Overweight",C8&gt;=30,"Obese")</f>
        <v>Underweight</v>
      </c>
      <c r="K8" t="str" cm="1">
        <f t="array" ref="K8">_xlfn.IFS(G8&lt;10000, "Low", G8&lt;=25000, "Medium", G8&gt;25000, "High")</f>
        <v>Low</v>
      </c>
    </row>
    <row r="9" spans="1:13" x14ac:dyDescent="0.3">
      <c r="A9">
        <v>18</v>
      </c>
      <c r="B9" s="1" t="s">
        <v>7</v>
      </c>
      <c r="C9">
        <v>17.385000000000002</v>
      </c>
      <c r="D9">
        <v>0</v>
      </c>
      <c r="E9" t="s">
        <v>10</v>
      </c>
      <c r="F9" t="s">
        <v>13</v>
      </c>
      <c r="G9" s="2">
        <v>1146.7965999999999</v>
      </c>
      <c r="H9" t="str" cm="1">
        <f t="array" ref="H9">_xlfn.IFS(A9&lt;=30, "Youth", A9&lt;=50, "Adult", A9&gt;50, "Older")</f>
        <v>Youth</v>
      </c>
      <c r="I9" t="str" cm="1">
        <f t="array" ref="I9">_xlfn.IFS(A9&lt;=25,"18-25",A9&lt;=35,"26-35",A9&lt;=45,"36-45",A9&lt;=60,"46-60",A9&gt;60,"60+")</f>
        <v>18-25</v>
      </c>
      <c r="J9" t="str" cm="1">
        <f t="array" ref="J9">_xlfn.IFS(C9&lt;18.5,"Underweight",C9&lt;25,"Normal",C9&lt;30,"Overweight",C9&gt;=30,"Obese")</f>
        <v>Underweight</v>
      </c>
      <c r="K9" t="str" cm="1">
        <f t="array" ref="K9">_xlfn.IFS(G9&lt;10000, "Low", G9&lt;=25000, "Medium", G9&gt;25000, "High")</f>
        <v>Low</v>
      </c>
    </row>
    <row r="10" spans="1:13" x14ac:dyDescent="0.3">
      <c r="A10">
        <v>18</v>
      </c>
      <c r="B10" s="1" t="s">
        <v>8</v>
      </c>
      <c r="C10">
        <v>17.399999999999999</v>
      </c>
      <c r="D10">
        <v>0</v>
      </c>
      <c r="E10" t="s">
        <v>10</v>
      </c>
      <c r="F10" t="s">
        <v>14</v>
      </c>
      <c r="G10" s="2">
        <v>1149.3959</v>
      </c>
      <c r="H10" t="str" cm="1">
        <f t="array" ref="H10">_xlfn.IFS(A10&lt;=30, "Youth", A10&lt;=50, "Adult", A10&gt;50, "Older")</f>
        <v>Youth</v>
      </c>
      <c r="I10" t="str" cm="1">
        <f t="array" ref="I10">_xlfn.IFS(A10&lt;=25,"18-25",A10&lt;=35,"26-35",A10&lt;=45,"36-45",A10&lt;=60,"46-60",A10&gt;60,"60+")</f>
        <v>18-25</v>
      </c>
      <c r="J10" t="str" cm="1">
        <f t="array" ref="J10">_xlfn.IFS(C10&lt;18.5,"Underweight",C10&lt;25,"Normal",C10&lt;30,"Overweight",C10&gt;=30,"Obese")</f>
        <v>Underweight</v>
      </c>
      <c r="K10" t="str" cm="1">
        <f t="array" ref="K10">_xlfn.IFS(G10&lt;10000, "Low", G10&lt;=25000, "Medium", G10&gt;25000, "High")</f>
        <v>Low</v>
      </c>
    </row>
    <row r="11" spans="1:13" x14ac:dyDescent="0.3">
      <c r="A11">
        <v>18</v>
      </c>
      <c r="B11" s="1" t="s">
        <v>7</v>
      </c>
      <c r="C11">
        <v>17.48</v>
      </c>
      <c r="D11">
        <v>0</v>
      </c>
      <c r="E11" t="s">
        <v>10</v>
      </c>
      <c r="F11" t="s">
        <v>13</v>
      </c>
      <c r="G11" s="2">
        <v>1163.4627</v>
      </c>
      <c r="H11" t="str" cm="1">
        <f t="array" ref="H11">_xlfn.IFS(A11&lt;=30, "Youth", A11&lt;=50, "Adult", A11&gt;50, "Older")</f>
        <v>Youth</v>
      </c>
      <c r="I11" t="str" cm="1">
        <f t="array" ref="I11">_xlfn.IFS(A11&lt;=25,"18-25",A11&lt;=35,"26-35",A11&lt;=45,"36-45",A11&lt;=60,"46-60",A11&gt;60,"60+")</f>
        <v>18-25</v>
      </c>
      <c r="J11" t="str" cm="1">
        <f t="array" ref="J11">_xlfn.IFS(C11&lt;18.5,"Underweight",C11&lt;25,"Normal",C11&lt;30,"Overweight",C11&gt;=30,"Obese")</f>
        <v>Underweight</v>
      </c>
      <c r="K11" t="str" cm="1">
        <f t="array" ref="K11">_xlfn.IFS(G11&lt;10000, "Low", G11&lt;=25000, "Medium", G11&gt;25000, "High")</f>
        <v>Low</v>
      </c>
    </row>
    <row r="12" spans="1:13" x14ac:dyDescent="0.3">
      <c r="A12">
        <v>18</v>
      </c>
      <c r="B12" s="1" t="s">
        <v>8</v>
      </c>
      <c r="C12">
        <v>17.670000000000002</v>
      </c>
      <c r="D12">
        <v>0</v>
      </c>
      <c r="E12" t="s">
        <v>10</v>
      </c>
      <c r="F12" t="s">
        <v>14</v>
      </c>
      <c r="G12" s="2">
        <v>1241.5650000000001</v>
      </c>
      <c r="H12" t="str" cm="1">
        <f t="array" ref="H12">_xlfn.IFS(A12&lt;=30, "Youth", A12&lt;=50, "Adult", A12&gt;50, "Older")</f>
        <v>Youth</v>
      </c>
      <c r="I12" t="str" cm="1">
        <f t="array" ref="I12">_xlfn.IFS(A12&lt;=25,"18-25",A12&lt;=35,"26-35",A12&lt;=45,"36-45",A12&lt;=60,"46-60",A12&gt;60,"60+")</f>
        <v>18-25</v>
      </c>
      <c r="J12" t="str" cm="1">
        <f t="array" ref="J12">_xlfn.IFS(C12&lt;18.5,"Underweight",C12&lt;25,"Normal",C12&lt;30,"Overweight",C12&gt;=30,"Obese")</f>
        <v>Underweight</v>
      </c>
      <c r="K12" t="str" cm="1">
        <f t="array" ref="K12">_xlfn.IFS(G12&lt;10000, "Low", G12&lt;=25000, "Medium", G12&gt;25000, "High")</f>
        <v>Low</v>
      </c>
    </row>
    <row r="13" spans="1:13" x14ac:dyDescent="0.3">
      <c r="A13">
        <v>18</v>
      </c>
      <c r="B13" s="1" t="s">
        <v>7</v>
      </c>
      <c r="C13">
        <v>17.765000000000001</v>
      </c>
      <c r="D13">
        <v>0</v>
      </c>
      <c r="E13" t="s">
        <v>9</v>
      </c>
      <c r="F13" t="s">
        <v>12</v>
      </c>
      <c r="G13" s="2">
        <v>1242.26</v>
      </c>
      <c r="H13" t="str" cm="1">
        <f t="array" ref="H13">_xlfn.IFS(A13&lt;=30, "Youth", A13&lt;=50, "Adult", A13&gt;50, "Older")</f>
        <v>Youth</v>
      </c>
      <c r="I13" t="str" cm="1">
        <f t="array" ref="I13">_xlfn.IFS(A13&lt;=25,"18-25",A13&lt;=35,"26-35",A13&lt;=45,"36-45",A13&lt;=60,"46-60",A13&gt;60,"60+")</f>
        <v>18-25</v>
      </c>
      <c r="J13" t="str" cm="1">
        <f t="array" ref="J13">_xlfn.IFS(C13&lt;18.5,"Underweight",C13&lt;25,"Normal",C13&lt;30,"Overweight",C13&gt;=30,"Obese")</f>
        <v>Underweight</v>
      </c>
      <c r="K13" t="str" cm="1">
        <f t="array" ref="K13">_xlfn.IFS(G13&lt;10000, "Low", G13&lt;=25000, "Medium", G13&gt;25000, "High")</f>
        <v>Low</v>
      </c>
    </row>
    <row r="14" spans="1:13" x14ac:dyDescent="0.3">
      <c r="A14">
        <v>18</v>
      </c>
      <c r="B14" s="1" t="s">
        <v>8</v>
      </c>
      <c r="C14">
        <v>17.8</v>
      </c>
      <c r="D14">
        <v>0</v>
      </c>
      <c r="E14" t="s">
        <v>10</v>
      </c>
      <c r="F14" t="s">
        <v>11</v>
      </c>
      <c r="G14" s="2">
        <v>1242.816</v>
      </c>
      <c r="H14" t="str" cm="1">
        <f t="array" ref="H14">_xlfn.IFS(A14&lt;=30, "Youth", A14&lt;=50, "Adult", A14&gt;50, "Older")</f>
        <v>Youth</v>
      </c>
      <c r="I14" t="str" cm="1">
        <f t="array" ref="I14">_xlfn.IFS(A14&lt;=25,"18-25",A14&lt;=35,"26-35",A14&lt;=45,"36-45",A14&lt;=60,"46-60",A14&gt;60,"60+")</f>
        <v>18-25</v>
      </c>
      <c r="J14" t="str" cm="1">
        <f t="array" ref="J14">_xlfn.IFS(C14&lt;18.5,"Underweight",C14&lt;25,"Normal",C14&lt;30,"Overweight",C14&gt;=30,"Obese")</f>
        <v>Underweight</v>
      </c>
      <c r="K14" t="str" cm="1">
        <f t="array" ref="K14">_xlfn.IFS(G14&lt;10000, "Low", G14&lt;=25000, "Medium", G14&gt;25000, "High")</f>
        <v>Low</v>
      </c>
    </row>
    <row r="15" spans="1:13" x14ac:dyDescent="0.3">
      <c r="A15">
        <v>18</v>
      </c>
      <c r="B15" s="1" t="s">
        <v>7</v>
      </c>
      <c r="C15">
        <v>17.86</v>
      </c>
      <c r="D15">
        <v>0</v>
      </c>
      <c r="E15" t="s">
        <v>10</v>
      </c>
      <c r="F15" t="s">
        <v>12</v>
      </c>
      <c r="G15" s="2">
        <v>1252.4069999999999</v>
      </c>
      <c r="H15" t="str" cm="1">
        <f t="array" ref="H15">_xlfn.IFS(A15&lt;=30, "Youth", A15&lt;=50, "Adult", A15&gt;50, "Older")</f>
        <v>Youth</v>
      </c>
      <c r="I15" t="str" cm="1">
        <f t="array" ref="I15">_xlfn.IFS(A15&lt;=25,"18-25",A15&lt;=35,"26-35",A15&lt;=45,"36-45",A15&lt;=60,"46-60",A15&gt;60,"60+")</f>
        <v>18-25</v>
      </c>
      <c r="J15" t="str" cm="1">
        <f t="array" ref="J15">_xlfn.IFS(C15&lt;18.5,"Underweight",C15&lt;25,"Normal",C15&lt;30,"Overweight",C15&gt;=30,"Obese")</f>
        <v>Underweight</v>
      </c>
      <c r="K15" t="str" cm="1">
        <f t="array" ref="K15">_xlfn.IFS(G15&lt;10000, "Low", G15&lt;=25000, "Medium", G15&gt;25000, "High")</f>
        <v>Low</v>
      </c>
    </row>
    <row r="16" spans="1:13" x14ac:dyDescent="0.3">
      <c r="A16">
        <v>18</v>
      </c>
      <c r="B16" s="1" t="s">
        <v>8</v>
      </c>
      <c r="C16">
        <v>17.954999999999998</v>
      </c>
      <c r="D16">
        <v>0</v>
      </c>
      <c r="E16" t="s">
        <v>9</v>
      </c>
      <c r="F16" t="s">
        <v>12</v>
      </c>
      <c r="G16" s="2">
        <v>1253.9359999999999</v>
      </c>
      <c r="H16" t="str" cm="1">
        <f t="array" ref="H16">_xlfn.IFS(A16&lt;=30, "Youth", A16&lt;=50, "Adult", A16&gt;50, "Older")</f>
        <v>Youth</v>
      </c>
      <c r="I16" t="str" cm="1">
        <f t="array" ref="I16">_xlfn.IFS(A16&lt;=25,"18-25",A16&lt;=35,"26-35",A16&lt;=45,"36-45",A16&lt;=60,"46-60",A16&gt;60,"60+")</f>
        <v>18-25</v>
      </c>
      <c r="J16" t="str" cm="1">
        <f t="array" ref="J16">_xlfn.IFS(C16&lt;18.5,"Underweight",C16&lt;25,"Normal",C16&lt;30,"Overweight",C16&gt;=30,"Obese")</f>
        <v>Underweight</v>
      </c>
      <c r="K16" t="str" cm="1">
        <f t="array" ref="K16">_xlfn.IFS(G16&lt;10000, "Low", G16&lt;=25000, "Medium", G16&gt;25000, "High")</f>
        <v>Low</v>
      </c>
    </row>
    <row r="17" spans="1:11" x14ac:dyDescent="0.3">
      <c r="A17">
        <v>18</v>
      </c>
      <c r="B17" s="1" t="s">
        <v>8</v>
      </c>
      <c r="C17">
        <v>18.05</v>
      </c>
      <c r="D17">
        <v>0</v>
      </c>
      <c r="E17" t="s">
        <v>10</v>
      </c>
      <c r="F17" t="s">
        <v>11</v>
      </c>
      <c r="G17" s="2">
        <v>1256.299</v>
      </c>
      <c r="H17" t="str" cm="1">
        <f t="array" ref="H17">_xlfn.IFS(A17&lt;=30, "Youth", A17&lt;=50, "Adult", A17&gt;50, "Older")</f>
        <v>Youth</v>
      </c>
      <c r="I17" t="str" cm="1">
        <f t="array" ref="I17">_xlfn.IFS(A17&lt;=25,"18-25",A17&lt;=35,"26-35",A17&lt;=45,"36-45",A17&lt;=60,"46-60",A17&gt;60,"60+")</f>
        <v>18-25</v>
      </c>
      <c r="J17" t="str" cm="1">
        <f t="array" ref="J17">_xlfn.IFS(C17&lt;18.5,"Underweight",C17&lt;25,"Normal",C17&lt;30,"Overweight",C17&gt;=30,"Obese")</f>
        <v>Underweight</v>
      </c>
      <c r="K17" t="str" cm="1">
        <f t="array" ref="K17">_xlfn.IFS(G17&lt;10000, "Low", G17&lt;=25000, "Medium", G17&gt;25000, "High")</f>
        <v>Low</v>
      </c>
    </row>
    <row r="18" spans="1:11" x14ac:dyDescent="0.3">
      <c r="A18">
        <v>18</v>
      </c>
      <c r="B18" s="1" t="s">
        <v>7</v>
      </c>
      <c r="C18">
        <v>18.3</v>
      </c>
      <c r="D18">
        <v>0</v>
      </c>
      <c r="E18" t="s">
        <v>10</v>
      </c>
      <c r="F18" t="s">
        <v>14</v>
      </c>
      <c r="G18" s="2">
        <v>1261.442</v>
      </c>
      <c r="H18" t="str" cm="1">
        <f t="array" ref="H18">_xlfn.IFS(A18&lt;=30, "Youth", A18&lt;=50, "Adult", A18&gt;50, "Older")</f>
        <v>Youth</v>
      </c>
      <c r="I18" t="str" cm="1">
        <f t="array" ref="I18">_xlfn.IFS(A18&lt;=25,"18-25",A18&lt;=35,"26-35",A18&lt;=45,"36-45",A18&lt;=60,"46-60",A18&gt;60,"60+")</f>
        <v>18-25</v>
      </c>
      <c r="J18" t="str" cm="1">
        <f t="array" ref="J18">_xlfn.IFS(C18&lt;18.5,"Underweight",C18&lt;25,"Normal",C18&lt;30,"Overweight",C18&gt;=30,"Obese")</f>
        <v>Underweight</v>
      </c>
      <c r="K18" t="str" cm="1">
        <f t="array" ref="K18">_xlfn.IFS(G18&lt;10000, "Low", G18&lt;=25000, "Medium", G18&gt;25000, "High")</f>
        <v>Low</v>
      </c>
    </row>
    <row r="19" spans="1:11" x14ac:dyDescent="0.3">
      <c r="A19">
        <v>18</v>
      </c>
      <c r="B19" s="1" t="s">
        <v>8</v>
      </c>
      <c r="C19">
        <v>18.335000000000001</v>
      </c>
      <c r="D19">
        <v>0</v>
      </c>
      <c r="E19" t="s">
        <v>10</v>
      </c>
      <c r="F19" t="s">
        <v>14</v>
      </c>
      <c r="G19" s="2">
        <v>1261.8589999999999</v>
      </c>
      <c r="H19" t="str" cm="1">
        <f t="array" ref="H19">_xlfn.IFS(A19&lt;=30, "Youth", A19&lt;=50, "Adult", A19&gt;50, "Older")</f>
        <v>Youth</v>
      </c>
      <c r="I19" t="str" cm="1">
        <f t="array" ref="I19">_xlfn.IFS(A19&lt;=25,"18-25",A19&lt;=35,"26-35",A19&lt;=45,"36-45",A19&lt;=60,"46-60",A19&gt;60,"60+")</f>
        <v>18-25</v>
      </c>
      <c r="J19" t="str" cm="1">
        <f t="array" ref="J19">_xlfn.IFS(C19&lt;18.5,"Underweight",C19&lt;25,"Normal",C19&lt;30,"Overweight",C19&gt;=30,"Obese")</f>
        <v>Underweight</v>
      </c>
      <c r="K19" t="str" cm="1">
        <f t="array" ref="K19">_xlfn.IFS(G19&lt;10000, "Low", G19&lt;=25000, "Medium", G19&gt;25000, "High")</f>
        <v>Low</v>
      </c>
    </row>
    <row r="20" spans="1:11" x14ac:dyDescent="0.3">
      <c r="A20">
        <v>18</v>
      </c>
      <c r="B20" s="1" t="s">
        <v>8</v>
      </c>
      <c r="C20">
        <v>18.335000000000001</v>
      </c>
      <c r="D20">
        <v>0</v>
      </c>
      <c r="E20" t="s">
        <v>10</v>
      </c>
      <c r="F20" t="s">
        <v>11</v>
      </c>
      <c r="G20" s="2">
        <v>1263.249</v>
      </c>
      <c r="H20" t="str" cm="1">
        <f t="array" ref="H20">_xlfn.IFS(A20&lt;=30, "Youth", A20&lt;=50, "Adult", A20&gt;50, "Older")</f>
        <v>Youth</v>
      </c>
      <c r="I20" t="str" cm="1">
        <f t="array" ref="I20">_xlfn.IFS(A20&lt;=25,"18-25",A20&lt;=35,"26-35",A20&lt;=45,"36-45",A20&lt;=60,"46-60",A20&gt;60,"60+")</f>
        <v>18-25</v>
      </c>
      <c r="J20" t="str" cm="1">
        <f t="array" ref="J20">_xlfn.IFS(C20&lt;18.5,"Underweight",C20&lt;25,"Normal",C20&lt;30,"Overweight",C20&gt;=30,"Obese")</f>
        <v>Underweight</v>
      </c>
      <c r="K20" t="str" cm="1">
        <f t="array" ref="K20">_xlfn.IFS(G20&lt;10000, "Low", G20&lt;=25000, "Medium", G20&gt;25000, "High")</f>
        <v>Low</v>
      </c>
    </row>
    <row r="21" spans="1:11" x14ac:dyDescent="0.3">
      <c r="A21">
        <v>18</v>
      </c>
      <c r="B21" s="1" t="s">
        <v>8</v>
      </c>
      <c r="C21">
        <v>18.335000000000001</v>
      </c>
      <c r="D21">
        <v>0</v>
      </c>
      <c r="E21" t="s">
        <v>9</v>
      </c>
      <c r="F21" t="s">
        <v>11</v>
      </c>
      <c r="G21" s="2">
        <v>1391.5287000000001</v>
      </c>
      <c r="H21" t="str" cm="1">
        <f t="array" ref="H21">_xlfn.IFS(A21&lt;=30, "Youth", A21&lt;=50, "Adult", A21&gt;50, "Older")</f>
        <v>Youth</v>
      </c>
      <c r="I21" t="str" cm="1">
        <f t="array" ref="I21">_xlfn.IFS(A21&lt;=25,"18-25",A21&lt;=35,"26-35",A21&lt;=45,"36-45",A21&lt;=60,"46-60",A21&gt;60,"60+")</f>
        <v>18-25</v>
      </c>
      <c r="J21" t="str" cm="1">
        <f t="array" ref="J21">_xlfn.IFS(C21&lt;18.5,"Underweight",C21&lt;25,"Normal",C21&lt;30,"Overweight",C21&gt;=30,"Obese")</f>
        <v>Underweight</v>
      </c>
      <c r="K21" t="str" cm="1">
        <f t="array" ref="K21">_xlfn.IFS(G21&lt;10000, "Low", G21&lt;=25000, "Medium", G21&gt;25000, "High")</f>
        <v>Low</v>
      </c>
    </row>
    <row r="22" spans="1:11" x14ac:dyDescent="0.3">
      <c r="A22">
        <v>18</v>
      </c>
      <c r="B22" s="1" t="s">
        <v>7</v>
      </c>
      <c r="C22">
        <v>18.5</v>
      </c>
      <c r="D22">
        <v>0</v>
      </c>
      <c r="E22" t="s">
        <v>10</v>
      </c>
      <c r="F22" t="s">
        <v>14</v>
      </c>
      <c r="G22" s="2">
        <v>1515.3449000000001</v>
      </c>
      <c r="H22" t="str" cm="1">
        <f t="array" ref="H22">_xlfn.IFS(A22&lt;=30, "Youth", A22&lt;=50, "Adult", A22&gt;50, "Older")</f>
        <v>Youth</v>
      </c>
      <c r="I22" t="str" cm="1">
        <f t="array" ref="I22">_xlfn.IFS(A22&lt;=25,"18-25",A22&lt;=35,"26-35",A22&lt;=45,"36-45",A22&lt;=60,"46-60",A22&gt;60,"60+")</f>
        <v>18-25</v>
      </c>
      <c r="J22" t="str" cm="1">
        <f t="array" ref="J22">_xlfn.IFS(C22&lt;18.5,"Underweight",C22&lt;25,"Normal",C22&lt;30,"Overweight",C22&gt;=30,"Obese")</f>
        <v>Normal</v>
      </c>
      <c r="K22" t="str" cm="1">
        <f t="array" ref="K22">_xlfn.IFS(G22&lt;10000, "Low", G22&lt;=25000, "Medium", G22&gt;25000, "High")</f>
        <v>Low</v>
      </c>
    </row>
    <row r="23" spans="1:11" x14ac:dyDescent="0.3">
      <c r="A23">
        <v>18</v>
      </c>
      <c r="B23" s="1" t="s">
        <v>7</v>
      </c>
      <c r="C23">
        <v>18.600000000000001</v>
      </c>
      <c r="D23">
        <v>0</v>
      </c>
      <c r="E23" t="s">
        <v>10</v>
      </c>
      <c r="F23" t="s">
        <v>11</v>
      </c>
      <c r="G23" s="2">
        <v>1526.3119999999999</v>
      </c>
      <c r="H23" t="str" cm="1">
        <f t="array" ref="H23">_xlfn.IFS(A23&lt;=30, "Youth", A23&lt;=50, "Adult", A23&gt;50, "Older")</f>
        <v>Youth</v>
      </c>
      <c r="I23" t="str" cm="1">
        <f t="array" ref="I23">_xlfn.IFS(A23&lt;=25,"18-25",A23&lt;=35,"26-35",A23&lt;=45,"36-45",A23&lt;=60,"46-60",A23&gt;60,"60+")</f>
        <v>18-25</v>
      </c>
      <c r="J23" t="str" cm="1">
        <f t="array" ref="J23">_xlfn.IFS(C23&lt;18.5,"Underweight",C23&lt;25,"Normal",C23&lt;30,"Overweight",C23&gt;=30,"Obese")</f>
        <v>Normal</v>
      </c>
      <c r="K23" t="str" cm="1">
        <f t="array" ref="K23">_xlfn.IFS(G23&lt;10000, "Low", G23&lt;=25000, "Medium", G23&gt;25000, "High")</f>
        <v>Low</v>
      </c>
    </row>
    <row r="24" spans="1:11" x14ac:dyDescent="0.3">
      <c r="A24">
        <v>18</v>
      </c>
      <c r="B24" s="1" t="s">
        <v>8</v>
      </c>
      <c r="C24">
        <v>18.715</v>
      </c>
      <c r="D24">
        <v>0</v>
      </c>
      <c r="E24" t="s">
        <v>10</v>
      </c>
      <c r="F24" t="s">
        <v>12</v>
      </c>
      <c r="G24" s="2">
        <v>1532.4697000000001</v>
      </c>
      <c r="H24" t="str" cm="1">
        <f t="array" ref="H24">_xlfn.IFS(A24&lt;=30, "Youth", A24&lt;=50, "Adult", A24&gt;50, "Older")</f>
        <v>Youth</v>
      </c>
      <c r="I24" t="str" cm="1">
        <f t="array" ref="I24">_xlfn.IFS(A24&lt;=25,"18-25",A24&lt;=35,"26-35",A24&lt;=45,"36-45",A24&lt;=60,"46-60",A24&gt;60,"60+")</f>
        <v>18-25</v>
      </c>
      <c r="J24" t="str" cm="1">
        <f t="array" ref="J24">_xlfn.IFS(C24&lt;18.5,"Underweight",C24&lt;25,"Normal",C24&lt;30,"Overweight",C24&gt;=30,"Obese")</f>
        <v>Normal</v>
      </c>
      <c r="K24" t="str" cm="1">
        <f t="array" ref="K24">_xlfn.IFS(G24&lt;10000, "Low", G24&lt;=25000, "Medium", G24&gt;25000, "High")</f>
        <v>Low</v>
      </c>
    </row>
    <row r="25" spans="1:11" x14ac:dyDescent="0.3">
      <c r="A25">
        <v>18</v>
      </c>
      <c r="B25" s="1" t="s">
        <v>7</v>
      </c>
      <c r="C25">
        <v>18.905000000000001</v>
      </c>
      <c r="D25">
        <v>0</v>
      </c>
      <c r="E25" t="s">
        <v>9</v>
      </c>
      <c r="F25" t="s">
        <v>14</v>
      </c>
      <c r="G25" s="2">
        <v>1534.3045</v>
      </c>
      <c r="H25" t="str" cm="1">
        <f t="array" ref="H25">_xlfn.IFS(A25&lt;=30, "Youth", A25&lt;=50, "Adult", A25&gt;50, "Older")</f>
        <v>Youth</v>
      </c>
      <c r="I25" t="str" cm="1">
        <f t="array" ref="I25">_xlfn.IFS(A25&lt;=25,"18-25",A25&lt;=35,"26-35",A25&lt;=45,"36-45",A25&lt;=60,"46-60",A25&gt;60,"60+")</f>
        <v>18-25</v>
      </c>
      <c r="J25" t="str" cm="1">
        <f t="array" ref="J25">_xlfn.IFS(C25&lt;18.5,"Underweight",C25&lt;25,"Normal",C25&lt;30,"Overweight",C25&gt;=30,"Obese")</f>
        <v>Normal</v>
      </c>
      <c r="K25" t="str" cm="1">
        <f t="array" ref="K25">_xlfn.IFS(G25&lt;10000, "Low", G25&lt;=25000, "Medium", G25&gt;25000, "High")</f>
        <v>Low</v>
      </c>
    </row>
    <row r="26" spans="1:11" x14ac:dyDescent="0.3">
      <c r="A26">
        <v>18</v>
      </c>
      <c r="B26" s="1" t="s">
        <v>8</v>
      </c>
      <c r="C26">
        <v>19</v>
      </c>
      <c r="D26">
        <v>0</v>
      </c>
      <c r="E26" t="s">
        <v>10</v>
      </c>
      <c r="F26" t="s">
        <v>13</v>
      </c>
      <c r="G26" s="2">
        <v>1607.5101</v>
      </c>
      <c r="H26" t="str" cm="1">
        <f t="array" ref="H26">_xlfn.IFS(A26&lt;=30, "Youth", A26&lt;=50, "Adult", A26&gt;50, "Older")</f>
        <v>Youth</v>
      </c>
      <c r="I26" t="str" cm="1">
        <f t="array" ref="I26">_xlfn.IFS(A26&lt;=25,"18-25",A26&lt;=35,"26-35",A26&lt;=45,"36-45",A26&lt;=60,"46-60",A26&gt;60,"60+")</f>
        <v>18-25</v>
      </c>
      <c r="J26" t="str" cm="1">
        <f t="array" ref="J26">_xlfn.IFS(C26&lt;18.5,"Underweight",C26&lt;25,"Normal",C26&lt;30,"Overweight",C26&gt;=30,"Obese")</f>
        <v>Normal</v>
      </c>
      <c r="K26" t="str" cm="1">
        <f t="array" ref="K26">_xlfn.IFS(G26&lt;10000, "Low", G26&lt;=25000, "Medium", G26&gt;25000, "High")</f>
        <v>Low</v>
      </c>
    </row>
    <row r="27" spans="1:11" x14ac:dyDescent="0.3">
      <c r="A27">
        <v>18</v>
      </c>
      <c r="B27" s="1" t="s">
        <v>7</v>
      </c>
      <c r="C27">
        <v>19.094999999999999</v>
      </c>
      <c r="D27">
        <v>0</v>
      </c>
      <c r="E27" t="s">
        <v>10</v>
      </c>
      <c r="F27" t="s">
        <v>12</v>
      </c>
      <c r="G27" s="2">
        <v>1615.7666999999999</v>
      </c>
      <c r="H27" t="str" cm="1">
        <f t="array" ref="H27">_xlfn.IFS(A27&lt;=30, "Youth", A27&lt;=50, "Adult", A27&gt;50, "Older")</f>
        <v>Youth</v>
      </c>
      <c r="I27" t="str" cm="1">
        <f t="array" ref="I27">_xlfn.IFS(A27&lt;=25,"18-25",A27&lt;=35,"26-35",A27&lt;=45,"36-45",A27&lt;=60,"46-60",A27&gt;60,"60+")</f>
        <v>18-25</v>
      </c>
      <c r="J27" t="str" cm="1">
        <f t="array" ref="J27">_xlfn.IFS(C27&lt;18.5,"Underweight",C27&lt;25,"Normal",C27&lt;30,"Overweight",C27&gt;=30,"Obese")</f>
        <v>Normal</v>
      </c>
      <c r="K27" t="str" cm="1">
        <f t="array" ref="K27">_xlfn.IFS(G27&lt;10000, "Low", G27&lt;=25000, "Medium", G27&gt;25000, "High")</f>
        <v>Low</v>
      </c>
    </row>
    <row r="28" spans="1:11" x14ac:dyDescent="0.3">
      <c r="A28">
        <v>18</v>
      </c>
      <c r="B28" s="1" t="s">
        <v>7</v>
      </c>
      <c r="C28">
        <v>19.190000000000001</v>
      </c>
      <c r="D28">
        <v>0</v>
      </c>
      <c r="E28" t="s">
        <v>10</v>
      </c>
      <c r="F28" t="s">
        <v>14</v>
      </c>
      <c r="G28" s="2">
        <v>1621.3402000000001</v>
      </c>
      <c r="H28" t="str" cm="1">
        <f t="array" ref="H28">_xlfn.IFS(A28&lt;=30, "Youth", A28&lt;=50, "Adult", A28&gt;50, "Older")</f>
        <v>Youth</v>
      </c>
      <c r="I28" t="str" cm="1">
        <f t="array" ref="I28">_xlfn.IFS(A28&lt;=25,"18-25",A28&lt;=35,"26-35",A28&lt;=45,"36-45",A28&lt;=60,"46-60",A28&gt;60,"60+")</f>
        <v>18-25</v>
      </c>
      <c r="J28" t="str" cm="1">
        <f t="array" ref="J28">_xlfn.IFS(C28&lt;18.5,"Underweight",C28&lt;25,"Normal",C28&lt;30,"Overweight",C28&gt;=30,"Obese")</f>
        <v>Normal</v>
      </c>
      <c r="K28" t="str" cm="1">
        <f t="array" ref="K28">_xlfn.IFS(G28&lt;10000, "Low", G28&lt;=25000, "Medium", G28&gt;25000, "High")</f>
        <v>Low</v>
      </c>
    </row>
    <row r="29" spans="1:11" x14ac:dyDescent="0.3">
      <c r="A29">
        <v>18</v>
      </c>
      <c r="B29" s="1" t="s">
        <v>7</v>
      </c>
      <c r="C29">
        <v>19.3</v>
      </c>
      <c r="D29">
        <v>0</v>
      </c>
      <c r="E29" t="s">
        <v>10</v>
      </c>
      <c r="F29" t="s">
        <v>13</v>
      </c>
      <c r="G29" s="2">
        <v>1621.8827000000001</v>
      </c>
      <c r="H29" t="str" cm="1">
        <f t="array" ref="H29">_xlfn.IFS(A29&lt;=30, "Youth", A29&lt;=50, "Adult", A29&gt;50, "Older")</f>
        <v>Youth</v>
      </c>
      <c r="I29" t="str" cm="1">
        <f t="array" ref="I29">_xlfn.IFS(A29&lt;=25,"18-25",A29&lt;=35,"26-35",A29&lt;=45,"36-45",A29&lt;=60,"46-60",A29&gt;60,"60+")</f>
        <v>18-25</v>
      </c>
      <c r="J29" t="str" cm="1">
        <f t="array" ref="J29">_xlfn.IFS(C29&lt;18.5,"Underweight",C29&lt;25,"Normal",C29&lt;30,"Overweight",C29&gt;=30,"Obese")</f>
        <v>Normal</v>
      </c>
      <c r="K29" t="str" cm="1">
        <f t="array" ref="K29">_xlfn.IFS(G29&lt;10000, "Low", G29&lt;=25000, "Medium", G29&gt;25000, "High")</f>
        <v>Low</v>
      </c>
    </row>
    <row r="30" spans="1:11" x14ac:dyDescent="0.3">
      <c r="A30">
        <v>18</v>
      </c>
      <c r="B30" s="1" t="s">
        <v>8</v>
      </c>
      <c r="C30">
        <v>19.475000000000001</v>
      </c>
      <c r="D30">
        <v>0</v>
      </c>
      <c r="E30" t="s">
        <v>10</v>
      </c>
      <c r="F30" t="s">
        <v>13</v>
      </c>
      <c r="G30" s="2">
        <v>1622.1885</v>
      </c>
      <c r="H30" t="str" cm="1">
        <f t="array" ref="H30">_xlfn.IFS(A30&lt;=30, "Youth", A30&lt;=50, "Adult", A30&gt;50, "Older")</f>
        <v>Youth</v>
      </c>
      <c r="I30" t="str" cm="1">
        <f t="array" ref="I30">_xlfn.IFS(A30&lt;=25,"18-25",A30&lt;=35,"26-35",A30&lt;=45,"36-45",A30&lt;=60,"46-60",A30&gt;60,"60+")</f>
        <v>18-25</v>
      </c>
      <c r="J30" t="str" cm="1">
        <f t="array" ref="J30">_xlfn.IFS(C30&lt;18.5,"Underweight",C30&lt;25,"Normal",C30&lt;30,"Overweight",C30&gt;=30,"Obese")</f>
        <v>Normal</v>
      </c>
      <c r="K30" t="str" cm="1">
        <f t="array" ref="K30">_xlfn.IFS(G30&lt;10000, "Low", G30&lt;=25000, "Medium", G30&gt;25000, "High")</f>
        <v>Low</v>
      </c>
    </row>
    <row r="31" spans="1:11" x14ac:dyDescent="0.3">
      <c r="A31">
        <v>18</v>
      </c>
      <c r="B31" s="1" t="s">
        <v>8</v>
      </c>
      <c r="C31">
        <v>19.57</v>
      </c>
      <c r="D31">
        <v>0</v>
      </c>
      <c r="E31" t="s">
        <v>9</v>
      </c>
      <c r="F31" t="s">
        <v>11</v>
      </c>
      <c r="G31" s="2">
        <v>1625.4337499999999</v>
      </c>
      <c r="H31" t="str" cm="1">
        <f t="array" ref="H31">_xlfn.IFS(A31&lt;=30, "Youth", A31&lt;=50, "Adult", A31&gt;50, "Older")</f>
        <v>Youth</v>
      </c>
      <c r="I31" t="str" cm="1">
        <f t="array" ref="I31">_xlfn.IFS(A31&lt;=25,"18-25",A31&lt;=35,"26-35",A31&lt;=45,"36-45",A31&lt;=60,"46-60",A31&gt;60,"60+")</f>
        <v>18-25</v>
      </c>
      <c r="J31" t="str" cm="1">
        <f t="array" ref="J31">_xlfn.IFS(C31&lt;18.5,"Underweight",C31&lt;25,"Normal",C31&lt;30,"Overweight",C31&gt;=30,"Obese")</f>
        <v>Normal</v>
      </c>
      <c r="K31" t="str" cm="1">
        <f t="array" ref="K31">_xlfn.IFS(G31&lt;10000, "Low", G31&lt;=25000, "Medium", G31&gt;25000, "High")</f>
        <v>Low</v>
      </c>
    </row>
    <row r="32" spans="1:11" x14ac:dyDescent="0.3">
      <c r="A32">
        <v>18</v>
      </c>
      <c r="B32" s="1" t="s">
        <v>8</v>
      </c>
      <c r="C32">
        <v>19.8</v>
      </c>
      <c r="D32">
        <v>0</v>
      </c>
      <c r="E32" t="s">
        <v>9</v>
      </c>
      <c r="F32" t="s">
        <v>11</v>
      </c>
      <c r="G32" s="2">
        <v>1627.2824499999999</v>
      </c>
      <c r="H32" t="str" cm="1">
        <f t="array" ref="H32">_xlfn.IFS(A32&lt;=30, "Youth", A32&lt;=50, "Adult", A32&gt;50, "Older")</f>
        <v>Youth</v>
      </c>
      <c r="I32" t="str" cm="1">
        <f t="array" ref="I32">_xlfn.IFS(A32&lt;=25,"18-25",A32&lt;=35,"26-35",A32&lt;=45,"36-45",A32&lt;=60,"46-60",A32&gt;60,"60+")</f>
        <v>18-25</v>
      </c>
      <c r="J32" t="str" cm="1">
        <f t="array" ref="J32">_xlfn.IFS(C32&lt;18.5,"Underweight",C32&lt;25,"Normal",C32&lt;30,"Overweight",C32&gt;=30,"Obese")</f>
        <v>Normal</v>
      </c>
      <c r="K32" t="str" cm="1">
        <f t="array" ref="K32">_xlfn.IFS(G32&lt;10000, "Low", G32&lt;=25000, "Medium", G32&gt;25000, "High")</f>
        <v>Low</v>
      </c>
    </row>
    <row r="33" spans="1:11" x14ac:dyDescent="0.3">
      <c r="A33">
        <v>18</v>
      </c>
      <c r="B33" s="1" t="s">
        <v>7</v>
      </c>
      <c r="C33">
        <v>19.8</v>
      </c>
      <c r="D33">
        <v>0</v>
      </c>
      <c r="E33" t="s">
        <v>10</v>
      </c>
      <c r="F33" t="s">
        <v>14</v>
      </c>
      <c r="G33" s="2">
        <v>1628.4709</v>
      </c>
      <c r="H33" t="str" cm="1">
        <f t="array" ref="H33">_xlfn.IFS(A33&lt;=30, "Youth", A33&lt;=50, "Adult", A33&gt;50, "Older")</f>
        <v>Youth</v>
      </c>
      <c r="I33" t="str" cm="1">
        <f t="array" ref="I33">_xlfn.IFS(A33&lt;=25,"18-25",A33&lt;=35,"26-35",A33&lt;=45,"36-45",A33&lt;=60,"46-60",A33&gt;60,"60+")</f>
        <v>18-25</v>
      </c>
      <c r="J33" t="str" cm="1">
        <f t="array" ref="J33">_xlfn.IFS(C33&lt;18.5,"Underweight",C33&lt;25,"Normal",C33&lt;30,"Overweight",C33&gt;=30,"Obese")</f>
        <v>Normal</v>
      </c>
      <c r="K33" t="str" cm="1">
        <f t="array" ref="K33">_xlfn.IFS(G33&lt;10000, "Low", G33&lt;=25000, "Medium", G33&gt;25000, "High")</f>
        <v>Low</v>
      </c>
    </row>
    <row r="34" spans="1:11" x14ac:dyDescent="0.3">
      <c r="A34">
        <v>18</v>
      </c>
      <c r="B34" s="1" t="s">
        <v>7</v>
      </c>
      <c r="C34">
        <v>19.8</v>
      </c>
      <c r="D34">
        <v>0</v>
      </c>
      <c r="E34" t="s">
        <v>10</v>
      </c>
      <c r="F34" t="s">
        <v>11</v>
      </c>
      <c r="G34" s="2">
        <v>1629.8335</v>
      </c>
      <c r="H34" t="str" cm="1">
        <f t="array" ref="H34">_xlfn.IFS(A34&lt;=30, "Youth", A34&lt;=50, "Adult", A34&gt;50, "Older")</f>
        <v>Youth</v>
      </c>
      <c r="I34" t="str" cm="1">
        <f t="array" ref="I34">_xlfn.IFS(A34&lt;=25,"18-25",A34&lt;=35,"26-35",A34&lt;=45,"36-45",A34&lt;=60,"46-60",A34&gt;60,"60+")</f>
        <v>18-25</v>
      </c>
      <c r="J34" t="str" cm="1">
        <f t="array" ref="J34">_xlfn.IFS(C34&lt;18.5,"Underweight",C34&lt;25,"Normal",C34&lt;30,"Overweight",C34&gt;=30,"Obese")</f>
        <v>Normal</v>
      </c>
      <c r="K34" t="str" cm="1">
        <f t="array" ref="K34">_xlfn.IFS(G34&lt;10000, "Low", G34&lt;=25000, "Medium", G34&gt;25000, "High")</f>
        <v>Low</v>
      </c>
    </row>
    <row r="35" spans="1:11" x14ac:dyDescent="0.3">
      <c r="A35">
        <v>18</v>
      </c>
      <c r="B35" s="1" t="s">
        <v>8</v>
      </c>
      <c r="C35">
        <v>19.855</v>
      </c>
      <c r="D35">
        <v>0</v>
      </c>
      <c r="E35" t="s">
        <v>10</v>
      </c>
      <c r="F35" t="s">
        <v>13</v>
      </c>
      <c r="G35" s="2">
        <v>1631.6683</v>
      </c>
      <c r="H35" t="str" cm="1">
        <f t="array" ref="H35">_xlfn.IFS(A35&lt;=30, "Youth", A35&lt;=50, "Adult", A35&gt;50, "Older")</f>
        <v>Youth</v>
      </c>
      <c r="I35" t="str" cm="1">
        <f t="array" ref="I35">_xlfn.IFS(A35&lt;=25,"18-25",A35&lt;=35,"26-35",A35&lt;=45,"36-45",A35&lt;=60,"46-60",A35&gt;60,"60+")</f>
        <v>18-25</v>
      </c>
      <c r="J35" t="str" cm="1">
        <f t="array" ref="J35">_xlfn.IFS(C35&lt;18.5,"Underweight",C35&lt;25,"Normal",C35&lt;30,"Overweight",C35&gt;=30,"Obese")</f>
        <v>Normal</v>
      </c>
      <c r="K35" t="str" cm="1">
        <f t="array" ref="K35">_xlfn.IFS(G35&lt;10000, "Low", G35&lt;=25000, "Medium", G35&gt;25000, "High")</f>
        <v>Low</v>
      </c>
    </row>
    <row r="36" spans="1:11" x14ac:dyDescent="0.3">
      <c r="A36">
        <v>18</v>
      </c>
      <c r="B36" s="1" t="s">
        <v>8</v>
      </c>
      <c r="C36">
        <v>19.855</v>
      </c>
      <c r="D36">
        <v>0</v>
      </c>
      <c r="E36" t="s">
        <v>9</v>
      </c>
      <c r="F36" t="s">
        <v>11</v>
      </c>
      <c r="G36" s="2">
        <v>1631.8212000000001</v>
      </c>
      <c r="H36" t="str" cm="1">
        <f t="array" ref="H36">_xlfn.IFS(A36&lt;=30, "Youth", A36&lt;=50, "Adult", A36&gt;50, "Older")</f>
        <v>Youth</v>
      </c>
      <c r="I36" t="str" cm="1">
        <f t="array" ref="I36">_xlfn.IFS(A36&lt;=25,"18-25",A36&lt;=35,"26-35",A36&lt;=45,"36-45",A36&lt;=60,"46-60",A36&gt;60,"60+")</f>
        <v>18-25</v>
      </c>
      <c r="J36" t="str" cm="1">
        <f t="array" ref="J36">_xlfn.IFS(C36&lt;18.5,"Underweight",C36&lt;25,"Normal",C36&lt;30,"Overweight",C36&gt;=30,"Obese")</f>
        <v>Normal</v>
      </c>
      <c r="K36" t="str" cm="1">
        <f t="array" ref="K36">_xlfn.IFS(G36&lt;10000, "Low", G36&lt;=25000, "Medium", G36&gt;25000, "High")</f>
        <v>Low</v>
      </c>
    </row>
    <row r="37" spans="1:11" x14ac:dyDescent="0.3">
      <c r="A37">
        <v>18</v>
      </c>
      <c r="B37" s="1" t="s">
        <v>8</v>
      </c>
      <c r="C37">
        <v>19.95</v>
      </c>
      <c r="D37">
        <v>0</v>
      </c>
      <c r="E37" t="s">
        <v>10</v>
      </c>
      <c r="F37" t="s">
        <v>13</v>
      </c>
      <c r="G37" s="2">
        <v>1632.0362500000001</v>
      </c>
      <c r="H37" t="str" cm="1">
        <f t="array" ref="H37">_xlfn.IFS(A37&lt;=30, "Youth", A37&lt;=50, "Adult", A37&gt;50, "Older")</f>
        <v>Youth</v>
      </c>
      <c r="I37" t="str" cm="1">
        <f t="array" ref="I37">_xlfn.IFS(A37&lt;=25,"18-25",A37&lt;=35,"26-35",A37&lt;=45,"36-45",A37&lt;=60,"46-60",A37&gt;60,"60+")</f>
        <v>18-25</v>
      </c>
      <c r="J37" t="str" cm="1">
        <f t="array" ref="J37">_xlfn.IFS(C37&lt;18.5,"Underweight",C37&lt;25,"Normal",C37&lt;30,"Overweight",C37&gt;=30,"Obese")</f>
        <v>Normal</v>
      </c>
      <c r="K37" t="str" cm="1">
        <f t="array" ref="K37">_xlfn.IFS(G37&lt;10000, "Low", G37&lt;=25000, "Medium", G37&gt;25000, "High")</f>
        <v>Low</v>
      </c>
    </row>
    <row r="38" spans="1:11" x14ac:dyDescent="0.3">
      <c r="A38">
        <v>18</v>
      </c>
      <c r="B38" s="1" t="s">
        <v>7</v>
      </c>
      <c r="C38">
        <v>19.95</v>
      </c>
      <c r="D38">
        <v>0</v>
      </c>
      <c r="E38" t="s">
        <v>10</v>
      </c>
      <c r="F38" t="s">
        <v>13</v>
      </c>
      <c r="G38" s="2">
        <v>1632.5644500000001</v>
      </c>
      <c r="H38" t="str" cm="1">
        <f t="array" ref="H38">_xlfn.IFS(A38&lt;=30, "Youth", A38&lt;=50, "Adult", A38&gt;50, "Older")</f>
        <v>Youth</v>
      </c>
      <c r="I38" t="str" cm="1">
        <f t="array" ref="I38">_xlfn.IFS(A38&lt;=25,"18-25",A38&lt;=35,"26-35",A38&lt;=45,"36-45",A38&lt;=60,"46-60",A38&gt;60,"60+")</f>
        <v>18-25</v>
      </c>
      <c r="J38" t="str" cm="1">
        <f t="array" ref="J38">_xlfn.IFS(C38&lt;18.5,"Underweight",C38&lt;25,"Normal",C38&lt;30,"Overweight",C38&gt;=30,"Obese")</f>
        <v>Normal</v>
      </c>
      <c r="K38" t="str" cm="1">
        <f t="array" ref="K38">_xlfn.IFS(G38&lt;10000, "Low", G38&lt;=25000, "Medium", G38&gt;25000, "High")</f>
        <v>Low</v>
      </c>
    </row>
    <row r="39" spans="1:11" x14ac:dyDescent="0.3">
      <c r="A39">
        <v>18</v>
      </c>
      <c r="B39" s="1" t="s">
        <v>8</v>
      </c>
      <c r="C39">
        <v>19.95</v>
      </c>
      <c r="D39">
        <v>0</v>
      </c>
      <c r="E39" t="s">
        <v>10</v>
      </c>
      <c r="F39" t="s">
        <v>11</v>
      </c>
      <c r="G39" s="2">
        <v>1633.0444</v>
      </c>
      <c r="H39" t="str" cm="1">
        <f t="array" ref="H39">_xlfn.IFS(A39&lt;=30, "Youth", A39&lt;=50, "Adult", A39&gt;50, "Older")</f>
        <v>Youth</v>
      </c>
      <c r="I39" t="str" cm="1">
        <f t="array" ref="I39">_xlfn.IFS(A39&lt;=25,"18-25",A39&lt;=35,"26-35",A39&lt;=45,"36-45",A39&lt;=60,"46-60",A39&gt;60,"60+")</f>
        <v>18-25</v>
      </c>
      <c r="J39" t="str" cm="1">
        <f t="array" ref="J39">_xlfn.IFS(C39&lt;18.5,"Underweight",C39&lt;25,"Normal",C39&lt;30,"Overweight",C39&gt;=30,"Obese")</f>
        <v>Normal</v>
      </c>
      <c r="K39" t="str" cm="1">
        <f t="array" ref="K39">_xlfn.IFS(G39&lt;10000, "Low", G39&lt;=25000, "Medium", G39&gt;25000, "High")</f>
        <v>Low</v>
      </c>
    </row>
    <row r="40" spans="1:11" x14ac:dyDescent="0.3">
      <c r="A40">
        <v>18</v>
      </c>
      <c r="B40" s="1" t="s">
        <v>8</v>
      </c>
      <c r="C40">
        <v>19.95</v>
      </c>
      <c r="D40">
        <v>0</v>
      </c>
      <c r="E40" t="s">
        <v>9</v>
      </c>
      <c r="F40" t="s">
        <v>14</v>
      </c>
      <c r="G40" s="2">
        <v>1633.9618</v>
      </c>
      <c r="H40" t="str" cm="1">
        <f t="array" ref="H40">_xlfn.IFS(A40&lt;=30, "Youth", A40&lt;=50, "Adult", A40&gt;50, "Older")</f>
        <v>Youth</v>
      </c>
      <c r="I40" t="str" cm="1">
        <f t="array" ref="I40">_xlfn.IFS(A40&lt;=25,"18-25",A40&lt;=35,"26-35",A40&lt;=45,"36-45",A40&lt;=60,"46-60",A40&gt;60,"60+")</f>
        <v>18-25</v>
      </c>
      <c r="J40" t="str" cm="1">
        <f t="array" ref="J40">_xlfn.IFS(C40&lt;18.5,"Underweight",C40&lt;25,"Normal",C40&lt;30,"Overweight",C40&gt;=30,"Obese")</f>
        <v>Normal</v>
      </c>
      <c r="K40" t="str" cm="1">
        <f t="array" ref="K40">_xlfn.IFS(G40&lt;10000, "Low", G40&lt;=25000, "Medium", G40&gt;25000, "High")</f>
        <v>Low</v>
      </c>
    </row>
    <row r="41" spans="1:11" x14ac:dyDescent="0.3">
      <c r="A41">
        <v>18</v>
      </c>
      <c r="B41" s="1" t="s">
        <v>8</v>
      </c>
      <c r="C41">
        <v>19.95</v>
      </c>
      <c r="D41">
        <v>0</v>
      </c>
      <c r="E41" t="s">
        <v>9</v>
      </c>
      <c r="F41" t="s">
        <v>11</v>
      </c>
      <c r="G41" s="2">
        <v>1634.5734</v>
      </c>
      <c r="H41" t="str" cm="1">
        <f t="array" ref="H41">_xlfn.IFS(A41&lt;=30, "Youth", A41&lt;=50, "Adult", A41&gt;50, "Older")</f>
        <v>Youth</v>
      </c>
      <c r="I41" t="str" cm="1">
        <f t="array" ref="I41">_xlfn.IFS(A41&lt;=25,"18-25",A41&lt;=35,"26-35",A41&lt;=45,"36-45",A41&lt;=60,"46-60",A41&gt;60,"60+")</f>
        <v>18-25</v>
      </c>
      <c r="J41" t="str" cm="1">
        <f t="array" ref="J41">_xlfn.IFS(C41&lt;18.5,"Underweight",C41&lt;25,"Normal",C41&lt;30,"Overweight",C41&gt;=30,"Obese")</f>
        <v>Normal</v>
      </c>
      <c r="K41" t="str" cm="1">
        <f t="array" ref="K41">_xlfn.IFS(G41&lt;10000, "Low", G41&lt;=25000, "Medium", G41&gt;25000, "High")</f>
        <v>Low</v>
      </c>
    </row>
    <row r="42" spans="1:11" x14ac:dyDescent="0.3">
      <c r="A42">
        <v>18</v>
      </c>
      <c r="B42" s="1" t="s">
        <v>7</v>
      </c>
      <c r="C42">
        <v>19.95</v>
      </c>
      <c r="D42">
        <v>0</v>
      </c>
      <c r="E42" t="s">
        <v>10</v>
      </c>
      <c r="F42" t="s">
        <v>14</v>
      </c>
      <c r="G42" s="2">
        <v>1635.7336499999999</v>
      </c>
      <c r="H42" t="str" cm="1">
        <f t="array" ref="H42">_xlfn.IFS(A42&lt;=30, "Youth", A42&lt;=50, "Adult", A42&gt;50, "Older")</f>
        <v>Youth</v>
      </c>
      <c r="I42" t="str" cm="1">
        <f t="array" ref="I42">_xlfn.IFS(A42&lt;=25,"18-25",A42&lt;=35,"26-35",A42&lt;=45,"36-45",A42&lt;=60,"46-60",A42&gt;60,"60+")</f>
        <v>18-25</v>
      </c>
      <c r="J42" t="str" cm="1">
        <f t="array" ref="J42">_xlfn.IFS(C42&lt;18.5,"Underweight",C42&lt;25,"Normal",C42&lt;30,"Overweight",C42&gt;=30,"Obese")</f>
        <v>Normal</v>
      </c>
      <c r="K42" t="str" cm="1">
        <f t="array" ref="K42">_xlfn.IFS(G42&lt;10000, "Low", G42&lt;=25000, "Medium", G42&gt;25000, "High")</f>
        <v>Low</v>
      </c>
    </row>
    <row r="43" spans="1:11" x14ac:dyDescent="0.3">
      <c r="A43">
        <v>18</v>
      </c>
      <c r="B43" s="1" t="s">
        <v>7</v>
      </c>
      <c r="C43">
        <v>20.045000000000002</v>
      </c>
      <c r="D43">
        <v>0</v>
      </c>
      <c r="E43" t="s">
        <v>10</v>
      </c>
      <c r="F43" t="s">
        <v>12</v>
      </c>
      <c r="G43" s="2">
        <v>1639.5631000000001</v>
      </c>
      <c r="H43" t="str" cm="1">
        <f t="array" ref="H43">_xlfn.IFS(A43&lt;=30, "Youth", A43&lt;=50, "Adult", A43&gt;50, "Older")</f>
        <v>Youth</v>
      </c>
      <c r="I43" t="str" cm="1">
        <f t="array" ref="I43">_xlfn.IFS(A43&lt;=25,"18-25",A43&lt;=35,"26-35",A43&lt;=45,"36-45",A43&lt;=60,"46-60",A43&gt;60,"60+")</f>
        <v>18-25</v>
      </c>
      <c r="J43" t="str" cm="1">
        <f t="array" ref="J43">_xlfn.IFS(C43&lt;18.5,"Underweight",C43&lt;25,"Normal",C43&lt;30,"Overweight",C43&gt;=30,"Obese")</f>
        <v>Normal</v>
      </c>
      <c r="K43" t="str" cm="1">
        <f t="array" ref="K43">_xlfn.IFS(G43&lt;10000, "Low", G43&lt;=25000, "Medium", G43&gt;25000, "High")</f>
        <v>Low</v>
      </c>
    </row>
    <row r="44" spans="1:11" x14ac:dyDescent="0.3">
      <c r="A44">
        <v>18</v>
      </c>
      <c r="B44" s="1" t="s">
        <v>8</v>
      </c>
      <c r="C44">
        <v>20.045000000000002</v>
      </c>
      <c r="D44">
        <v>0</v>
      </c>
      <c r="E44" t="s">
        <v>10</v>
      </c>
      <c r="F44" t="s">
        <v>12</v>
      </c>
      <c r="G44" s="2">
        <v>1646.4296999999999</v>
      </c>
      <c r="H44" t="str" cm="1">
        <f t="array" ref="H44">_xlfn.IFS(A44&lt;=30, "Youth", A44&lt;=50, "Adult", A44&gt;50, "Older")</f>
        <v>Youth</v>
      </c>
      <c r="I44" t="str" cm="1">
        <f t="array" ref="I44">_xlfn.IFS(A44&lt;=25,"18-25",A44&lt;=35,"26-35",A44&lt;=45,"36-45",A44&lt;=60,"46-60",A44&gt;60,"60+")</f>
        <v>18-25</v>
      </c>
      <c r="J44" t="str" cm="1">
        <f t="array" ref="J44">_xlfn.IFS(C44&lt;18.5,"Underweight",C44&lt;25,"Normal",C44&lt;30,"Overweight",C44&gt;=30,"Obese")</f>
        <v>Normal</v>
      </c>
      <c r="K44" t="str" cm="1">
        <f t="array" ref="K44">_xlfn.IFS(G44&lt;10000, "Low", G44&lt;=25000, "Medium", G44&gt;25000, "High")</f>
        <v>Low</v>
      </c>
    </row>
    <row r="45" spans="1:11" x14ac:dyDescent="0.3">
      <c r="A45">
        <v>18</v>
      </c>
      <c r="B45" s="1" t="s">
        <v>7</v>
      </c>
      <c r="C45">
        <v>20.100000000000001</v>
      </c>
      <c r="D45">
        <v>0</v>
      </c>
      <c r="E45" t="s">
        <v>10</v>
      </c>
      <c r="F45" t="s">
        <v>12</v>
      </c>
      <c r="G45" s="2">
        <v>1664.9996000000001</v>
      </c>
      <c r="H45" t="str" cm="1">
        <f t="array" ref="H45">_xlfn.IFS(A45&lt;=30, "Youth", A45&lt;=50, "Adult", A45&gt;50, "Older")</f>
        <v>Youth</v>
      </c>
      <c r="I45" t="str" cm="1">
        <f t="array" ref="I45">_xlfn.IFS(A45&lt;=25,"18-25",A45&lt;=35,"26-35",A45&lt;=45,"36-45",A45&lt;=60,"46-60",A45&gt;60,"60+")</f>
        <v>18-25</v>
      </c>
      <c r="J45" t="str" cm="1">
        <f t="array" ref="J45">_xlfn.IFS(C45&lt;18.5,"Underweight",C45&lt;25,"Normal",C45&lt;30,"Overweight",C45&gt;=30,"Obese")</f>
        <v>Normal</v>
      </c>
      <c r="K45" t="str" cm="1">
        <f t="array" ref="K45">_xlfn.IFS(G45&lt;10000, "Low", G45&lt;=25000, "Medium", G45&gt;25000, "High")</f>
        <v>Low</v>
      </c>
    </row>
    <row r="46" spans="1:11" x14ac:dyDescent="0.3">
      <c r="A46">
        <v>18</v>
      </c>
      <c r="B46" s="1" t="s">
        <v>8</v>
      </c>
      <c r="C46">
        <v>20.13</v>
      </c>
      <c r="D46">
        <v>0</v>
      </c>
      <c r="E46" t="s">
        <v>10</v>
      </c>
      <c r="F46" t="s">
        <v>14</v>
      </c>
      <c r="G46" s="2">
        <v>1674.6323</v>
      </c>
      <c r="H46" t="str" cm="1">
        <f t="array" ref="H46">_xlfn.IFS(A46&lt;=30, "Youth", A46&lt;=50, "Adult", A46&gt;50, "Older")</f>
        <v>Youth</v>
      </c>
      <c r="I46" t="str" cm="1">
        <f t="array" ref="I46">_xlfn.IFS(A46&lt;=25,"18-25",A46&lt;=35,"26-35",A46&lt;=45,"36-45",A46&lt;=60,"46-60",A46&gt;60,"60+")</f>
        <v>18-25</v>
      </c>
      <c r="J46" t="str" cm="1">
        <f t="array" ref="J46">_xlfn.IFS(C46&lt;18.5,"Underweight",C46&lt;25,"Normal",C46&lt;30,"Overweight",C46&gt;=30,"Obese")</f>
        <v>Normal</v>
      </c>
      <c r="K46" t="str" cm="1">
        <f t="array" ref="K46">_xlfn.IFS(G46&lt;10000, "Low", G46&lt;=25000, "Medium", G46&gt;25000, "High")</f>
        <v>Low</v>
      </c>
    </row>
    <row r="47" spans="1:11" x14ac:dyDescent="0.3">
      <c r="A47">
        <v>18</v>
      </c>
      <c r="B47" s="1" t="s">
        <v>8</v>
      </c>
      <c r="C47">
        <v>20.234999999999999</v>
      </c>
      <c r="D47">
        <v>0</v>
      </c>
      <c r="E47" t="s">
        <v>10</v>
      </c>
      <c r="F47" t="s">
        <v>11</v>
      </c>
      <c r="G47" s="2">
        <v>1682.597</v>
      </c>
      <c r="H47" t="str" cm="1">
        <f t="array" ref="H47">_xlfn.IFS(A47&lt;=30, "Youth", A47&lt;=50, "Adult", A47&gt;50, "Older")</f>
        <v>Youth</v>
      </c>
      <c r="I47" t="str" cm="1">
        <f t="array" ref="I47">_xlfn.IFS(A47&lt;=25,"18-25",A47&lt;=35,"26-35",A47&lt;=45,"36-45",A47&lt;=60,"46-60",A47&gt;60,"60+")</f>
        <v>18-25</v>
      </c>
      <c r="J47" t="str" cm="1">
        <f t="array" ref="J47">_xlfn.IFS(C47&lt;18.5,"Underweight",C47&lt;25,"Normal",C47&lt;30,"Overweight",C47&gt;=30,"Obese")</f>
        <v>Normal</v>
      </c>
      <c r="K47" t="str" cm="1">
        <f t="array" ref="K47">_xlfn.IFS(G47&lt;10000, "Low", G47&lt;=25000, "Medium", G47&gt;25000, "High")</f>
        <v>Low</v>
      </c>
    </row>
    <row r="48" spans="1:11" x14ac:dyDescent="0.3">
      <c r="A48">
        <v>18</v>
      </c>
      <c r="B48" s="1" t="s">
        <v>7</v>
      </c>
      <c r="C48">
        <v>20.234999999999999</v>
      </c>
      <c r="D48">
        <v>0</v>
      </c>
      <c r="E48" t="s">
        <v>10</v>
      </c>
      <c r="F48" t="s">
        <v>14</v>
      </c>
      <c r="G48" s="2">
        <v>1694.7963999999999</v>
      </c>
      <c r="H48" t="str" cm="1">
        <f t="array" ref="H48">_xlfn.IFS(A48&lt;=30, "Youth", A48&lt;=50, "Adult", A48&gt;50, "Older")</f>
        <v>Youth</v>
      </c>
      <c r="I48" t="str" cm="1">
        <f t="array" ref="I48">_xlfn.IFS(A48&lt;=25,"18-25",A48&lt;=35,"26-35",A48&lt;=45,"36-45",A48&lt;=60,"46-60",A48&gt;60,"60+")</f>
        <v>18-25</v>
      </c>
      <c r="J48" t="str" cm="1">
        <f t="array" ref="J48">_xlfn.IFS(C48&lt;18.5,"Underweight",C48&lt;25,"Normal",C48&lt;30,"Overweight",C48&gt;=30,"Obese")</f>
        <v>Normal</v>
      </c>
      <c r="K48" t="str" cm="1">
        <f t="array" ref="K48">_xlfn.IFS(G48&lt;10000, "Low", G48&lt;=25000, "Medium", G48&gt;25000, "High")</f>
        <v>Low</v>
      </c>
    </row>
    <row r="49" spans="1:11" x14ac:dyDescent="0.3">
      <c r="A49">
        <v>18</v>
      </c>
      <c r="B49" s="1" t="s">
        <v>7</v>
      </c>
      <c r="C49">
        <v>20.234999999999999</v>
      </c>
      <c r="D49">
        <v>0</v>
      </c>
      <c r="E49" t="s">
        <v>10</v>
      </c>
      <c r="F49" t="s">
        <v>13</v>
      </c>
      <c r="G49" s="2">
        <v>1702.4553000000001</v>
      </c>
      <c r="H49" t="str" cm="1">
        <f t="array" ref="H49">_xlfn.IFS(A49&lt;=30, "Youth", A49&lt;=50, "Adult", A49&gt;50, "Older")</f>
        <v>Youth</v>
      </c>
      <c r="I49" t="str" cm="1">
        <f t="array" ref="I49">_xlfn.IFS(A49&lt;=25,"18-25",A49&lt;=35,"26-35",A49&lt;=45,"36-45",A49&lt;=60,"46-60",A49&gt;60,"60+")</f>
        <v>18-25</v>
      </c>
      <c r="J49" t="str" cm="1">
        <f t="array" ref="J49">_xlfn.IFS(C49&lt;18.5,"Underweight",C49&lt;25,"Normal",C49&lt;30,"Overweight",C49&gt;=30,"Obese")</f>
        <v>Normal</v>
      </c>
      <c r="K49" t="str" cm="1">
        <f t="array" ref="K49">_xlfn.IFS(G49&lt;10000, "Low", G49&lt;=25000, "Medium", G49&gt;25000, "High")</f>
        <v>Low</v>
      </c>
    </row>
    <row r="50" spans="1:11" x14ac:dyDescent="0.3">
      <c r="A50">
        <v>18</v>
      </c>
      <c r="B50" s="1" t="s">
        <v>7</v>
      </c>
      <c r="C50">
        <v>20.234999999999999</v>
      </c>
      <c r="D50">
        <v>0</v>
      </c>
      <c r="E50" t="s">
        <v>10</v>
      </c>
      <c r="F50" t="s">
        <v>12</v>
      </c>
      <c r="G50" s="2">
        <v>1704.5681</v>
      </c>
      <c r="H50" t="str" cm="1">
        <f t="array" ref="H50">_xlfn.IFS(A50&lt;=30, "Youth", A50&lt;=50, "Adult", A50&gt;50, "Older")</f>
        <v>Youth</v>
      </c>
      <c r="I50" t="str" cm="1">
        <f t="array" ref="I50">_xlfn.IFS(A50&lt;=25,"18-25",A50&lt;=35,"26-35",A50&lt;=45,"36-45",A50&lt;=60,"46-60",A50&gt;60,"60+")</f>
        <v>18-25</v>
      </c>
      <c r="J50" t="str" cm="1">
        <f t="array" ref="J50">_xlfn.IFS(C50&lt;18.5,"Underweight",C50&lt;25,"Normal",C50&lt;30,"Overweight",C50&gt;=30,"Obese")</f>
        <v>Normal</v>
      </c>
      <c r="K50" t="str" cm="1">
        <f t="array" ref="K50">_xlfn.IFS(G50&lt;10000, "Low", G50&lt;=25000, "Medium", G50&gt;25000, "High")</f>
        <v>Low</v>
      </c>
    </row>
    <row r="51" spans="1:11" x14ac:dyDescent="0.3">
      <c r="A51">
        <v>18</v>
      </c>
      <c r="B51" s="1" t="s">
        <v>8</v>
      </c>
      <c r="C51">
        <v>20.3</v>
      </c>
      <c r="D51">
        <v>0</v>
      </c>
      <c r="E51" t="s">
        <v>9</v>
      </c>
      <c r="F51" t="s">
        <v>12</v>
      </c>
      <c r="G51" s="2">
        <v>1704.7001499999999</v>
      </c>
      <c r="H51" t="str" cm="1">
        <f t="array" ref="H51">_xlfn.IFS(A51&lt;=30, "Youth", A51&lt;=50, "Adult", A51&gt;50, "Older")</f>
        <v>Youth</v>
      </c>
      <c r="I51" t="str" cm="1">
        <f t="array" ref="I51">_xlfn.IFS(A51&lt;=25,"18-25",A51&lt;=35,"26-35",A51&lt;=45,"36-45",A51&lt;=60,"46-60",A51&gt;60,"60+")</f>
        <v>18-25</v>
      </c>
      <c r="J51" t="str" cm="1">
        <f t="array" ref="J51">_xlfn.IFS(C51&lt;18.5,"Underweight",C51&lt;25,"Normal",C51&lt;30,"Overweight",C51&gt;=30,"Obese")</f>
        <v>Normal</v>
      </c>
      <c r="K51" t="str" cm="1">
        <f t="array" ref="K51">_xlfn.IFS(G51&lt;10000, "Low", G51&lt;=25000, "Medium", G51&gt;25000, "High")</f>
        <v>Low</v>
      </c>
    </row>
    <row r="52" spans="1:11" x14ac:dyDescent="0.3">
      <c r="A52">
        <v>18</v>
      </c>
      <c r="B52" s="1" t="s">
        <v>7</v>
      </c>
      <c r="C52">
        <v>20.350000000000001</v>
      </c>
      <c r="D52">
        <v>0</v>
      </c>
      <c r="E52" t="s">
        <v>10</v>
      </c>
      <c r="F52" t="s">
        <v>14</v>
      </c>
      <c r="G52" s="2">
        <v>1705.6244999999999</v>
      </c>
      <c r="H52" t="str" cm="1">
        <f t="array" ref="H52">_xlfn.IFS(A52&lt;=30, "Youth", A52&lt;=50, "Adult", A52&gt;50, "Older")</f>
        <v>Youth</v>
      </c>
      <c r="I52" t="str" cm="1">
        <f t="array" ref="I52">_xlfn.IFS(A52&lt;=25,"18-25",A52&lt;=35,"26-35",A52&lt;=45,"36-45",A52&lt;=60,"46-60",A52&gt;60,"60+")</f>
        <v>18-25</v>
      </c>
      <c r="J52" t="str" cm="1">
        <f t="array" ref="J52">_xlfn.IFS(C52&lt;18.5,"Underweight",C52&lt;25,"Normal",C52&lt;30,"Overweight",C52&gt;=30,"Obese")</f>
        <v>Normal</v>
      </c>
      <c r="K52" t="str" cm="1">
        <f t="array" ref="K52">_xlfn.IFS(G52&lt;10000, "Low", G52&lt;=25000, "Medium", G52&gt;25000, "High")</f>
        <v>Low</v>
      </c>
    </row>
    <row r="53" spans="1:11" x14ac:dyDescent="0.3">
      <c r="A53">
        <v>18</v>
      </c>
      <c r="B53" s="1" t="s">
        <v>7</v>
      </c>
      <c r="C53">
        <v>20.399999999999999</v>
      </c>
      <c r="D53">
        <v>0</v>
      </c>
      <c r="E53" t="s">
        <v>10</v>
      </c>
      <c r="F53" t="s">
        <v>13</v>
      </c>
      <c r="G53" s="2">
        <v>1708.0014000000001</v>
      </c>
      <c r="H53" t="str" cm="1">
        <f t="array" ref="H53">_xlfn.IFS(A53&lt;=30, "Youth", A53&lt;=50, "Adult", A53&gt;50, "Older")</f>
        <v>Youth</v>
      </c>
      <c r="I53" t="str" cm="1">
        <f t="array" ref="I53">_xlfn.IFS(A53&lt;=25,"18-25",A53&lt;=35,"26-35",A53&lt;=45,"36-45",A53&lt;=60,"46-60",A53&gt;60,"60+")</f>
        <v>18-25</v>
      </c>
      <c r="J53" t="str" cm="1">
        <f t="array" ref="J53">_xlfn.IFS(C53&lt;18.5,"Underweight",C53&lt;25,"Normal",C53&lt;30,"Overweight",C53&gt;=30,"Obese")</f>
        <v>Normal</v>
      </c>
      <c r="K53" t="str" cm="1">
        <f t="array" ref="K53">_xlfn.IFS(G53&lt;10000, "Low", G53&lt;=25000, "Medium", G53&gt;25000, "High")</f>
        <v>Low</v>
      </c>
    </row>
    <row r="54" spans="1:11" x14ac:dyDescent="0.3">
      <c r="A54">
        <v>18</v>
      </c>
      <c r="B54" s="1" t="s">
        <v>8</v>
      </c>
      <c r="C54">
        <v>20.425000000000001</v>
      </c>
      <c r="D54">
        <v>0</v>
      </c>
      <c r="E54" t="s">
        <v>9</v>
      </c>
      <c r="F54" t="s">
        <v>11</v>
      </c>
      <c r="G54" s="2">
        <v>1708.9257500000001</v>
      </c>
      <c r="H54" t="str" cm="1">
        <f t="array" ref="H54">_xlfn.IFS(A54&lt;=30, "Youth", A54&lt;=50, "Adult", A54&gt;50, "Older")</f>
        <v>Youth</v>
      </c>
      <c r="I54" t="str" cm="1">
        <f t="array" ref="I54">_xlfn.IFS(A54&lt;=25,"18-25",A54&lt;=35,"26-35",A54&lt;=45,"36-45",A54&lt;=60,"46-60",A54&gt;60,"60+")</f>
        <v>18-25</v>
      </c>
      <c r="J54" t="str" cm="1">
        <f t="array" ref="J54">_xlfn.IFS(C54&lt;18.5,"Underweight",C54&lt;25,"Normal",C54&lt;30,"Overweight",C54&gt;=30,"Obese")</f>
        <v>Normal</v>
      </c>
      <c r="K54" t="str" cm="1">
        <f t="array" ref="K54">_xlfn.IFS(G54&lt;10000, "Low", G54&lt;=25000, "Medium", G54&gt;25000, "High")</f>
        <v>Low</v>
      </c>
    </row>
    <row r="55" spans="1:11" x14ac:dyDescent="0.3">
      <c r="A55">
        <v>18</v>
      </c>
      <c r="B55" s="1" t="s">
        <v>8</v>
      </c>
      <c r="C55">
        <v>20.52</v>
      </c>
      <c r="D55">
        <v>0</v>
      </c>
      <c r="E55" t="s">
        <v>9</v>
      </c>
      <c r="F55" t="s">
        <v>12</v>
      </c>
      <c r="G55" s="2">
        <v>1711.0268000000001</v>
      </c>
      <c r="H55" t="str" cm="1">
        <f t="array" ref="H55">_xlfn.IFS(A55&lt;=30, "Youth", A55&lt;=50, "Adult", A55&gt;50, "Older")</f>
        <v>Youth</v>
      </c>
      <c r="I55" t="str" cm="1">
        <f t="array" ref="I55">_xlfn.IFS(A55&lt;=25,"18-25",A55&lt;=35,"26-35",A55&lt;=45,"36-45",A55&lt;=60,"46-60",A55&gt;60,"60+")</f>
        <v>18-25</v>
      </c>
      <c r="J55" t="str" cm="1">
        <f t="array" ref="J55">_xlfn.IFS(C55&lt;18.5,"Underweight",C55&lt;25,"Normal",C55&lt;30,"Overweight",C55&gt;=30,"Obese")</f>
        <v>Normal</v>
      </c>
      <c r="K55" t="str" cm="1">
        <f t="array" ref="K55">_xlfn.IFS(G55&lt;10000, "Low", G55&lt;=25000, "Medium", G55&gt;25000, "High")</f>
        <v>Low</v>
      </c>
    </row>
    <row r="56" spans="1:11" x14ac:dyDescent="0.3">
      <c r="A56">
        <v>18</v>
      </c>
      <c r="B56" s="1" t="s">
        <v>7</v>
      </c>
      <c r="C56">
        <v>20.52</v>
      </c>
      <c r="D56">
        <v>0</v>
      </c>
      <c r="E56" t="s">
        <v>10</v>
      </c>
      <c r="F56" t="s">
        <v>13</v>
      </c>
      <c r="G56" s="2">
        <v>1712.2270000000001</v>
      </c>
      <c r="H56" t="str" cm="1">
        <f t="array" ref="H56">_xlfn.IFS(A56&lt;=30, "Youth", A56&lt;=50, "Adult", A56&gt;50, "Older")</f>
        <v>Youth</v>
      </c>
      <c r="I56" t="str" cm="1">
        <f t="array" ref="I56">_xlfn.IFS(A56&lt;=25,"18-25",A56&lt;=35,"26-35",A56&lt;=45,"36-45",A56&lt;=60,"46-60",A56&gt;60,"60+")</f>
        <v>18-25</v>
      </c>
      <c r="J56" t="str" cm="1">
        <f t="array" ref="J56">_xlfn.IFS(C56&lt;18.5,"Underweight",C56&lt;25,"Normal",C56&lt;30,"Overweight",C56&gt;=30,"Obese")</f>
        <v>Normal</v>
      </c>
      <c r="K56" t="str" cm="1">
        <f t="array" ref="K56">_xlfn.IFS(G56&lt;10000, "Low", G56&lt;=25000, "Medium", G56&gt;25000, "High")</f>
        <v>Low</v>
      </c>
    </row>
    <row r="57" spans="1:11" x14ac:dyDescent="0.3">
      <c r="A57">
        <v>18</v>
      </c>
      <c r="B57" s="1" t="s">
        <v>8</v>
      </c>
      <c r="C57">
        <v>20.6</v>
      </c>
      <c r="D57">
        <v>0</v>
      </c>
      <c r="E57" t="s">
        <v>9</v>
      </c>
      <c r="F57" t="s">
        <v>13</v>
      </c>
      <c r="G57" s="2">
        <v>1719.4363000000001</v>
      </c>
      <c r="H57" t="str" cm="1">
        <f t="array" ref="H57">_xlfn.IFS(A57&lt;=30, "Youth", A57&lt;=50, "Adult", A57&gt;50, "Older")</f>
        <v>Youth</v>
      </c>
      <c r="I57" t="str" cm="1">
        <f t="array" ref="I57">_xlfn.IFS(A57&lt;=25,"18-25",A57&lt;=35,"26-35",A57&lt;=45,"36-45",A57&lt;=60,"46-60",A57&gt;60,"60+")</f>
        <v>18-25</v>
      </c>
      <c r="J57" t="str" cm="1">
        <f t="array" ref="J57">_xlfn.IFS(C57&lt;18.5,"Underweight",C57&lt;25,"Normal",C57&lt;30,"Overweight",C57&gt;=30,"Obese")</f>
        <v>Normal</v>
      </c>
      <c r="K57" t="str" cm="1">
        <f t="array" ref="K57">_xlfn.IFS(G57&lt;10000, "Low", G57&lt;=25000, "Medium", G57&gt;25000, "High")</f>
        <v>Low</v>
      </c>
    </row>
    <row r="58" spans="1:11" x14ac:dyDescent="0.3">
      <c r="A58">
        <v>18</v>
      </c>
      <c r="B58" s="1" t="s">
        <v>7</v>
      </c>
      <c r="C58">
        <v>20.6</v>
      </c>
      <c r="D58">
        <v>0</v>
      </c>
      <c r="E58" t="s">
        <v>10</v>
      </c>
      <c r="F58" t="s">
        <v>14</v>
      </c>
      <c r="G58" s="2">
        <v>1720.3536999999999</v>
      </c>
      <c r="H58" t="str" cm="1">
        <f t="array" ref="H58">_xlfn.IFS(A58&lt;=30, "Youth", A58&lt;=50, "Adult", A58&gt;50, "Older")</f>
        <v>Youth</v>
      </c>
      <c r="I58" t="str" cm="1">
        <f t="array" ref="I58">_xlfn.IFS(A58&lt;=25,"18-25",A58&lt;=35,"26-35",A58&lt;=45,"36-45",A58&lt;=60,"46-60",A58&gt;60,"60+")</f>
        <v>18-25</v>
      </c>
      <c r="J58" t="str" cm="1">
        <f t="array" ref="J58">_xlfn.IFS(C58&lt;18.5,"Underweight",C58&lt;25,"Normal",C58&lt;30,"Overweight",C58&gt;=30,"Obese")</f>
        <v>Normal</v>
      </c>
      <c r="K58" t="str" cm="1">
        <f t="array" ref="K58">_xlfn.IFS(G58&lt;10000, "Low", G58&lt;=25000, "Medium", G58&gt;25000, "High")</f>
        <v>Low</v>
      </c>
    </row>
    <row r="59" spans="1:11" x14ac:dyDescent="0.3">
      <c r="A59">
        <v>18</v>
      </c>
      <c r="B59" s="1" t="s">
        <v>8</v>
      </c>
      <c r="C59">
        <v>20.614999999999998</v>
      </c>
      <c r="D59">
        <v>0</v>
      </c>
      <c r="E59" t="s">
        <v>9</v>
      </c>
      <c r="F59" t="s">
        <v>12</v>
      </c>
      <c r="G59" s="2">
        <v>1725.5523000000001</v>
      </c>
      <c r="H59" t="str" cm="1">
        <f t="array" ref="H59">_xlfn.IFS(A59&lt;=30, "Youth", A59&lt;=50, "Adult", A59&gt;50, "Older")</f>
        <v>Youth</v>
      </c>
      <c r="I59" t="str" cm="1">
        <f t="array" ref="I59">_xlfn.IFS(A59&lt;=25,"18-25",A59&lt;=35,"26-35",A59&lt;=45,"36-45",A59&lt;=60,"46-60",A59&gt;60,"60+")</f>
        <v>18-25</v>
      </c>
      <c r="J59" t="str" cm="1">
        <f t="array" ref="J59">_xlfn.IFS(C59&lt;18.5,"Underweight",C59&lt;25,"Normal",C59&lt;30,"Overweight",C59&gt;=30,"Obese")</f>
        <v>Normal</v>
      </c>
      <c r="K59" t="str" cm="1">
        <f t="array" ref="K59">_xlfn.IFS(G59&lt;10000, "Low", G59&lt;=25000, "Medium", G59&gt;25000, "High")</f>
        <v>Low</v>
      </c>
    </row>
    <row r="60" spans="1:11" x14ac:dyDescent="0.3">
      <c r="A60">
        <v>18</v>
      </c>
      <c r="B60" s="1" t="s">
        <v>7</v>
      </c>
      <c r="C60">
        <v>20.7</v>
      </c>
      <c r="D60">
        <v>0</v>
      </c>
      <c r="E60" t="s">
        <v>9</v>
      </c>
      <c r="F60" t="s">
        <v>12</v>
      </c>
      <c r="G60" s="2">
        <v>1727.54</v>
      </c>
      <c r="H60" t="str" cm="1">
        <f t="array" ref="H60">_xlfn.IFS(A60&lt;=30, "Youth", A60&lt;=50, "Adult", A60&gt;50, "Older")</f>
        <v>Youth</v>
      </c>
      <c r="I60" t="str" cm="1">
        <f t="array" ref="I60">_xlfn.IFS(A60&lt;=25,"18-25",A60&lt;=35,"26-35",A60&lt;=45,"36-45",A60&lt;=60,"46-60",A60&gt;60,"60+")</f>
        <v>18-25</v>
      </c>
      <c r="J60" t="str" cm="1">
        <f t="array" ref="J60">_xlfn.IFS(C60&lt;18.5,"Underweight",C60&lt;25,"Normal",C60&lt;30,"Overweight",C60&gt;=30,"Obese")</f>
        <v>Normal</v>
      </c>
      <c r="K60" t="str" cm="1">
        <f t="array" ref="K60">_xlfn.IFS(G60&lt;10000, "Low", G60&lt;=25000, "Medium", G60&gt;25000, "High")</f>
        <v>Low</v>
      </c>
    </row>
    <row r="61" spans="1:11" x14ac:dyDescent="0.3">
      <c r="A61">
        <v>18</v>
      </c>
      <c r="B61" s="1" t="s">
        <v>7</v>
      </c>
      <c r="C61">
        <v>20.79</v>
      </c>
      <c r="D61">
        <v>0</v>
      </c>
      <c r="E61" t="s">
        <v>10</v>
      </c>
      <c r="F61" t="s">
        <v>13</v>
      </c>
      <c r="G61" s="2">
        <v>1727.7850000000001</v>
      </c>
      <c r="H61" t="str" cm="1">
        <f t="array" ref="H61">_xlfn.IFS(A61&lt;=30, "Youth", A61&lt;=50, "Adult", A61&gt;50, "Older")</f>
        <v>Youth</v>
      </c>
      <c r="I61" t="str" cm="1">
        <f t="array" ref="I61">_xlfn.IFS(A61&lt;=25,"18-25",A61&lt;=35,"26-35",A61&lt;=45,"36-45",A61&lt;=60,"46-60",A61&gt;60,"60+")</f>
        <v>18-25</v>
      </c>
      <c r="J61" t="str" cm="1">
        <f t="array" ref="J61">_xlfn.IFS(C61&lt;18.5,"Underweight",C61&lt;25,"Normal",C61&lt;30,"Overweight",C61&gt;=30,"Obese")</f>
        <v>Normal</v>
      </c>
      <c r="K61" t="str" cm="1">
        <f t="array" ref="K61">_xlfn.IFS(G61&lt;10000, "Low", G61&lt;=25000, "Medium", G61&gt;25000, "High")</f>
        <v>Low</v>
      </c>
    </row>
    <row r="62" spans="1:11" x14ac:dyDescent="0.3">
      <c r="A62">
        <v>18</v>
      </c>
      <c r="B62" s="1" t="s">
        <v>8</v>
      </c>
      <c r="C62">
        <v>20.8</v>
      </c>
      <c r="D62">
        <v>0</v>
      </c>
      <c r="E62" t="s">
        <v>10</v>
      </c>
      <c r="F62" t="s">
        <v>14</v>
      </c>
      <c r="G62" s="2">
        <v>1728.8969999999999</v>
      </c>
      <c r="H62" t="str" cm="1">
        <f t="array" ref="H62">_xlfn.IFS(A62&lt;=30, "Youth", A62&lt;=50, "Adult", A62&gt;50, "Older")</f>
        <v>Youth</v>
      </c>
      <c r="I62" t="str" cm="1">
        <f t="array" ref="I62">_xlfn.IFS(A62&lt;=25,"18-25",A62&lt;=35,"26-35",A62&lt;=45,"36-45",A62&lt;=60,"46-60",A62&gt;60,"60+")</f>
        <v>18-25</v>
      </c>
      <c r="J62" t="str" cm="1">
        <f t="array" ref="J62">_xlfn.IFS(C62&lt;18.5,"Underweight",C62&lt;25,"Normal",C62&lt;30,"Overweight",C62&gt;=30,"Obese")</f>
        <v>Normal</v>
      </c>
      <c r="K62" t="str" cm="1">
        <f t="array" ref="K62">_xlfn.IFS(G62&lt;10000, "Low", G62&lt;=25000, "Medium", G62&gt;25000, "High")</f>
        <v>Low</v>
      </c>
    </row>
    <row r="63" spans="1:11" x14ac:dyDescent="0.3">
      <c r="A63">
        <v>18</v>
      </c>
      <c r="B63" s="1" t="s">
        <v>8</v>
      </c>
      <c r="C63">
        <v>20.8</v>
      </c>
      <c r="D63">
        <v>0</v>
      </c>
      <c r="E63" t="s">
        <v>10</v>
      </c>
      <c r="F63" t="s">
        <v>12</v>
      </c>
      <c r="G63" s="2">
        <v>1731.6769999999999</v>
      </c>
      <c r="H63" t="str" cm="1">
        <f t="array" ref="H63">_xlfn.IFS(A63&lt;=30, "Youth", A63&lt;=50, "Adult", A63&gt;50, "Older")</f>
        <v>Youth</v>
      </c>
      <c r="I63" t="str" cm="1">
        <f t="array" ref="I63">_xlfn.IFS(A63&lt;=25,"18-25",A63&lt;=35,"26-35",A63&lt;=45,"36-45",A63&lt;=60,"46-60",A63&gt;60,"60+")</f>
        <v>18-25</v>
      </c>
      <c r="J63" t="str" cm="1">
        <f t="array" ref="J63">_xlfn.IFS(C63&lt;18.5,"Underweight",C63&lt;25,"Normal",C63&lt;30,"Overweight",C63&gt;=30,"Obese")</f>
        <v>Normal</v>
      </c>
      <c r="K63" t="str" cm="1">
        <f t="array" ref="K63">_xlfn.IFS(G63&lt;10000, "Low", G63&lt;=25000, "Medium", G63&gt;25000, "High")</f>
        <v>Low</v>
      </c>
    </row>
    <row r="64" spans="1:11" x14ac:dyDescent="0.3">
      <c r="A64">
        <v>18</v>
      </c>
      <c r="B64" s="1" t="s">
        <v>8</v>
      </c>
      <c r="C64">
        <v>20.9</v>
      </c>
      <c r="D64">
        <v>0</v>
      </c>
      <c r="E64" t="s">
        <v>10</v>
      </c>
      <c r="F64" t="s">
        <v>13</v>
      </c>
      <c r="G64" s="2">
        <v>1737.376</v>
      </c>
      <c r="H64" t="str" cm="1">
        <f t="array" ref="H64">_xlfn.IFS(A64&lt;=30, "Youth", A64&lt;=50, "Adult", A64&gt;50, "Older")</f>
        <v>Youth</v>
      </c>
      <c r="I64" t="str" cm="1">
        <f t="array" ref="I64">_xlfn.IFS(A64&lt;=25,"18-25",A64&lt;=35,"26-35",A64&lt;=45,"36-45",A64&lt;=60,"46-60",A64&gt;60,"60+")</f>
        <v>18-25</v>
      </c>
      <c r="J64" t="str" cm="1">
        <f t="array" ref="J64">_xlfn.IFS(C64&lt;18.5,"Underweight",C64&lt;25,"Normal",C64&lt;30,"Overweight",C64&gt;=30,"Obese")</f>
        <v>Normal</v>
      </c>
      <c r="K64" t="str" cm="1">
        <f t="array" ref="K64">_xlfn.IFS(G64&lt;10000, "Low", G64&lt;=25000, "Medium", G64&gt;25000, "High")</f>
        <v>Low</v>
      </c>
    </row>
    <row r="65" spans="1:11" x14ac:dyDescent="0.3">
      <c r="A65">
        <v>18</v>
      </c>
      <c r="B65" s="1" t="s">
        <v>7</v>
      </c>
      <c r="C65">
        <v>20.9</v>
      </c>
      <c r="D65">
        <v>0</v>
      </c>
      <c r="E65" t="s">
        <v>10</v>
      </c>
      <c r="F65" t="s">
        <v>13</v>
      </c>
      <c r="G65" s="2">
        <v>1743.2139999999999</v>
      </c>
      <c r="H65" t="str" cm="1">
        <f t="array" ref="H65">_xlfn.IFS(A65&lt;=30, "Youth", A65&lt;=50, "Adult", A65&gt;50, "Older")</f>
        <v>Youth</v>
      </c>
      <c r="I65" t="str" cm="1">
        <f t="array" ref="I65">_xlfn.IFS(A65&lt;=25,"18-25",A65&lt;=35,"26-35",A65&lt;=45,"36-45",A65&lt;=60,"46-60",A65&gt;60,"60+")</f>
        <v>18-25</v>
      </c>
      <c r="J65" t="str" cm="1">
        <f t="array" ref="J65">_xlfn.IFS(C65&lt;18.5,"Underweight",C65&lt;25,"Normal",C65&lt;30,"Overweight",C65&gt;=30,"Obese")</f>
        <v>Normal</v>
      </c>
      <c r="K65" t="str" cm="1">
        <f t="array" ref="K65">_xlfn.IFS(G65&lt;10000, "Low", G65&lt;=25000, "Medium", G65&gt;25000, "High")</f>
        <v>Low</v>
      </c>
    </row>
    <row r="66" spans="1:11" x14ac:dyDescent="0.3">
      <c r="A66">
        <v>18</v>
      </c>
      <c r="B66" s="1" t="s">
        <v>7</v>
      </c>
      <c r="C66">
        <v>21.01</v>
      </c>
      <c r="D66">
        <v>0</v>
      </c>
      <c r="E66" t="s">
        <v>9</v>
      </c>
      <c r="F66" t="s">
        <v>13</v>
      </c>
      <c r="G66" s="2">
        <v>1744.4649999999999</v>
      </c>
      <c r="H66" t="str" cm="1">
        <f t="array" ref="H66">_xlfn.IFS(A66&lt;=30, "Youth", A66&lt;=50, "Adult", A66&gt;50, "Older")</f>
        <v>Youth</v>
      </c>
      <c r="I66" t="str" cm="1">
        <f t="array" ref="I66">_xlfn.IFS(A66&lt;=25,"18-25",A66&lt;=35,"26-35",A66&lt;=45,"36-45",A66&lt;=60,"46-60",A66&gt;60,"60+")</f>
        <v>18-25</v>
      </c>
      <c r="J66" t="str" cm="1">
        <f t="array" ref="J66">_xlfn.IFS(C66&lt;18.5,"Underweight",C66&lt;25,"Normal",C66&lt;30,"Overweight",C66&gt;=30,"Obese")</f>
        <v>Normal</v>
      </c>
      <c r="K66" t="str" cm="1">
        <f t="array" ref="K66">_xlfn.IFS(G66&lt;10000, "Low", G66&lt;=25000, "Medium", G66&gt;25000, "High")</f>
        <v>Low</v>
      </c>
    </row>
    <row r="67" spans="1:11" x14ac:dyDescent="0.3">
      <c r="A67">
        <v>18</v>
      </c>
      <c r="B67" s="1" t="s">
        <v>7</v>
      </c>
      <c r="C67">
        <v>21.09</v>
      </c>
      <c r="D67">
        <v>0</v>
      </c>
      <c r="E67" t="s">
        <v>10</v>
      </c>
      <c r="F67" t="s">
        <v>11</v>
      </c>
      <c r="G67" s="2">
        <v>1748.7739999999999</v>
      </c>
      <c r="H67" t="str" cm="1">
        <f t="array" ref="H67">_xlfn.IFS(A67&lt;=30, "Youth", A67&lt;=50, "Adult", A67&gt;50, "Older")</f>
        <v>Youth</v>
      </c>
      <c r="I67" t="str" cm="1">
        <f t="array" ref="I67">_xlfn.IFS(A67&lt;=25,"18-25",A67&lt;=35,"26-35",A67&lt;=45,"36-45",A67&lt;=60,"46-60",A67&gt;60,"60+")</f>
        <v>18-25</v>
      </c>
      <c r="J67" t="str" cm="1">
        <f t="array" ref="J67">_xlfn.IFS(C67&lt;18.5,"Underweight",C67&lt;25,"Normal",C67&lt;30,"Overweight",C67&gt;=30,"Obese")</f>
        <v>Normal</v>
      </c>
      <c r="K67" t="str" cm="1">
        <f t="array" ref="K67">_xlfn.IFS(G67&lt;10000, "Low", G67&lt;=25000, "Medium", G67&gt;25000, "High")</f>
        <v>Low</v>
      </c>
    </row>
    <row r="68" spans="1:11" x14ac:dyDescent="0.3">
      <c r="A68">
        <v>18</v>
      </c>
      <c r="B68" s="1" t="s">
        <v>7</v>
      </c>
      <c r="C68">
        <v>21.12</v>
      </c>
      <c r="D68">
        <v>0</v>
      </c>
      <c r="E68" t="s">
        <v>10</v>
      </c>
      <c r="F68" t="s">
        <v>11</v>
      </c>
      <c r="G68" s="2">
        <v>1759.338</v>
      </c>
      <c r="H68" t="str" cm="1">
        <f t="array" ref="H68">_xlfn.IFS(A68&lt;=30, "Youth", A68&lt;=50, "Adult", A68&gt;50, "Older")</f>
        <v>Youth</v>
      </c>
      <c r="I68" t="str" cm="1">
        <f t="array" ref="I68">_xlfn.IFS(A68&lt;=25,"18-25",A68&lt;=35,"26-35",A68&lt;=45,"36-45",A68&lt;=60,"46-60",A68&gt;60,"60+")</f>
        <v>18-25</v>
      </c>
      <c r="J68" t="str" cm="1">
        <f t="array" ref="J68">_xlfn.IFS(C68&lt;18.5,"Underweight",C68&lt;25,"Normal",C68&lt;30,"Overweight",C68&gt;=30,"Obese")</f>
        <v>Normal</v>
      </c>
      <c r="K68" t="str" cm="1">
        <f t="array" ref="K68">_xlfn.IFS(G68&lt;10000, "Low", G68&lt;=25000, "Medium", G68&gt;25000, "High")</f>
        <v>Low</v>
      </c>
    </row>
    <row r="69" spans="1:11" x14ac:dyDescent="0.3">
      <c r="A69">
        <v>18</v>
      </c>
      <c r="B69" s="1" t="s">
        <v>8</v>
      </c>
      <c r="C69">
        <v>21.28</v>
      </c>
      <c r="D69">
        <v>0</v>
      </c>
      <c r="E69" t="s">
        <v>10</v>
      </c>
      <c r="F69" t="s">
        <v>13</v>
      </c>
      <c r="G69" s="2">
        <v>1769.5316499999999</v>
      </c>
      <c r="H69" t="str" cm="1">
        <f t="array" ref="H69">_xlfn.IFS(A69&lt;=30, "Youth", A69&lt;=50, "Adult", A69&gt;50, "Older")</f>
        <v>Youth</v>
      </c>
      <c r="I69" t="str" cm="1">
        <f t="array" ref="I69">_xlfn.IFS(A69&lt;=25,"18-25",A69&lt;=35,"26-35",A69&lt;=45,"36-45",A69&lt;=60,"46-60",A69&gt;60,"60+")</f>
        <v>18-25</v>
      </c>
      <c r="J69" t="str" cm="1">
        <f t="array" ref="J69">_xlfn.IFS(C69&lt;18.5,"Underweight",C69&lt;25,"Normal",C69&lt;30,"Overweight",C69&gt;=30,"Obese")</f>
        <v>Normal</v>
      </c>
      <c r="K69" t="str" cm="1">
        <f t="array" ref="K69">_xlfn.IFS(G69&lt;10000, "Low", G69&lt;=25000, "Medium", G69&gt;25000, "High")</f>
        <v>Low</v>
      </c>
    </row>
    <row r="70" spans="1:11" x14ac:dyDescent="0.3">
      <c r="A70">
        <v>18</v>
      </c>
      <c r="B70" s="1" t="s">
        <v>7</v>
      </c>
      <c r="C70">
        <v>21.3</v>
      </c>
      <c r="D70">
        <v>0</v>
      </c>
      <c r="E70" t="s">
        <v>10</v>
      </c>
      <c r="F70" t="s">
        <v>12</v>
      </c>
      <c r="G70" s="2">
        <v>1815.8759</v>
      </c>
      <c r="H70" t="str" cm="1">
        <f t="array" ref="H70">_xlfn.IFS(A70&lt;=30, "Youth", A70&lt;=50, "Adult", A70&gt;50, "Older")</f>
        <v>Youth</v>
      </c>
      <c r="I70" t="str" cm="1">
        <f t="array" ref="I70">_xlfn.IFS(A70&lt;=25,"18-25",A70&lt;=35,"26-35",A70&lt;=45,"36-45",A70&lt;=60,"46-60",A70&gt;60,"60+")</f>
        <v>18-25</v>
      </c>
      <c r="J70" t="str" cm="1">
        <f t="array" ref="J70">_xlfn.IFS(C70&lt;18.5,"Underweight",C70&lt;25,"Normal",C70&lt;30,"Overweight",C70&gt;=30,"Obese")</f>
        <v>Normal</v>
      </c>
      <c r="K70" t="str" cm="1">
        <f t="array" ref="K70">_xlfn.IFS(G70&lt;10000, "Low", G70&lt;=25000, "Medium", G70&gt;25000, "High")</f>
        <v>Low</v>
      </c>
    </row>
    <row r="71" spans="1:11" x14ac:dyDescent="0.3">
      <c r="A71">
        <v>19</v>
      </c>
      <c r="B71" s="1" t="s">
        <v>8</v>
      </c>
      <c r="C71">
        <v>21.375</v>
      </c>
      <c r="D71">
        <v>0</v>
      </c>
      <c r="E71" t="s">
        <v>9</v>
      </c>
      <c r="F71" t="s">
        <v>12</v>
      </c>
      <c r="G71" s="2">
        <v>1824.2854</v>
      </c>
      <c r="H71" t="str" cm="1">
        <f t="array" ref="H71">_xlfn.IFS(A71&lt;=30, "Youth", A71&lt;=50, "Adult", A71&gt;50, "Older")</f>
        <v>Youth</v>
      </c>
      <c r="I71" t="str" cm="1">
        <f t="array" ref="I71">_xlfn.IFS(A71&lt;=25,"18-25",A71&lt;=35,"26-35",A71&lt;=45,"36-45",A71&lt;=60,"46-60",A71&gt;60,"60+")</f>
        <v>18-25</v>
      </c>
      <c r="J71" t="str" cm="1">
        <f t="array" ref="J71">_xlfn.IFS(C71&lt;18.5,"Underweight",C71&lt;25,"Normal",C71&lt;30,"Overweight",C71&gt;=30,"Obese")</f>
        <v>Normal</v>
      </c>
      <c r="K71" t="str" cm="1">
        <f t="array" ref="K71">_xlfn.IFS(G71&lt;10000, "Low", G71&lt;=25000, "Medium", G71&gt;25000, "High")</f>
        <v>Low</v>
      </c>
    </row>
    <row r="72" spans="1:11" x14ac:dyDescent="0.3">
      <c r="A72">
        <v>19</v>
      </c>
      <c r="B72" s="1" t="s">
        <v>7</v>
      </c>
      <c r="C72">
        <v>21.375</v>
      </c>
      <c r="D72">
        <v>0</v>
      </c>
      <c r="E72" t="s">
        <v>9</v>
      </c>
      <c r="F72" t="s">
        <v>12</v>
      </c>
      <c r="G72" s="2">
        <v>1826.8430000000001</v>
      </c>
      <c r="H72" t="str" cm="1">
        <f t="array" ref="H72">_xlfn.IFS(A72&lt;=30, "Youth", A72&lt;=50, "Adult", A72&gt;50, "Older")</f>
        <v>Youth</v>
      </c>
      <c r="I72" t="str" cm="1">
        <f t="array" ref="I72">_xlfn.IFS(A72&lt;=25,"18-25",A72&lt;=35,"26-35",A72&lt;=45,"36-45",A72&lt;=60,"46-60",A72&gt;60,"60+")</f>
        <v>18-25</v>
      </c>
      <c r="J72" t="str" cm="1">
        <f t="array" ref="J72">_xlfn.IFS(C72&lt;18.5,"Underweight",C72&lt;25,"Normal",C72&lt;30,"Overweight",C72&gt;=30,"Obese")</f>
        <v>Normal</v>
      </c>
      <c r="K72" t="str" cm="1">
        <f t="array" ref="K72">_xlfn.IFS(G72&lt;10000, "Low", G72&lt;=25000, "Medium", G72&gt;25000, "High")</f>
        <v>Low</v>
      </c>
    </row>
    <row r="73" spans="1:11" x14ac:dyDescent="0.3">
      <c r="A73">
        <v>19</v>
      </c>
      <c r="B73" s="1" t="s">
        <v>8</v>
      </c>
      <c r="C73">
        <v>21.4</v>
      </c>
      <c r="D73">
        <v>0</v>
      </c>
      <c r="E73" t="s">
        <v>10</v>
      </c>
      <c r="F73" t="s">
        <v>14</v>
      </c>
      <c r="G73" s="2">
        <v>1832.0940000000001</v>
      </c>
      <c r="H73" t="str" cm="1">
        <f t="array" ref="H73">_xlfn.IFS(A73&lt;=30, "Youth", A73&lt;=50, "Adult", A73&gt;50, "Older")</f>
        <v>Youth</v>
      </c>
      <c r="I73" t="str" cm="1">
        <f t="array" ref="I73">_xlfn.IFS(A73&lt;=25,"18-25",A73&lt;=35,"26-35",A73&lt;=45,"36-45",A73&lt;=60,"46-60",A73&gt;60,"60+")</f>
        <v>18-25</v>
      </c>
      <c r="J73" t="str" cm="1">
        <f t="array" ref="J73">_xlfn.IFS(C73&lt;18.5,"Underweight",C73&lt;25,"Normal",C73&lt;30,"Overweight",C73&gt;=30,"Obese")</f>
        <v>Normal</v>
      </c>
      <c r="K73" t="str" cm="1">
        <f t="array" ref="K73">_xlfn.IFS(G73&lt;10000, "Low", G73&lt;=25000, "Medium", G73&gt;25000, "High")</f>
        <v>Low</v>
      </c>
    </row>
    <row r="74" spans="1:11" x14ac:dyDescent="0.3">
      <c r="A74">
        <v>19</v>
      </c>
      <c r="B74" s="1" t="s">
        <v>7</v>
      </c>
      <c r="C74">
        <v>21.4</v>
      </c>
      <c r="D74">
        <v>0</v>
      </c>
      <c r="E74" t="s">
        <v>10</v>
      </c>
      <c r="F74" t="s">
        <v>11</v>
      </c>
      <c r="G74" s="2">
        <v>1837.2370000000001</v>
      </c>
      <c r="H74" t="str" cm="1">
        <f t="array" ref="H74">_xlfn.IFS(A74&lt;=30, "Youth", A74&lt;=50, "Adult", A74&gt;50, "Older")</f>
        <v>Youth</v>
      </c>
      <c r="I74" t="str" cm="1">
        <f t="array" ref="I74">_xlfn.IFS(A74&lt;=25,"18-25",A74&lt;=35,"26-35",A74&lt;=45,"36-45",A74&lt;=60,"46-60",A74&gt;60,"60+")</f>
        <v>18-25</v>
      </c>
      <c r="J74" t="str" cm="1">
        <f t="array" ref="J74">_xlfn.IFS(C74&lt;18.5,"Underweight",C74&lt;25,"Normal",C74&lt;30,"Overweight",C74&gt;=30,"Obese")</f>
        <v>Normal</v>
      </c>
      <c r="K74" t="str" cm="1">
        <f t="array" ref="K74">_xlfn.IFS(G74&lt;10000, "Low", G74&lt;=25000, "Medium", G74&gt;25000, "High")</f>
        <v>Low</v>
      </c>
    </row>
    <row r="75" spans="1:11" x14ac:dyDescent="0.3">
      <c r="A75">
        <v>19</v>
      </c>
      <c r="B75" s="1" t="s">
        <v>8</v>
      </c>
      <c r="C75">
        <v>21.47</v>
      </c>
      <c r="D75">
        <v>0</v>
      </c>
      <c r="E75" t="s">
        <v>10</v>
      </c>
      <c r="F75" t="s">
        <v>12</v>
      </c>
      <c r="G75" s="2">
        <v>1837.2819</v>
      </c>
      <c r="H75" t="str" cm="1">
        <f t="array" ref="H75">_xlfn.IFS(A75&lt;=30, "Youth", A75&lt;=50, "Adult", A75&gt;50, "Older")</f>
        <v>Youth</v>
      </c>
      <c r="I75" t="str" cm="1">
        <f t="array" ref="I75">_xlfn.IFS(A75&lt;=25,"18-25",A75&lt;=35,"26-35",A75&lt;=45,"36-45",A75&lt;=60,"46-60",A75&gt;60,"60+")</f>
        <v>18-25</v>
      </c>
      <c r="J75" t="str" cm="1">
        <f t="array" ref="J75">_xlfn.IFS(C75&lt;18.5,"Underweight",C75&lt;25,"Normal",C75&lt;30,"Overweight",C75&gt;=30,"Obese")</f>
        <v>Normal</v>
      </c>
      <c r="K75" t="str" cm="1">
        <f t="array" ref="K75">_xlfn.IFS(G75&lt;10000, "Low", G75&lt;=25000, "Medium", G75&gt;25000, "High")</f>
        <v>Low</v>
      </c>
    </row>
    <row r="76" spans="1:11" x14ac:dyDescent="0.3">
      <c r="A76">
        <v>19</v>
      </c>
      <c r="B76" s="1" t="s">
        <v>8</v>
      </c>
      <c r="C76">
        <v>21.47</v>
      </c>
      <c r="D76">
        <v>0</v>
      </c>
      <c r="E76" t="s">
        <v>10</v>
      </c>
      <c r="F76" t="s">
        <v>11</v>
      </c>
      <c r="G76" s="2">
        <v>1842.519</v>
      </c>
      <c r="H76" t="str" cm="1">
        <f t="array" ref="H76">_xlfn.IFS(A76&lt;=30, "Youth", A76&lt;=50, "Adult", A76&gt;50, "Older")</f>
        <v>Youth</v>
      </c>
      <c r="I76" t="str" cm="1">
        <f t="array" ref="I76">_xlfn.IFS(A76&lt;=25,"18-25",A76&lt;=35,"26-35",A76&lt;=45,"36-45",A76&lt;=60,"46-60",A76&gt;60,"60+")</f>
        <v>18-25</v>
      </c>
      <c r="J76" t="str" cm="1">
        <f t="array" ref="J76">_xlfn.IFS(C76&lt;18.5,"Underweight",C76&lt;25,"Normal",C76&lt;30,"Overweight",C76&gt;=30,"Obese")</f>
        <v>Normal</v>
      </c>
      <c r="K76" t="str" cm="1">
        <f t="array" ref="K76">_xlfn.IFS(G76&lt;10000, "Low", G76&lt;=25000, "Medium", G76&gt;25000, "High")</f>
        <v>Low</v>
      </c>
    </row>
    <row r="77" spans="1:11" x14ac:dyDescent="0.3">
      <c r="A77">
        <v>19</v>
      </c>
      <c r="B77" s="1" t="s">
        <v>8</v>
      </c>
      <c r="C77">
        <v>21.47</v>
      </c>
      <c r="D77">
        <v>0</v>
      </c>
      <c r="E77" t="s">
        <v>10</v>
      </c>
      <c r="F77" t="s">
        <v>13</v>
      </c>
      <c r="G77" s="2">
        <v>1875.3440000000001</v>
      </c>
      <c r="H77" t="str" cm="1">
        <f t="array" ref="H77">_xlfn.IFS(A77&lt;=30, "Youth", A77&lt;=50, "Adult", A77&gt;50, "Older")</f>
        <v>Youth</v>
      </c>
      <c r="I77" t="str" cm="1">
        <f t="array" ref="I77">_xlfn.IFS(A77&lt;=25,"18-25",A77&lt;=35,"26-35",A77&lt;=45,"36-45",A77&lt;=60,"46-60",A77&gt;60,"60+")</f>
        <v>18-25</v>
      </c>
      <c r="J77" t="str" cm="1">
        <f t="array" ref="J77">_xlfn.IFS(C77&lt;18.5,"Underweight",C77&lt;25,"Normal",C77&lt;30,"Overweight",C77&gt;=30,"Obese")</f>
        <v>Normal</v>
      </c>
      <c r="K77" t="str" cm="1">
        <f t="array" ref="K77">_xlfn.IFS(G77&lt;10000, "Low", G77&lt;=25000, "Medium", G77&gt;25000, "High")</f>
        <v>Low</v>
      </c>
    </row>
    <row r="78" spans="1:11" x14ac:dyDescent="0.3">
      <c r="A78">
        <v>19</v>
      </c>
      <c r="B78" s="1" t="s">
        <v>7</v>
      </c>
      <c r="C78">
        <v>21.5</v>
      </c>
      <c r="D78">
        <v>0</v>
      </c>
      <c r="E78" t="s">
        <v>10</v>
      </c>
      <c r="F78" t="s">
        <v>12</v>
      </c>
      <c r="G78" s="2">
        <v>1877.9294</v>
      </c>
      <c r="H78" t="str" cm="1">
        <f t="array" ref="H78">_xlfn.IFS(A78&lt;=30, "Youth", A78&lt;=50, "Adult", A78&gt;50, "Older")</f>
        <v>Youth</v>
      </c>
      <c r="I78" t="str" cm="1">
        <f t="array" ref="I78">_xlfn.IFS(A78&lt;=25,"18-25",A78&lt;=35,"26-35",A78&lt;=45,"36-45",A78&lt;=60,"46-60",A78&gt;60,"60+")</f>
        <v>18-25</v>
      </c>
      <c r="J78" t="str" cm="1">
        <f t="array" ref="J78">_xlfn.IFS(C78&lt;18.5,"Underweight",C78&lt;25,"Normal",C78&lt;30,"Overweight",C78&gt;=30,"Obese")</f>
        <v>Normal</v>
      </c>
      <c r="K78" t="str" cm="1">
        <f t="array" ref="K78">_xlfn.IFS(G78&lt;10000, "Low", G78&lt;=25000, "Medium", G78&gt;25000, "High")</f>
        <v>Low</v>
      </c>
    </row>
    <row r="79" spans="1:11" x14ac:dyDescent="0.3">
      <c r="A79">
        <v>19</v>
      </c>
      <c r="B79" s="1" t="s">
        <v>8</v>
      </c>
      <c r="C79">
        <v>21.56</v>
      </c>
      <c r="D79">
        <v>0</v>
      </c>
      <c r="E79" t="s">
        <v>10</v>
      </c>
      <c r="F79" t="s">
        <v>12</v>
      </c>
      <c r="G79" s="2">
        <v>1880.07</v>
      </c>
      <c r="H79" t="str" cm="1">
        <f t="array" ref="H79">_xlfn.IFS(A79&lt;=30, "Youth", A79&lt;=50, "Adult", A79&gt;50, "Older")</f>
        <v>Youth</v>
      </c>
      <c r="I79" t="str" cm="1">
        <f t="array" ref="I79">_xlfn.IFS(A79&lt;=25,"18-25",A79&lt;=35,"26-35",A79&lt;=45,"36-45",A79&lt;=60,"46-60",A79&gt;60,"60+")</f>
        <v>18-25</v>
      </c>
      <c r="J79" t="str" cm="1">
        <f t="array" ref="J79">_xlfn.IFS(C79&lt;18.5,"Underweight",C79&lt;25,"Normal",C79&lt;30,"Overweight",C79&gt;=30,"Obese")</f>
        <v>Normal</v>
      </c>
      <c r="K79" t="str" cm="1">
        <f t="array" ref="K79">_xlfn.IFS(G79&lt;10000, "Low", G79&lt;=25000, "Medium", G79&gt;25000, "High")</f>
        <v>Low</v>
      </c>
    </row>
    <row r="80" spans="1:11" x14ac:dyDescent="0.3">
      <c r="A80">
        <v>19</v>
      </c>
      <c r="B80" s="1" t="s">
        <v>7</v>
      </c>
      <c r="C80">
        <v>21.565000000000001</v>
      </c>
      <c r="D80">
        <v>0</v>
      </c>
      <c r="E80" t="s">
        <v>10</v>
      </c>
      <c r="F80" t="s">
        <v>14</v>
      </c>
      <c r="G80" s="2">
        <v>1880.4870000000001</v>
      </c>
      <c r="H80" t="str" cm="1">
        <f t="array" ref="H80">_xlfn.IFS(A80&lt;=30, "Youth", A80&lt;=50, "Adult", A80&gt;50, "Older")</f>
        <v>Youth</v>
      </c>
      <c r="I80" t="str" cm="1">
        <f t="array" ref="I80">_xlfn.IFS(A80&lt;=25,"18-25",A80&lt;=35,"26-35",A80&lt;=45,"36-45",A80&lt;=60,"46-60",A80&gt;60,"60+")</f>
        <v>18-25</v>
      </c>
      <c r="J80" t="str" cm="1">
        <f t="array" ref="J80">_xlfn.IFS(C80&lt;18.5,"Underweight",C80&lt;25,"Normal",C80&lt;30,"Overweight",C80&gt;=30,"Obese")</f>
        <v>Normal</v>
      </c>
      <c r="K80" t="str" cm="1">
        <f t="array" ref="K80">_xlfn.IFS(G80&lt;10000, "Low", G80&lt;=25000, "Medium", G80&gt;25000, "High")</f>
        <v>Low</v>
      </c>
    </row>
    <row r="81" spans="1:11" x14ac:dyDescent="0.3">
      <c r="A81">
        <v>19</v>
      </c>
      <c r="B81" s="1" t="s">
        <v>7</v>
      </c>
      <c r="C81">
        <v>21.66</v>
      </c>
      <c r="D81">
        <v>0</v>
      </c>
      <c r="E81" t="s">
        <v>10</v>
      </c>
      <c r="F81" t="s">
        <v>13</v>
      </c>
      <c r="G81" s="2">
        <v>1906.35825</v>
      </c>
      <c r="H81" t="str" cm="1">
        <f t="array" ref="H81">_xlfn.IFS(A81&lt;=30, "Youth", A81&lt;=50, "Adult", A81&gt;50, "Older")</f>
        <v>Youth</v>
      </c>
      <c r="I81" t="str" cm="1">
        <f t="array" ref="I81">_xlfn.IFS(A81&lt;=25,"18-25",A81&lt;=35,"26-35",A81&lt;=45,"36-45",A81&lt;=60,"46-60",A81&gt;60,"60+")</f>
        <v>18-25</v>
      </c>
      <c r="J81" t="str" cm="1">
        <f t="array" ref="J81">_xlfn.IFS(C81&lt;18.5,"Underweight",C81&lt;25,"Normal",C81&lt;30,"Overweight",C81&gt;=30,"Obese")</f>
        <v>Normal</v>
      </c>
      <c r="K81" t="str" cm="1">
        <f t="array" ref="K81">_xlfn.IFS(G81&lt;10000, "Low", G81&lt;=25000, "Medium", G81&gt;25000, "High")</f>
        <v>Low</v>
      </c>
    </row>
    <row r="82" spans="1:11" x14ac:dyDescent="0.3">
      <c r="A82">
        <v>19</v>
      </c>
      <c r="B82" s="1" t="s">
        <v>8</v>
      </c>
      <c r="C82">
        <v>21.66</v>
      </c>
      <c r="D82">
        <v>0</v>
      </c>
      <c r="E82" t="s">
        <v>10</v>
      </c>
      <c r="F82" t="s">
        <v>14</v>
      </c>
      <c r="G82" s="2">
        <v>1909.52745</v>
      </c>
      <c r="H82" t="str" cm="1">
        <f t="array" ref="H82">_xlfn.IFS(A82&lt;=30, "Youth", A82&lt;=50, "Adult", A82&gt;50, "Older")</f>
        <v>Youth</v>
      </c>
      <c r="I82" t="str" cm="1">
        <f t="array" ref="I82">_xlfn.IFS(A82&lt;=25,"18-25",A82&lt;=35,"26-35",A82&lt;=45,"36-45",A82&lt;=60,"46-60",A82&gt;60,"60+")</f>
        <v>18-25</v>
      </c>
      <c r="J82" t="str" cm="1">
        <f t="array" ref="J82">_xlfn.IFS(C82&lt;18.5,"Underweight",C82&lt;25,"Normal",C82&lt;30,"Overweight",C82&gt;=30,"Obese")</f>
        <v>Normal</v>
      </c>
      <c r="K82" t="str" cm="1">
        <f t="array" ref="K82">_xlfn.IFS(G82&lt;10000, "Low", G82&lt;=25000, "Medium", G82&gt;25000, "High")</f>
        <v>Low</v>
      </c>
    </row>
    <row r="83" spans="1:11" x14ac:dyDescent="0.3">
      <c r="A83">
        <v>19</v>
      </c>
      <c r="B83" s="1" t="s">
        <v>7</v>
      </c>
      <c r="C83">
        <v>21.66</v>
      </c>
      <c r="D83">
        <v>0</v>
      </c>
      <c r="E83" t="s">
        <v>10</v>
      </c>
      <c r="F83" t="s">
        <v>14</v>
      </c>
      <c r="G83" s="2">
        <v>1917.3184000000001</v>
      </c>
      <c r="H83" t="str" cm="1">
        <f t="array" ref="H83">_xlfn.IFS(A83&lt;=30, "Youth", A83&lt;=50, "Adult", A83&gt;50, "Older")</f>
        <v>Youth</v>
      </c>
      <c r="I83" t="str" cm="1">
        <f t="array" ref="I83">_xlfn.IFS(A83&lt;=25,"18-25",A83&lt;=35,"26-35",A83&lt;=45,"36-45",A83&lt;=60,"46-60",A83&gt;60,"60+")</f>
        <v>18-25</v>
      </c>
      <c r="J83" t="str" cm="1">
        <f t="array" ref="J83">_xlfn.IFS(C83&lt;18.5,"Underweight",C83&lt;25,"Normal",C83&lt;30,"Overweight",C83&gt;=30,"Obese")</f>
        <v>Normal</v>
      </c>
      <c r="K83" t="str" cm="1">
        <f t="array" ref="K83">_xlfn.IFS(G83&lt;10000, "Low", G83&lt;=25000, "Medium", G83&gt;25000, "High")</f>
        <v>Low</v>
      </c>
    </row>
    <row r="84" spans="1:11" x14ac:dyDescent="0.3">
      <c r="A84">
        <v>19</v>
      </c>
      <c r="B84" s="1" t="s">
        <v>8</v>
      </c>
      <c r="C84">
        <v>21.7</v>
      </c>
      <c r="D84">
        <v>0</v>
      </c>
      <c r="E84" t="s">
        <v>9</v>
      </c>
      <c r="F84" t="s">
        <v>12</v>
      </c>
      <c r="G84" s="2">
        <v>1964.78</v>
      </c>
      <c r="H84" t="str" cm="1">
        <f t="array" ref="H84">_xlfn.IFS(A84&lt;=30, "Youth", A84&lt;=50, "Adult", A84&gt;50, "Older")</f>
        <v>Youth</v>
      </c>
      <c r="I84" t="str" cm="1">
        <f t="array" ref="I84">_xlfn.IFS(A84&lt;=25,"18-25",A84&lt;=35,"26-35",A84&lt;=45,"36-45",A84&lt;=60,"46-60",A84&gt;60,"60+")</f>
        <v>18-25</v>
      </c>
      <c r="J84" t="str" cm="1">
        <f t="array" ref="J84">_xlfn.IFS(C84&lt;18.5,"Underweight",C84&lt;25,"Normal",C84&lt;30,"Overweight",C84&gt;=30,"Obese")</f>
        <v>Normal</v>
      </c>
      <c r="K84" t="str" cm="1">
        <f t="array" ref="K84">_xlfn.IFS(G84&lt;10000, "Low", G84&lt;=25000, "Medium", G84&gt;25000, "High")</f>
        <v>Low</v>
      </c>
    </row>
    <row r="85" spans="1:11" x14ac:dyDescent="0.3">
      <c r="A85">
        <v>19</v>
      </c>
      <c r="B85" s="1" t="s">
        <v>7</v>
      </c>
      <c r="C85">
        <v>21.754999999999999</v>
      </c>
      <c r="D85">
        <v>0</v>
      </c>
      <c r="E85" t="s">
        <v>10</v>
      </c>
      <c r="F85" t="s">
        <v>13</v>
      </c>
      <c r="G85" s="2">
        <v>1967.0227</v>
      </c>
      <c r="H85" t="str" cm="1">
        <f t="array" ref="H85">_xlfn.IFS(A85&lt;=30, "Youth", A85&lt;=50, "Adult", A85&gt;50, "Older")</f>
        <v>Youth</v>
      </c>
      <c r="I85" t="str" cm="1">
        <f t="array" ref="I85">_xlfn.IFS(A85&lt;=25,"18-25",A85&lt;=35,"26-35",A85&lt;=45,"36-45",A85&lt;=60,"46-60",A85&gt;60,"60+")</f>
        <v>18-25</v>
      </c>
      <c r="J85" t="str" cm="1">
        <f t="array" ref="J85">_xlfn.IFS(C85&lt;18.5,"Underweight",C85&lt;25,"Normal",C85&lt;30,"Overweight",C85&gt;=30,"Obese")</f>
        <v>Normal</v>
      </c>
      <c r="K85" t="str" cm="1">
        <f t="array" ref="K85">_xlfn.IFS(G85&lt;10000, "Low", G85&lt;=25000, "Medium", G85&gt;25000, "High")</f>
        <v>Low</v>
      </c>
    </row>
    <row r="86" spans="1:11" x14ac:dyDescent="0.3">
      <c r="A86">
        <v>19</v>
      </c>
      <c r="B86" s="1" t="s">
        <v>7</v>
      </c>
      <c r="C86">
        <v>21.754999999999999</v>
      </c>
      <c r="D86">
        <v>0</v>
      </c>
      <c r="E86" t="s">
        <v>9</v>
      </c>
      <c r="F86" t="s">
        <v>11</v>
      </c>
      <c r="G86" s="2">
        <v>1969.614</v>
      </c>
      <c r="H86" t="str" cm="1">
        <f t="array" ref="H86">_xlfn.IFS(A86&lt;=30, "Youth", A86&lt;=50, "Adult", A86&gt;50, "Older")</f>
        <v>Youth</v>
      </c>
      <c r="I86" t="str" cm="1">
        <f t="array" ref="I86">_xlfn.IFS(A86&lt;=25,"18-25",A86&lt;=35,"26-35",A86&lt;=45,"36-45",A86&lt;=60,"46-60",A86&gt;60,"60+")</f>
        <v>18-25</v>
      </c>
      <c r="J86" t="str" cm="1">
        <f t="array" ref="J86">_xlfn.IFS(C86&lt;18.5,"Underweight",C86&lt;25,"Normal",C86&lt;30,"Overweight",C86&gt;=30,"Obese")</f>
        <v>Normal</v>
      </c>
      <c r="K86" t="str" cm="1">
        <f t="array" ref="K86">_xlfn.IFS(G86&lt;10000, "Low", G86&lt;=25000, "Medium", G86&gt;25000, "High")</f>
        <v>Low</v>
      </c>
    </row>
    <row r="87" spans="1:11" x14ac:dyDescent="0.3">
      <c r="A87">
        <v>19</v>
      </c>
      <c r="B87" s="1" t="s">
        <v>8</v>
      </c>
      <c r="C87">
        <v>21.754999999999999</v>
      </c>
      <c r="D87">
        <v>0</v>
      </c>
      <c r="E87" t="s">
        <v>9</v>
      </c>
      <c r="F87" t="s">
        <v>13</v>
      </c>
      <c r="G87" s="2">
        <v>1972.95</v>
      </c>
      <c r="H87" t="str" cm="1">
        <f t="array" ref="H87">_xlfn.IFS(A87&lt;=30, "Youth", A87&lt;=50, "Adult", A87&gt;50, "Older")</f>
        <v>Youth</v>
      </c>
      <c r="I87" t="str" cm="1">
        <f t="array" ref="I87">_xlfn.IFS(A87&lt;=25,"18-25",A87&lt;=35,"26-35",A87&lt;=45,"36-45",A87&lt;=60,"46-60",A87&gt;60,"60+")</f>
        <v>18-25</v>
      </c>
      <c r="J87" t="str" cm="1">
        <f t="array" ref="J87">_xlfn.IFS(C87&lt;18.5,"Underweight",C87&lt;25,"Normal",C87&lt;30,"Overweight",C87&gt;=30,"Obese")</f>
        <v>Normal</v>
      </c>
      <c r="K87" t="str" cm="1">
        <f t="array" ref="K87">_xlfn.IFS(G87&lt;10000, "Low", G87&lt;=25000, "Medium", G87&gt;25000, "High")</f>
        <v>Low</v>
      </c>
    </row>
    <row r="88" spans="1:11" x14ac:dyDescent="0.3">
      <c r="A88">
        <v>19</v>
      </c>
      <c r="B88" s="1" t="s">
        <v>7</v>
      </c>
      <c r="C88">
        <v>21.754999999999999</v>
      </c>
      <c r="D88">
        <v>0</v>
      </c>
      <c r="E88" t="s">
        <v>9</v>
      </c>
      <c r="F88" t="s">
        <v>13</v>
      </c>
      <c r="G88" s="2">
        <v>1977.8150000000001</v>
      </c>
      <c r="H88" t="str" cm="1">
        <f t="array" ref="H88">_xlfn.IFS(A88&lt;=30, "Youth", A88&lt;=50, "Adult", A88&gt;50, "Older")</f>
        <v>Youth</v>
      </c>
      <c r="I88" t="str" cm="1">
        <f t="array" ref="I88">_xlfn.IFS(A88&lt;=25,"18-25",A88&lt;=35,"26-35",A88&lt;=45,"36-45",A88&lt;=60,"46-60",A88&gt;60,"60+")</f>
        <v>18-25</v>
      </c>
      <c r="J88" t="str" cm="1">
        <f t="array" ref="J88">_xlfn.IFS(C88&lt;18.5,"Underweight",C88&lt;25,"Normal",C88&lt;30,"Overweight",C88&gt;=30,"Obese")</f>
        <v>Normal</v>
      </c>
      <c r="K88" t="str" cm="1">
        <f t="array" ref="K88">_xlfn.IFS(G88&lt;10000, "Low", G88&lt;=25000, "Medium", G88&gt;25000, "High")</f>
        <v>Low</v>
      </c>
    </row>
    <row r="89" spans="1:11" x14ac:dyDescent="0.3">
      <c r="A89">
        <v>19</v>
      </c>
      <c r="B89" s="1" t="s">
        <v>7</v>
      </c>
      <c r="C89">
        <v>21.78</v>
      </c>
      <c r="D89">
        <v>0</v>
      </c>
      <c r="E89" t="s">
        <v>10</v>
      </c>
      <c r="F89" t="s">
        <v>11</v>
      </c>
      <c r="G89" s="2">
        <v>1980.07</v>
      </c>
      <c r="H89" t="str" cm="1">
        <f t="array" ref="H89">_xlfn.IFS(A89&lt;=30, "Youth", A89&lt;=50, "Adult", A89&gt;50, "Older")</f>
        <v>Youth</v>
      </c>
      <c r="I89" t="str" cm="1">
        <f t="array" ref="I89">_xlfn.IFS(A89&lt;=25,"18-25",A89&lt;=35,"26-35",A89&lt;=45,"36-45",A89&lt;=60,"46-60",A89&gt;60,"60+")</f>
        <v>18-25</v>
      </c>
      <c r="J89" t="str" cm="1">
        <f t="array" ref="J89">_xlfn.IFS(C89&lt;18.5,"Underweight",C89&lt;25,"Normal",C89&lt;30,"Overweight",C89&gt;=30,"Obese")</f>
        <v>Normal</v>
      </c>
      <c r="K89" t="str" cm="1">
        <f t="array" ref="K89">_xlfn.IFS(G89&lt;10000, "Low", G89&lt;=25000, "Medium", G89&gt;25000, "High")</f>
        <v>Low</v>
      </c>
    </row>
    <row r="90" spans="1:11" x14ac:dyDescent="0.3">
      <c r="A90">
        <v>19</v>
      </c>
      <c r="B90" s="1" t="s">
        <v>7</v>
      </c>
      <c r="C90">
        <v>21.78</v>
      </c>
      <c r="D90">
        <v>0</v>
      </c>
      <c r="E90" t="s">
        <v>10</v>
      </c>
      <c r="F90" t="s">
        <v>13</v>
      </c>
      <c r="G90" s="2">
        <v>1981.5818999999999</v>
      </c>
      <c r="H90" t="str" cm="1">
        <f t="array" ref="H90">_xlfn.IFS(A90&lt;=30, "Youth", A90&lt;=50, "Adult", A90&gt;50, "Older")</f>
        <v>Youth</v>
      </c>
      <c r="I90" t="str" cm="1">
        <f t="array" ref="I90">_xlfn.IFS(A90&lt;=25,"18-25",A90&lt;=35,"26-35",A90&lt;=45,"36-45",A90&lt;=60,"46-60",A90&gt;60,"60+")</f>
        <v>18-25</v>
      </c>
      <c r="J90" t="str" cm="1">
        <f t="array" ref="J90">_xlfn.IFS(C90&lt;18.5,"Underweight",C90&lt;25,"Normal",C90&lt;30,"Overweight",C90&gt;=30,"Obese")</f>
        <v>Normal</v>
      </c>
      <c r="K90" t="str" cm="1">
        <f t="array" ref="K90">_xlfn.IFS(G90&lt;10000, "Low", G90&lt;=25000, "Medium", G90&gt;25000, "High")</f>
        <v>Low</v>
      </c>
    </row>
    <row r="91" spans="1:11" x14ac:dyDescent="0.3">
      <c r="A91">
        <v>19</v>
      </c>
      <c r="B91" s="1" t="s">
        <v>7</v>
      </c>
      <c r="C91">
        <v>21.8</v>
      </c>
      <c r="D91">
        <v>0</v>
      </c>
      <c r="E91" t="s">
        <v>10</v>
      </c>
      <c r="F91" t="s">
        <v>13</v>
      </c>
      <c r="G91" s="2">
        <v>1984.4532999999999</v>
      </c>
      <c r="H91" t="str" cm="1">
        <f t="array" ref="H91">_xlfn.IFS(A91&lt;=30, "Youth", A91&lt;=50, "Adult", A91&gt;50, "Older")</f>
        <v>Youth</v>
      </c>
      <c r="I91" t="str" cm="1">
        <f t="array" ref="I91">_xlfn.IFS(A91&lt;=25,"18-25",A91&lt;=35,"26-35",A91&lt;=45,"36-45",A91&lt;=60,"46-60",A91&gt;60,"60+")</f>
        <v>18-25</v>
      </c>
      <c r="J91" t="str" cm="1">
        <f t="array" ref="J91">_xlfn.IFS(C91&lt;18.5,"Underweight",C91&lt;25,"Normal",C91&lt;30,"Overweight",C91&gt;=30,"Obese")</f>
        <v>Normal</v>
      </c>
      <c r="K91" t="str" cm="1">
        <f t="array" ref="K91">_xlfn.IFS(G91&lt;10000, "Low", G91&lt;=25000, "Medium", G91&gt;25000, "High")</f>
        <v>Low</v>
      </c>
    </row>
    <row r="92" spans="1:11" x14ac:dyDescent="0.3">
      <c r="A92">
        <v>19</v>
      </c>
      <c r="B92" s="1" t="s">
        <v>7</v>
      </c>
      <c r="C92">
        <v>21.85</v>
      </c>
      <c r="D92">
        <v>0</v>
      </c>
      <c r="E92" t="s">
        <v>10</v>
      </c>
      <c r="F92" t="s">
        <v>12</v>
      </c>
      <c r="G92" s="2">
        <v>1986.9333999999999</v>
      </c>
      <c r="H92" t="str" cm="1">
        <f t="array" ref="H92">_xlfn.IFS(A92&lt;=30, "Youth", A92&lt;=50, "Adult", A92&gt;50, "Older")</f>
        <v>Youth</v>
      </c>
      <c r="I92" t="str" cm="1">
        <f t="array" ref="I92">_xlfn.IFS(A92&lt;=25,"18-25",A92&lt;=35,"26-35",A92&lt;=45,"36-45",A92&lt;=60,"46-60",A92&gt;60,"60+")</f>
        <v>18-25</v>
      </c>
      <c r="J92" t="str" cm="1">
        <f t="array" ref="J92">_xlfn.IFS(C92&lt;18.5,"Underweight",C92&lt;25,"Normal",C92&lt;30,"Overweight",C92&gt;=30,"Obese")</f>
        <v>Normal</v>
      </c>
      <c r="K92" t="str" cm="1">
        <f t="array" ref="K92">_xlfn.IFS(G92&lt;10000, "Low", G92&lt;=25000, "Medium", G92&gt;25000, "High")</f>
        <v>Low</v>
      </c>
    </row>
    <row r="93" spans="1:11" x14ac:dyDescent="0.3">
      <c r="A93">
        <v>19</v>
      </c>
      <c r="B93" s="1" t="s">
        <v>7</v>
      </c>
      <c r="C93">
        <v>21.85</v>
      </c>
      <c r="D93">
        <v>0</v>
      </c>
      <c r="E93" t="s">
        <v>10</v>
      </c>
      <c r="F93" t="s">
        <v>13</v>
      </c>
      <c r="G93" s="2">
        <v>2007.9449999999999</v>
      </c>
      <c r="H93" t="str" cm="1">
        <f t="array" ref="H93">_xlfn.IFS(A93&lt;=30, "Youth", A93&lt;=50, "Adult", A93&gt;50, "Older")</f>
        <v>Youth</v>
      </c>
      <c r="I93" t="str" cm="1">
        <f t="array" ref="I93">_xlfn.IFS(A93&lt;=25,"18-25",A93&lt;=35,"26-35",A93&lt;=45,"36-45",A93&lt;=60,"46-60",A93&gt;60,"60+")</f>
        <v>18-25</v>
      </c>
      <c r="J93" t="str" cm="1">
        <f t="array" ref="J93">_xlfn.IFS(C93&lt;18.5,"Underweight",C93&lt;25,"Normal",C93&lt;30,"Overweight",C93&gt;=30,"Obese")</f>
        <v>Normal</v>
      </c>
      <c r="K93" t="str" cm="1">
        <f t="array" ref="K93">_xlfn.IFS(G93&lt;10000, "Low", G93&lt;=25000, "Medium", G93&gt;25000, "High")</f>
        <v>Low</v>
      </c>
    </row>
    <row r="94" spans="1:11" x14ac:dyDescent="0.3">
      <c r="A94">
        <v>19</v>
      </c>
      <c r="B94" s="1" t="s">
        <v>8</v>
      </c>
      <c r="C94">
        <v>21.85</v>
      </c>
      <c r="D94">
        <v>0</v>
      </c>
      <c r="E94" t="s">
        <v>9</v>
      </c>
      <c r="F94" t="s">
        <v>14</v>
      </c>
      <c r="G94" s="2">
        <v>2020.1769999999999</v>
      </c>
      <c r="H94" t="str" cm="1">
        <f t="array" ref="H94">_xlfn.IFS(A94&lt;=30, "Youth", A94&lt;=50, "Adult", A94&gt;50, "Older")</f>
        <v>Youth</v>
      </c>
      <c r="I94" t="str" cm="1">
        <f t="array" ref="I94">_xlfn.IFS(A94&lt;=25,"18-25",A94&lt;=35,"26-35",A94&lt;=45,"36-45",A94&lt;=60,"46-60",A94&gt;60,"60+")</f>
        <v>18-25</v>
      </c>
      <c r="J94" t="str" cm="1">
        <f t="array" ref="J94">_xlfn.IFS(C94&lt;18.5,"Underweight",C94&lt;25,"Normal",C94&lt;30,"Overweight",C94&gt;=30,"Obese")</f>
        <v>Normal</v>
      </c>
      <c r="K94" t="str" cm="1">
        <f t="array" ref="K94">_xlfn.IFS(G94&lt;10000, "Low", G94&lt;=25000, "Medium", G94&gt;25000, "High")</f>
        <v>Low</v>
      </c>
    </row>
    <row r="95" spans="1:11" x14ac:dyDescent="0.3">
      <c r="A95">
        <v>19</v>
      </c>
      <c r="B95" s="1" t="s">
        <v>8</v>
      </c>
      <c r="C95">
        <v>21.85</v>
      </c>
      <c r="D95">
        <v>0</v>
      </c>
      <c r="E95" t="s">
        <v>10</v>
      </c>
      <c r="F95" t="s">
        <v>13</v>
      </c>
      <c r="G95" s="2">
        <v>2020.5523000000001</v>
      </c>
      <c r="H95" t="str" cm="1">
        <f t="array" ref="H95">_xlfn.IFS(A95&lt;=30, "Youth", A95&lt;=50, "Adult", A95&gt;50, "Older")</f>
        <v>Youth</v>
      </c>
      <c r="I95" t="str" cm="1">
        <f t="array" ref="I95">_xlfn.IFS(A95&lt;=25,"18-25",A95&lt;=35,"26-35",A95&lt;=45,"36-45",A95&lt;=60,"46-60",A95&gt;60,"60+")</f>
        <v>18-25</v>
      </c>
      <c r="J95" t="str" cm="1">
        <f t="array" ref="J95">_xlfn.IFS(C95&lt;18.5,"Underweight",C95&lt;25,"Normal",C95&lt;30,"Overweight",C95&gt;=30,"Obese")</f>
        <v>Normal</v>
      </c>
      <c r="K95" t="str" cm="1">
        <f t="array" ref="K95">_xlfn.IFS(G95&lt;10000, "Low", G95&lt;=25000, "Medium", G95&gt;25000, "High")</f>
        <v>Low</v>
      </c>
    </row>
    <row r="96" spans="1:11" x14ac:dyDescent="0.3">
      <c r="A96">
        <v>19</v>
      </c>
      <c r="B96" s="1" t="s">
        <v>7</v>
      </c>
      <c r="C96">
        <v>21.89</v>
      </c>
      <c r="D96">
        <v>0</v>
      </c>
      <c r="E96" t="s">
        <v>9</v>
      </c>
      <c r="F96" t="s">
        <v>11</v>
      </c>
      <c r="G96" s="2">
        <v>2026.9740999999999</v>
      </c>
      <c r="H96" t="str" cm="1">
        <f t="array" ref="H96">_xlfn.IFS(A96&lt;=30, "Youth", A96&lt;=50, "Adult", A96&gt;50, "Older")</f>
        <v>Youth</v>
      </c>
      <c r="I96" t="str" cm="1">
        <f t="array" ref="I96">_xlfn.IFS(A96&lt;=25,"18-25",A96&lt;=35,"26-35",A96&lt;=45,"36-45",A96&lt;=60,"46-60",A96&gt;60,"60+")</f>
        <v>18-25</v>
      </c>
      <c r="J96" t="str" cm="1">
        <f t="array" ref="J96">_xlfn.IFS(C96&lt;18.5,"Underweight",C96&lt;25,"Normal",C96&lt;30,"Overweight",C96&gt;=30,"Obese")</f>
        <v>Normal</v>
      </c>
      <c r="K96" t="str" cm="1">
        <f t="array" ref="K96">_xlfn.IFS(G96&lt;10000, "Low", G96&lt;=25000, "Medium", G96&gt;25000, "High")</f>
        <v>Low</v>
      </c>
    </row>
    <row r="97" spans="1:11" x14ac:dyDescent="0.3">
      <c r="A97">
        <v>19</v>
      </c>
      <c r="B97" s="1" t="s">
        <v>7</v>
      </c>
      <c r="C97">
        <v>21.945</v>
      </c>
      <c r="D97">
        <v>0</v>
      </c>
      <c r="E97" t="s">
        <v>10</v>
      </c>
      <c r="F97" t="s">
        <v>12</v>
      </c>
      <c r="G97" s="2">
        <v>2045.68525</v>
      </c>
      <c r="H97" t="str" cm="1">
        <f t="array" ref="H97">_xlfn.IFS(A97&lt;=30, "Youth", A97&lt;=50, "Adult", A97&gt;50, "Older")</f>
        <v>Youth</v>
      </c>
      <c r="I97" t="str" cm="1">
        <f t="array" ref="I97">_xlfn.IFS(A97&lt;=25,"18-25",A97&lt;=35,"26-35",A97&lt;=45,"36-45",A97&lt;=60,"46-60",A97&gt;60,"60+")</f>
        <v>18-25</v>
      </c>
      <c r="J97" t="str" cm="1">
        <f t="array" ref="J97">_xlfn.IFS(C97&lt;18.5,"Underweight",C97&lt;25,"Normal",C97&lt;30,"Overweight",C97&gt;=30,"Obese")</f>
        <v>Normal</v>
      </c>
      <c r="K97" t="str" cm="1">
        <f t="array" ref="K97">_xlfn.IFS(G97&lt;10000, "Low", G97&lt;=25000, "Medium", G97&gt;25000, "High")</f>
        <v>Low</v>
      </c>
    </row>
    <row r="98" spans="1:11" x14ac:dyDescent="0.3">
      <c r="A98">
        <v>19</v>
      </c>
      <c r="B98" s="1" t="s">
        <v>7</v>
      </c>
      <c r="C98">
        <v>22</v>
      </c>
      <c r="D98">
        <v>0</v>
      </c>
      <c r="E98" t="s">
        <v>10</v>
      </c>
      <c r="F98" t="s">
        <v>11</v>
      </c>
      <c r="G98" s="2">
        <v>2055.3249000000001</v>
      </c>
      <c r="H98" t="str" cm="1">
        <f t="array" ref="H98">_xlfn.IFS(A98&lt;=30, "Youth", A98&lt;=50, "Adult", A98&gt;50, "Older")</f>
        <v>Youth</v>
      </c>
      <c r="I98" t="str" cm="1">
        <f t="array" ref="I98">_xlfn.IFS(A98&lt;=25,"18-25",A98&lt;=35,"26-35",A98&lt;=45,"36-45",A98&lt;=60,"46-60",A98&gt;60,"60+")</f>
        <v>18-25</v>
      </c>
      <c r="J98" t="str" cm="1">
        <f t="array" ref="J98">_xlfn.IFS(C98&lt;18.5,"Underweight",C98&lt;25,"Normal",C98&lt;30,"Overweight",C98&gt;=30,"Obese")</f>
        <v>Normal</v>
      </c>
      <c r="K98" t="str" cm="1">
        <f t="array" ref="K98">_xlfn.IFS(G98&lt;10000, "Low", G98&lt;=25000, "Medium", G98&gt;25000, "High")</f>
        <v>Low</v>
      </c>
    </row>
    <row r="99" spans="1:11" x14ac:dyDescent="0.3">
      <c r="A99">
        <v>19</v>
      </c>
      <c r="B99" s="1" t="s">
        <v>8</v>
      </c>
      <c r="C99">
        <v>22.04</v>
      </c>
      <c r="D99">
        <v>0</v>
      </c>
      <c r="E99" t="s">
        <v>10</v>
      </c>
      <c r="F99" t="s">
        <v>12</v>
      </c>
      <c r="G99" s="2">
        <v>2102.2647000000002</v>
      </c>
      <c r="H99" t="str" cm="1">
        <f t="array" ref="H99">_xlfn.IFS(A99&lt;=30, "Youth", A99&lt;=50, "Adult", A99&gt;50, "Older")</f>
        <v>Youth</v>
      </c>
      <c r="I99" t="str" cm="1">
        <f t="array" ref="I99">_xlfn.IFS(A99&lt;=25,"18-25",A99&lt;=35,"26-35",A99&lt;=45,"36-45",A99&lt;=60,"46-60",A99&gt;60,"60+")</f>
        <v>18-25</v>
      </c>
      <c r="J99" t="str" cm="1">
        <f t="array" ref="J99">_xlfn.IFS(C99&lt;18.5,"Underweight",C99&lt;25,"Normal",C99&lt;30,"Overweight",C99&gt;=30,"Obese")</f>
        <v>Normal</v>
      </c>
      <c r="K99" t="str" cm="1">
        <f t="array" ref="K99">_xlfn.IFS(G99&lt;10000, "Low", G99&lt;=25000, "Medium", G99&gt;25000, "High")</f>
        <v>Low</v>
      </c>
    </row>
    <row r="100" spans="1:11" x14ac:dyDescent="0.3">
      <c r="A100">
        <v>19</v>
      </c>
      <c r="B100" s="1" t="s">
        <v>8</v>
      </c>
      <c r="C100">
        <v>22.1</v>
      </c>
      <c r="D100">
        <v>0</v>
      </c>
      <c r="E100" t="s">
        <v>9</v>
      </c>
      <c r="F100" t="s">
        <v>14</v>
      </c>
      <c r="G100" s="2">
        <v>2103.08</v>
      </c>
      <c r="H100" t="str" cm="1">
        <f t="array" ref="H100">_xlfn.IFS(A100&lt;=30, "Youth", A100&lt;=50, "Adult", A100&gt;50, "Older")</f>
        <v>Youth</v>
      </c>
      <c r="I100" t="str" cm="1">
        <f t="array" ref="I100">_xlfn.IFS(A100&lt;=25,"18-25",A100&lt;=35,"26-35",A100&lt;=45,"36-45",A100&lt;=60,"46-60",A100&gt;60,"60+")</f>
        <v>18-25</v>
      </c>
      <c r="J100" t="str" cm="1">
        <f t="array" ref="J100">_xlfn.IFS(C100&lt;18.5,"Underweight",C100&lt;25,"Normal",C100&lt;30,"Overweight",C100&gt;=30,"Obese")</f>
        <v>Normal</v>
      </c>
      <c r="K100" t="str" cm="1">
        <f t="array" ref="K100">_xlfn.IFS(G100&lt;10000, "Low", G100&lt;=25000, "Medium", G100&gt;25000, "High")</f>
        <v>Low</v>
      </c>
    </row>
    <row r="101" spans="1:11" x14ac:dyDescent="0.3">
      <c r="A101">
        <v>19</v>
      </c>
      <c r="B101" s="1" t="s">
        <v>8</v>
      </c>
      <c r="C101">
        <v>22.135000000000002</v>
      </c>
      <c r="D101">
        <v>0</v>
      </c>
      <c r="E101" t="s">
        <v>9</v>
      </c>
      <c r="F101" t="s">
        <v>11</v>
      </c>
      <c r="G101" s="2">
        <v>2104.1134000000002</v>
      </c>
      <c r="H101" t="str" cm="1">
        <f t="array" ref="H101">_xlfn.IFS(A101&lt;=30, "Youth", A101&lt;=50, "Adult", A101&gt;50, "Older")</f>
        <v>Youth</v>
      </c>
      <c r="I101" t="str" cm="1">
        <f t="array" ref="I101">_xlfn.IFS(A101&lt;=25,"18-25",A101&lt;=35,"26-35",A101&lt;=45,"36-45",A101&lt;=60,"46-60",A101&gt;60,"60+")</f>
        <v>18-25</v>
      </c>
      <c r="J101" t="str" cm="1">
        <f t="array" ref="J101">_xlfn.IFS(C101&lt;18.5,"Underweight",C101&lt;25,"Normal",C101&lt;30,"Overweight",C101&gt;=30,"Obese")</f>
        <v>Normal</v>
      </c>
      <c r="K101" t="str" cm="1">
        <f t="array" ref="K101">_xlfn.IFS(G101&lt;10000, "Low", G101&lt;=25000, "Medium", G101&gt;25000, "High")</f>
        <v>Low</v>
      </c>
    </row>
    <row r="102" spans="1:11" x14ac:dyDescent="0.3">
      <c r="A102">
        <v>19</v>
      </c>
      <c r="B102" s="1" t="s">
        <v>7</v>
      </c>
      <c r="C102">
        <v>22.135000000000002</v>
      </c>
      <c r="D102">
        <v>0</v>
      </c>
      <c r="E102" t="s">
        <v>10</v>
      </c>
      <c r="F102" t="s">
        <v>11</v>
      </c>
      <c r="G102" s="2">
        <v>2117.3388500000001</v>
      </c>
      <c r="H102" t="str" cm="1">
        <f t="array" ref="H102">_xlfn.IFS(A102&lt;=30, "Youth", A102&lt;=50, "Adult", A102&gt;50, "Older")</f>
        <v>Youth</v>
      </c>
      <c r="I102" t="str" cm="1">
        <f t="array" ref="I102">_xlfn.IFS(A102&lt;=25,"18-25",A102&lt;=35,"26-35",A102&lt;=45,"36-45",A102&lt;=60,"46-60",A102&gt;60,"60+")</f>
        <v>18-25</v>
      </c>
      <c r="J102" t="str" cm="1">
        <f t="array" ref="J102">_xlfn.IFS(C102&lt;18.5,"Underweight",C102&lt;25,"Normal",C102&lt;30,"Overweight",C102&gt;=30,"Obese")</f>
        <v>Normal</v>
      </c>
      <c r="K102" t="str" cm="1">
        <f t="array" ref="K102">_xlfn.IFS(G102&lt;10000, "Low", G102&lt;=25000, "Medium", G102&gt;25000, "High")</f>
        <v>Low</v>
      </c>
    </row>
    <row r="103" spans="1:11" x14ac:dyDescent="0.3">
      <c r="A103">
        <v>19</v>
      </c>
      <c r="B103" s="1" t="s">
        <v>8</v>
      </c>
      <c r="C103">
        <v>22.135000000000002</v>
      </c>
      <c r="D103">
        <v>0</v>
      </c>
      <c r="E103" t="s">
        <v>10</v>
      </c>
      <c r="F103" t="s">
        <v>14</v>
      </c>
      <c r="G103" s="2">
        <v>2128.4310500000001</v>
      </c>
      <c r="H103" t="str" cm="1">
        <f t="array" ref="H103">_xlfn.IFS(A103&lt;=30, "Youth", A103&lt;=50, "Adult", A103&gt;50, "Older")</f>
        <v>Youth</v>
      </c>
      <c r="I103" t="str" cm="1">
        <f t="array" ref="I103">_xlfn.IFS(A103&lt;=25,"18-25",A103&lt;=35,"26-35",A103&lt;=45,"36-45",A103&lt;=60,"46-60",A103&gt;60,"60+")</f>
        <v>18-25</v>
      </c>
      <c r="J103" t="str" cm="1">
        <f t="array" ref="J103">_xlfn.IFS(C103&lt;18.5,"Underweight",C103&lt;25,"Normal",C103&lt;30,"Overweight",C103&gt;=30,"Obese")</f>
        <v>Normal</v>
      </c>
      <c r="K103" t="str" cm="1">
        <f t="array" ref="K103">_xlfn.IFS(G103&lt;10000, "Low", G103&lt;=25000, "Medium", G103&gt;25000, "High")</f>
        <v>Low</v>
      </c>
    </row>
    <row r="104" spans="1:11" x14ac:dyDescent="0.3">
      <c r="A104">
        <v>19</v>
      </c>
      <c r="B104" s="1" t="s">
        <v>7</v>
      </c>
      <c r="C104">
        <v>22.135000000000002</v>
      </c>
      <c r="D104">
        <v>0</v>
      </c>
      <c r="E104" t="s">
        <v>10</v>
      </c>
      <c r="F104" t="s">
        <v>14</v>
      </c>
      <c r="G104" s="2">
        <v>2130.6759000000002</v>
      </c>
      <c r="H104" t="str" cm="1">
        <f t="array" ref="H104">_xlfn.IFS(A104&lt;=30, "Youth", A104&lt;=50, "Adult", A104&gt;50, "Older")</f>
        <v>Youth</v>
      </c>
      <c r="I104" t="str" cm="1">
        <f t="array" ref="I104">_xlfn.IFS(A104&lt;=25,"18-25",A104&lt;=35,"26-35",A104&lt;=45,"36-45",A104&lt;=60,"46-60",A104&gt;60,"60+")</f>
        <v>18-25</v>
      </c>
      <c r="J104" t="str" cm="1">
        <f t="array" ref="J104">_xlfn.IFS(C104&lt;18.5,"Underweight",C104&lt;25,"Normal",C104&lt;30,"Overweight",C104&gt;=30,"Obese")</f>
        <v>Normal</v>
      </c>
      <c r="K104" t="str" cm="1">
        <f t="array" ref="K104">_xlfn.IFS(G104&lt;10000, "Low", G104&lt;=25000, "Medium", G104&gt;25000, "High")</f>
        <v>Low</v>
      </c>
    </row>
    <row r="105" spans="1:11" x14ac:dyDescent="0.3">
      <c r="A105">
        <v>19</v>
      </c>
      <c r="B105" s="1" t="s">
        <v>7</v>
      </c>
      <c r="C105">
        <v>22.22</v>
      </c>
      <c r="D105">
        <v>0</v>
      </c>
      <c r="E105" t="s">
        <v>9</v>
      </c>
      <c r="F105" t="s">
        <v>12</v>
      </c>
      <c r="G105" s="2">
        <v>2134.9014999999999</v>
      </c>
      <c r="H105" t="str" cm="1">
        <f t="array" ref="H105">_xlfn.IFS(A105&lt;=30, "Youth", A105&lt;=50, "Adult", A105&gt;50, "Older")</f>
        <v>Youth</v>
      </c>
      <c r="I105" t="str" cm="1">
        <f t="array" ref="I105">_xlfn.IFS(A105&lt;=25,"18-25",A105&lt;=35,"26-35",A105&lt;=45,"36-45",A105&lt;=60,"46-60",A105&gt;60,"60+")</f>
        <v>18-25</v>
      </c>
      <c r="J105" t="str" cm="1">
        <f t="array" ref="J105">_xlfn.IFS(C105&lt;18.5,"Underweight",C105&lt;25,"Normal",C105&lt;30,"Overweight",C105&gt;=30,"Obese")</f>
        <v>Normal</v>
      </c>
      <c r="K105" t="str" cm="1">
        <f t="array" ref="K105">_xlfn.IFS(G105&lt;10000, "Low", G105&lt;=25000, "Medium", G105&gt;25000, "High")</f>
        <v>Low</v>
      </c>
    </row>
    <row r="106" spans="1:11" x14ac:dyDescent="0.3">
      <c r="A106">
        <v>19</v>
      </c>
      <c r="B106" s="1" t="s">
        <v>7</v>
      </c>
      <c r="C106">
        <v>22.23</v>
      </c>
      <c r="D106">
        <v>0</v>
      </c>
      <c r="E106" t="s">
        <v>10</v>
      </c>
      <c r="F106" t="s">
        <v>11</v>
      </c>
      <c r="G106" s="2">
        <v>2136.8822500000001</v>
      </c>
      <c r="H106" t="str" cm="1">
        <f t="array" ref="H106">_xlfn.IFS(A106&lt;=30, "Youth", A106&lt;=50, "Adult", A106&gt;50, "Older")</f>
        <v>Youth</v>
      </c>
      <c r="I106" t="str" cm="1">
        <f t="array" ref="I106">_xlfn.IFS(A106&lt;=25,"18-25",A106&lt;=35,"26-35",A106&lt;=45,"36-45",A106&lt;=60,"46-60",A106&gt;60,"60+")</f>
        <v>18-25</v>
      </c>
      <c r="J106" t="str" cm="1">
        <f t="array" ref="J106">_xlfn.IFS(C106&lt;18.5,"Underweight",C106&lt;25,"Normal",C106&lt;30,"Overweight",C106&gt;=30,"Obese")</f>
        <v>Normal</v>
      </c>
      <c r="K106" t="str" cm="1">
        <f t="array" ref="K106">_xlfn.IFS(G106&lt;10000, "Low", G106&lt;=25000, "Medium", G106&gt;25000, "High")</f>
        <v>Low</v>
      </c>
    </row>
    <row r="107" spans="1:11" x14ac:dyDescent="0.3">
      <c r="A107">
        <v>19</v>
      </c>
      <c r="B107" s="1" t="s">
        <v>8</v>
      </c>
      <c r="C107">
        <v>22.23</v>
      </c>
      <c r="D107">
        <v>0</v>
      </c>
      <c r="E107" t="s">
        <v>9</v>
      </c>
      <c r="F107" t="s">
        <v>13</v>
      </c>
      <c r="G107" s="2">
        <v>2137.6536000000001</v>
      </c>
      <c r="H107" t="str" cm="1">
        <f t="array" ref="H107">_xlfn.IFS(A107&lt;=30, "Youth", A107&lt;=50, "Adult", A107&gt;50, "Older")</f>
        <v>Youth</v>
      </c>
      <c r="I107" t="str" cm="1">
        <f t="array" ref="I107">_xlfn.IFS(A107&lt;=25,"18-25",A107&lt;=35,"26-35",A107&lt;=45,"36-45",A107&lt;=60,"46-60",A107&gt;60,"60+")</f>
        <v>18-25</v>
      </c>
      <c r="J107" t="str" cm="1">
        <f t="array" ref="J107">_xlfn.IFS(C107&lt;18.5,"Underweight",C107&lt;25,"Normal",C107&lt;30,"Overweight",C107&gt;=30,"Obese")</f>
        <v>Normal</v>
      </c>
      <c r="K107" t="str" cm="1">
        <f t="array" ref="K107">_xlfn.IFS(G107&lt;10000, "Low", G107&lt;=25000, "Medium", G107&gt;25000, "High")</f>
        <v>Low</v>
      </c>
    </row>
    <row r="108" spans="1:11" x14ac:dyDescent="0.3">
      <c r="A108">
        <v>19</v>
      </c>
      <c r="B108" s="1" t="s">
        <v>7</v>
      </c>
      <c r="C108">
        <v>22.3</v>
      </c>
      <c r="D108">
        <v>0</v>
      </c>
      <c r="E108" t="s">
        <v>10</v>
      </c>
      <c r="F108" t="s">
        <v>11</v>
      </c>
      <c r="G108" s="2">
        <v>2138.0707000000002</v>
      </c>
      <c r="H108" t="str" cm="1">
        <f t="array" ref="H108">_xlfn.IFS(A108&lt;=30, "Youth", A108&lt;=50, "Adult", A108&gt;50, "Older")</f>
        <v>Youth</v>
      </c>
      <c r="I108" t="str" cm="1">
        <f t="array" ref="I108">_xlfn.IFS(A108&lt;=25,"18-25",A108&lt;=35,"26-35",A108&lt;=45,"36-45",A108&lt;=60,"46-60",A108&gt;60,"60+")</f>
        <v>18-25</v>
      </c>
      <c r="J108" t="str" cm="1">
        <f t="array" ref="J108">_xlfn.IFS(C108&lt;18.5,"Underweight",C108&lt;25,"Normal",C108&lt;30,"Overweight",C108&gt;=30,"Obese")</f>
        <v>Normal</v>
      </c>
      <c r="K108" t="str" cm="1">
        <f t="array" ref="K108">_xlfn.IFS(G108&lt;10000, "Low", G108&lt;=25000, "Medium", G108&gt;25000, "High")</f>
        <v>Low</v>
      </c>
    </row>
    <row r="109" spans="1:11" x14ac:dyDescent="0.3">
      <c r="A109">
        <v>19</v>
      </c>
      <c r="B109" s="1" t="s">
        <v>8</v>
      </c>
      <c r="C109">
        <v>22.3</v>
      </c>
      <c r="D109">
        <v>0</v>
      </c>
      <c r="E109" t="s">
        <v>10</v>
      </c>
      <c r="F109" t="s">
        <v>13</v>
      </c>
      <c r="G109" s="2">
        <v>2150.4690000000001</v>
      </c>
      <c r="H109" t="str" cm="1">
        <f t="array" ref="H109">_xlfn.IFS(A109&lt;=30, "Youth", A109&lt;=50, "Adult", A109&gt;50, "Older")</f>
        <v>Youth</v>
      </c>
      <c r="I109" t="str" cm="1">
        <f t="array" ref="I109">_xlfn.IFS(A109&lt;=25,"18-25",A109&lt;=35,"26-35",A109&lt;=45,"36-45",A109&lt;=60,"46-60",A109&gt;60,"60+")</f>
        <v>18-25</v>
      </c>
      <c r="J109" t="str" cm="1">
        <f t="array" ref="J109">_xlfn.IFS(C109&lt;18.5,"Underweight",C109&lt;25,"Normal",C109&lt;30,"Overweight",C109&gt;=30,"Obese")</f>
        <v>Normal</v>
      </c>
      <c r="K109" t="str" cm="1">
        <f t="array" ref="K109">_xlfn.IFS(G109&lt;10000, "Low", G109&lt;=25000, "Medium", G109&gt;25000, "High")</f>
        <v>Low</v>
      </c>
    </row>
    <row r="110" spans="1:11" x14ac:dyDescent="0.3">
      <c r="A110">
        <v>19</v>
      </c>
      <c r="B110" s="1" t="s">
        <v>8</v>
      </c>
      <c r="C110">
        <v>22.42</v>
      </c>
      <c r="D110">
        <v>0</v>
      </c>
      <c r="E110" t="s">
        <v>10</v>
      </c>
      <c r="F110" t="s">
        <v>12</v>
      </c>
      <c r="G110" s="2">
        <v>2154.3609999999999</v>
      </c>
      <c r="H110" t="str" cm="1">
        <f t="array" ref="H110">_xlfn.IFS(A110&lt;=30, "Youth", A110&lt;=50, "Adult", A110&gt;50, "Older")</f>
        <v>Youth</v>
      </c>
      <c r="I110" t="str" cm="1">
        <f t="array" ref="I110">_xlfn.IFS(A110&lt;=25,"18-25",A110&lt;=35,"26-35",A110&lt;=45,"36-45",A110&lt;=60,"46-60",A110&gt;60,"60+")</f>
        <v>18-25</v>
      </c>
      <c r="J110" t="str" cm="1">
        <f t="array" ref="J110">_xlfn.IFS(C110&lt;18.5,"Underweight",C110&lt;25,"Normal",C110&lt;30,"Overweight",C110&gt;=30,"Obese")</f>
        <v>Normal</v>
      </c>
      <c r="K110" t="str" cm="1">
        <f t="array" ref="K110">_xlfn.IFS(G110&lt;10000, "Low", G110&lt;=25000, "Medium", G110&gt;25000, "High")</f>
        <v>Low</v>
      </c>
    </row>
    <row r="111" spans="1:11" x14ac:dyDescent="0.3">
      <c r="A111">
        <v>19</v>
      </c>
      <c r="B111" s="1" t="s">
        <v>8</v>
      </c>
      <c r="C111">
        <v>22.42</v>
      </c>
      <c r="D111">
        <v>0</v>
      </c>
      <c r="E111" t="s">
        <v>9</v>
      </c>
      <c r="F111" t="s">
        <v>12</v>
      </c>
      <c r="G111" s="2">
        <v>2155.6815000000001</v>
      </c>
      <c r="H111" t="str" cm="1">
        <f t="array" ref="H111">_xlfn.IFS(A111&lt;=30, "Youth", A111&lt;=50, "Adult", A111&gt;50, "Older")</f>
        <v>Youth</v>
      </c>
      <c r="I111" t="str" cm="1">
        <f t="array" ref="I111">_xlfn.IFS(A111&lt;=25,"18-25",A111&lt;=35,"26-35",A111&lt;=45,"36-45",A111&lt;=60,"46-60",A111&gt;60,"60+")</f>
        <v>18-25</v>
      </c>
      <c r="J111" t="str" cm="1">
        <f t="array" ref="J111">_xlfn.IFS(C111&lt;18.5,"Underweight",C111&lt;25,"Normal",C111&lt;30,"Overweight",C111&gt;=30,"Obese")</f>
        <v>Normal</v>
      </c>
      <c r="K111" t="str" cm="1">
        <f t="array" ref="K111">_xlfn.IFS(G111&lt;10000, "Low", G111&lt;=25000, "Medium", G111&gt;25000, "High")</f>
        <v>Low</v>
      </c>
    </row>
    <row r="112" spans="1:11" x14ac:dyDescent="0.3">
      <c r="A112">
        <v>19</v>
      </c>
      <c r="B112" s="1" t="s">
        <v>8</v>
      </c>
      <c r="C112">
        <v>22.42</v>
      </c>
      <c r="D112">
        <v>0</v>
      </c>
      <c r="E112" t="s">
        <v>10</v>
      </c>
      <c r="F112" t="s">
        <v>13</v>
      </c>
      <c r="G112" s="2">
        <v>2156.7518</v>
      </c>
      <c r="H112" t="str" cm="1">
        <f t="array" ref="H112">_xlfn.IFS(A112&lt;=30, "Youth", A112&lt;=50, "Adult", A112&gt;50, "Older")</f>
        <v>Youth</v>
      </c>
      <c r="I112" t="str" cm="1">
        <f t="array" ref="I112">_xlfn.IFS(A112&lt;=25,"18-25",A112&lt;=35,"26-35",A112&lt;=45,"36-45",A112&lt;=60,"46-60",A112&gt;60,"60+")</f>
        <v>18-25</v>
      </c>
      <c r="J112" t="str" cm="1">
        <f t="array" ref="J112">_xlfn.IFS(C112&lt;18.5,"Underweight",C112&lt;25,"Normal",C112&lt;30,"Overweight",C112&gt;=30,"Obese")</f>
        <v>Normal</v>
      </c>
      <c r="K112" t="str" cm="1">
        <f t="array" ref="K112">_xlfn.IFS(G112&lt;10000, "Low", G112&lt;=25000, "Medium", G112&gt;25000, "High")</f>
        <v>Low</v>
      </c>
    </row>
    <row r="113" spans="1:11" x14ac:dyDescent="0.3">
      <c r="A113">
        <v>19</v>
      </c>
      <c r="B113" s="1" t="s">
        <v>7</v>
      </c>
      <c r="C113">
        <v>22.515000000000001</v>
      </c>
      <c r="D113">
        <v>0</v>
      </c>
      <c r="E113" t="s">
        <v>10</v>
      </c>
      <c r="F113" t="s">
        <v>11</v>
      </c>
      <c r="G113" s="2">
        <v>2166.732</v>
      </c>
      <c r="H113" t="str" cm="1">
        <f t="array" ref="H113">_xlfn.IFS(A113&lt;=30, "Youth", A113&lt;=50, "Adult", A113&gt;50, "Older")</f>
        <v>Youth</v>
      </c>
      <c r="I113" t="str" cm="1">
        <f t="array" ref="I113">_xlfn.IFS(A113&lt;=25,"18-25",A113&lt;=35,"26-35",A113&lt;=45,"36-45",A113&lt;=60,"46-60",A113&gt;60,"60+")</f>
        <v>18-25</v>
      </c>
      <c r="J113" t="str" cm="1">
        <f t="array" ref="J113">_xlfn.IFS(C113&lt;18.5,"Underweight",C113&lt;25,"Normal",C113&lt;30,"Overweight",C113&gt;=30,"Obese")</f>
        <v>Normal</v>
      </c>
      <c r="K113" t="str" cm="1">
        <f t="array" ref="K113">_xlfn.IFS(G113&lt;10000, "Low", G113&lt;=25000, "Medium", G113&gt;25000, "High")</f>
        <v>Low</v>
      </c>
    </row>
    <row r="114" spans="1:11" x14ac:dyDescent="0.3">
      <c r="A114">
        <v>19</v>
      </c>
      <c r="B114" s="1" t="s">
        <v>8</v>
      </c>
      <c r="C114">
        <v>22.515000000000001</v>
      </c>
      <c r="D114">
        <v>0</v>
      </c>
      <c r="E114" t="s">
        <v>10</v>
      </c>
      <c r="F114" t="s">
        <v>11</v>
      </c>
      <c r="G114" s="2">
        <v>2196.4731999999999</v>
      </c>
      <c r="H114" t="str" cm="1">
        <f t="array" ref="H114">_xlfn.IFS(A114&lt;=30, "Youth", A114&lt;=50, "Adult", A114&gt;50, "Older")</f>
        <v>Youth</v>
      </c>
      <c r="I114" t="str" cm="1">
        <f t="array" ref="I114">_xlfn.IFS(A114&lt;=25,"18-25",A114&lt;=35,"26-35",A114&lt;=45,"36-45",A114&lt;=60,"46-60",A114&gt;60,"60+")</f>
        <v>18-25</v>
      </c>
      <c r="J114" t="str" cm="1">
        <f t="array" ref="J114">_xlfn.IFS(C114&lt;18.5,"Underweight",C114&lt;25,"Normal",C114&lt;30,"Overweight",C114&gt;=30,"Obese")</f>
        <v>Normal</v>
      </c>
      <c r="K114" t="str" cm="1">
        <f t="array" ref="K114">_xlfn.IFS(G114&lt;10000, "Low", G114&lt;=25000, "Medium", G114&gt;25000, "High")</f>
        <v>Low</v>
      </c>
    </row>
    <row r="115" spans="1:11" x14ac:dyDescent="0.3">
      <c r="A115">
        <v>19</v>
      </c>
      <c r="B115" s="1" t="s">
        <v>7</v>
      </c>
      <c r="C115">
        <v>22.515000000000001</v>
      </c>
      <c r="D115">
        <v>0</v>
      </c>
      <c r="E115" t="s">
        <v>10</v>
      </c>
      <c r="F115" t="s">
        <v>13</v>
      </c>
      <c r="G115" s="2">
        <v>2198.1898500000002</v>
      </c>
      <c r="H115" t="str" cm="1">
        <f t="array" ref="H115">_xlfn.IFS(A115&lt;=30, "Youth", A115&lt;=50, "Adult", A115&gt;50, "Older")</f>
        <v>Youth</v>
      </c>
      <c r="I115" t="str" cm="1">
        <f t="array" ref="I115">_xlfn.IFS(A115&lt;=25,"18-25",A115&lt;=35,"26-35",A115&lt;=45,"36-45",A115&lt;=60,"46-60",A115&gt;60,"60+")</f>
        <v>18-25</v>
      </c>
      <c r="J115" t="str" cm="1">
        <f t="array" ref="J115">_xlfn.IFS(C115&lt;18.5,"Underweight",C115&lt;25,"Normal",C115&lt;30,"Overweight",C115&gt;=30,"Obese")</f>
        <v>Normal</v>
      </c>
      <c r="K115" t="str" cm="1">
        <f t="array" ref="K115">_xlfn.IFS(G115&lt;10000, "Low", G115&lt;=25000, "Medium", G115&gt;25000, "High")</f>
        <v>Low</v>
      </c>
    </row>
    <row r="116" spans="1:11" x14ac:dyDescent="0.3">
      <c r="A116">
        <v>19</v>
      </c>
      <c r="B116" s="1" t="s">
        <v>8</v>
      </c>
      <c r="C116">
        <v>22.515000000000001</v>
      </c>
      <c r="D116">
        <v>0</v>
      </c>
      <c r="E116" t="s">
        <v>10</v>
      </c>
      <c r="F116" t="s">
        <v>14</v>
      </c>
      <c r="G116" s="2">
        <v>2200.8308499999998</v>
      </c>
      <c r="H116" t="str" cm="1">
        <f t="array" ref="H116">_xlfn.IFS(A116&lt;=30, "Youth", A116&lt;=50, "Adult", A116&gt;50, "Older")</f>
        <v>Youth</v>
      </c>
      <c r="I116" t="str" cm="1">
        <f t="array" ref="I116">_xlfn.IFS(A116&lt;=25,"18-25",A116&lt;=35,"26-35",A116&lt;=45,"36-45",A116&lt;=60,"46-60",A116&gt;60,"60+")</f>
        <v>18-25</v>
      </c>
      <c r="J116" t="str" cm="1">
        <f t="array" ref="J116">_xlfn.IFS(C116&lt;18.5,"Underweight",C116&lt;25,"Normal",C116&lt;30,"Overweight",C116&gt;=30,"Obese")</f>
        <v>Normal</v>
      </c>
      <c r="K116" t="str" cm="1">
        <f t="array" ref="K116">_xlfn.IFS(G116&lt;10000, "Low", G116&lt;=25000, "Medium", G116&gt;25000, "High")</f>
        <v>Low</v>
      </c>
    </row>
    <row r="117" spans="1:11" x14ac:dyDescent="0.3">
      <c r="A117">
        <v>19</v>
      </c>
      <c r="B117" s="1" t="s">
        <v>8</v>
      </c>
      <c r="C117">
        <v>22.515000000000001</v>
      </c>
      <c r="D117">
        <v>0</v>
      </c>
      <c r="E117" t="s">
        <v>10</v>
      </c>
      <c r="F117" t="s">
        <v>14</v>
      </c>
      <c r="G117" s="2">
        <v>2201.0971</v>
      </c>
      <c r="H117" t="str" cm="1">
        <f t="array" ref="H117">_xlfn.IFS(A117&lt;=30, "Youth", A117&lt;=50, "Adult", A117&gt;50, "Older")</f>
        <v>Youth</v>
      </c>
      <c r="I117" t="str" cm="1">
        <f t="array" ref="I117">_xlfn.IFS(A117&lt;=25,"18-25",A117&lt;=35,"26-35",A117&lt;=45,"36-45",A117&lt;=60,"46-60",A117&gt;60,"60+")</f>
        <v>18-25</v>
      </c>
      <c r="J117" t="str" cm="1">
        <f t="array" ref="J117">_xlfn.IFS(C117&lt;18.5,"Underweight",C117&lt;25,"Normal",C117&lt;30,"Overweight",C117&gt;=30,"Obese")</f>
        <v>Normal</v>
      </c>
      <c r="K117" t="str" cm="1">
        <f t="array" ref="K117">_xlfn.IFS(G117&lt;10000, "Low", G117&lt;=25000, "Medium", G117&gt;25000, "High")</f>
        <v>Low</v>
      </c>
    </row>
    <row r="118" spans="1:11" x14ac:dyDescent="0.3">
      <c r="A118">
        <v>19</v>
      </c>
      <c r="B118" s="1" t="s">
        <v>8</v>
      </c>
      <c r="C118">
        <v>22.6</v>
      </c>
      <c r="D118">
        <v>0</v>
      </c>
      <c r="E118" t="s">
        <v>10</v>
      </c>
      <c r="F118" t="s">
        <v>12</v>
      </c>
      <c r="G118" s="2">
        <v>2203.4718499999999</v>
      </c>
      <c r="H118" t="str" cm="1">
        <f t="array" ref="H118">_xlfn.IFS(A118&lt;=30, "Youth", A118&lt;=50, "Adult", A118&gt;50, "Older")</f>
        <v>Youth</v>
      </c>
      <c r="I118" t="str" cm="1">
        <f t="array" ref="I118">_xlfn.IFS(A118&lt;=25,"18-25",A118&lt;=35,"26-35",A118&lt;=45,"36-45",A118&lt;=60,"46-60",A118&gt;60,"60+")</f>
        <v>18-25</v>
      </c>
      <c r="J118" t="str" cm="1">
        <f t="array" ref="J118">_xlfn.IFS(C118&lt;18.5,"Underweight",C118&lt;25,"Normal",C118&lt;30,"Overweight",C118&gt;=30,"Obese")</f>
        <v>Normal</v>
      </c>
      <c r="K118" t="str" cm="1">
        <f t="array" ref="K118">_xlfn.IFS(G118&lt;10000, "Low", G118&lt;=25000, "Medium", G118&gt;25000, "High")</f>
        <v>Low</v>
      </c>
    </row>
    <row r="119" spans="1:11" x14ac:dyDescent="0.3">
      <c r="A119">
        <v>19</v>
      </c>
      <c r="B119" s="1" t="s">
        <v>7</v>
      </c>
      <c r="C119">
        <v>22.6</v>
      </c>
      <c r="D119">
        <v>0</v>
      </c>
      <c r="E119" t="s">
        <v>9</v>
      </c>
      <c r="F119" t="s">
        <v>12</v>
      </c>
      <c r="G119" s="2">
        <v>2203.7359499999998</v>
      </c>
      <c r="H119" t="str" cm="1">
        <f t="array" ref="H119">_xlfn.IFS(A119&lt;=30, "Youth", A119&lt;=50, "Adult", A119&gt;50, "Older")</f>
        <v>Youth</v>
      </c>
      <c r="I119" t="str" cm="1">
        <f t="array" ref="I119">_xlfn.IFS(A119&lt;=25,"18-25",A119&lt;=35,"26-35",A119&lt;=45,"36-45",A119&lt;=60,"46-60",A119&gt;60,"60+")</f>
        <v>18-25</v>
      </c>
      <c r="J119" t="str" cm="1">
        <f t="array" ref="J119">_xlfn.IFS(C119&lt;18.5,"Underweight",C119&lt;25,"Normal",C119&lt;30,"Overweight",C119&gt;=30,"Obese")</f>
        <v>Normal</v>
      </c>
      <c r="K119" t="str" cm="1">
        <f t="array" ref="K119">_xlfn.IFS(G119&lt;10000, "Low", G119&lt;=25000, "Medium", G119&gt;25000, "High")</f>
        <v>Low</v>
      </c>
    </row>
    <row r="120" spans="1:11" x14ac:dyDescent="0.3">
      <c r="A120">
        <v>19</v>
      </c>
      <c r="B120" s="1" t="s">
        <v>7</v>
      </c>
      <c r="C120">
        <v>22.61</v>
      </c>
      <c r="D120">
        <v>0</v>
      </c>
      <c r="E120" t="s">
        <v>10</v>
      </c>
      <c r="F120" t="s">
        <v>12</v>
      </c>
      <c r="G120" s="2">
        <v>2205.9807999999998</v>
      </c>
      <c r="H120" t="str" cm="1">
        <f t="array" ref="H120">_xlfn.IFS(A120&lt;=30, "Youth", A120&lt;=50, "Adult", A120&gt;50, "Older")</f>
        <v>Youth</v>
      </c>
      <c r="I120" t="str" cm="1">
        <f t="array" ref="I120">_xlfn.IFS(A120&lt;=25,"18-25",A120&lt;=35,"26-35",A120&lt;=45,"36-45",A120&lt;=60,"46-60",A120&gt;60,"60+")</f>
        <v>18-25</v>
      </c>
      <c r="J120" t="str" cm="1">
        <f t="array" ref="J120">_xlfn.IFS(C120&lt;18.5,"Underweight",C120&lt;25,"Normal",C120&lt;30,"Overweight",C120&gt;=30,"Obese")</f>
        <v>Normal</v>
      </c>
      <c r="K120" t="str" cm="1">
        <f t="array" ref="K120">_xlfn.IFS(G120&lt;10000, "Low", G120&lt;=25000, "Medium", G120&gt;25000, "High")</f>
        <v>Low</v>
      </c>
    </row>
    <row r="121" spans="1:11" x14ac:dyDescent="0.3">
      <c r="A121">
        <v>19</v>
      </c>
      <c r="B121" s="1" t="s">
        <v>7</v>
      </c>
      <c r="C121">
        <v>22.61</v>
      </c>
      <c r="D121">
        <v>0</v>
      </c>
      <c r="E121" t="s">
        <v>10</v>
      </c>
      <c r="F121" t="s">
        <v>13</v>
      </c>
      <c r="G121" s="2">
        <v>2207.6974500000001</v>
      </c>
      <c r="H121" t="str" cm="1">
        <f t="array" ref="H121">_xlfn.IFS(A121&lt;=30, "Youth", A121&lt;=50, "Adult", A121&gt;50, "Older")</f>
        <v>Youth</v>
      </c>
      <c r="I121" t="str" cm="1">
        <f t="array" ref="I121">_xlfn.IFS(A121&lt;=25,"18-25",A121&lt;=35,"26-35",A121&lt;=45,"36-45",A121&lt;=60,"46-60",A121&gt;60,"60+")</f>
        <v>18-25</v>
      </c>
      <c r="J121" t="str" cm="1">
        <f t="array" ref="J121">_xlfn.IFS(C121&lt;18.5,"Underweight",C121&lt;25,"Normal",C121&lt;30,"Overweight",C121&gt;=30,"Obese")</f>
        <v>Normal</v>
      </c>
      <c r="K121" t="str" cm="1">
        <f t="array" ref="K121">_xlfn.IFS(G121&lt;10000, "Low", G121&lt;=25000, "Medium", G121&gt;25000, "High")</f>
        <v>Low</v>
      </c>
    </row>
    <row r="122" spans="1:11" x14ac:dyDescent="0.3">
      <c r="A122">
        <v>19</v>
      </c>
      <c r="B122" s="1" t="s">
        <v>8</v>
      </c>
      <c r="C122">
        <v>22.61</v>
      </c>
      <c r="D122">
        <v>0</v>
      </c>
      <c r="E122" t="s">
        <v>10</v>
      </c>
      <c r="F122" t="s">
        <v>11</v>
      </c>
      <c r="G122" s="2">
        <v>2211.1307499999998</v>
      </c>
      <c r="H122" t="str" cm="1">
        <f t="array" ref="H122">_xlfn.IFS(A122&lt;=30, "Youth", A122&lt;=50, "Adult", A122&gt;50, "Older")</f>
        <v>Youth</v>
      </c>
      <c r="I122" t="str" cm="1">
        <f t="array" ref="I122">_xlfn.IFS(A122&lt;=25,"18-25",A122&lt;=35,"26-35",A122&lt;=45,"36-45",A122&lt;=60,"46-60",A122&gt;60,"60+")</f>
        <v>18-25</v>
      </c>
      <c r="J122" t="str" cm="1">
        <f t="array" ref="J122">_xlfn.IFS(C122&lt;18.5,"Underweight",C122&lt;25,"Normal",C122&lt;30,"Overweight",C122&gt;=30,"Obese")</f>
        <v>Normal</v>
      </c>
      <c r="K122" t="str" cm="1">
        <f t="array" ref="K122">_xlfn.IFS(G122&lt;10000, "Low", G122&lt;=25000, "Medium", G122&gt;25000, "High")</f>
        <v>Low</v>
      </c>
    </row>
    <row r="123" spans="1:11" x14ac:dyDescent="0.3">
      <c r="A123">
        <v>19</v>
      </c>
      <c r="B123" s="1" t="s">
        <v>8</v>
      </c>
      <c r="C123">
        <v>22.61</v>
      </c>
      <c r="D123">
        <v>0</v>
      </c>
      <c r="E123" t="s">
        <v>10</v>
      </c>
      <c r="F123" t="s">
        <v>14</v>
      </c>
      <c r="G123" s="2">
        <v>2217.4691499999999</v>
      </c>
      <c r="H123" t="str" cm="1">
        <f t="array" ref="H123">_xlfn.IFS(A123&lt;=30, "Youth", A123&lt;=50, "Adult", A123&gt;50, "Older")</f>
        <v>Youth</v>
      </c>
      <c r="I123" t="str" cm="1">
        <f t="array" ref="I123">_xlfn.IFS(A123&lt;=25,"18-25",A123&lt;=35,"26-35",A123&lt;=45,"36-45",A123&lt;=60,"46-60",A123&gt;60,"60+")</f>
        <v>18-25</v>
      </c>
      <c r="J123" t="str" cm="1">
        <f t="array" ref="J123">_xlfn.IFS(C123&lt;18.5,"Underweight",C123&lt;25,"Normal",C123&lt;30,"Overweight",C123&gt;=30,"Obese")</f>
        <v>Normal</v>
      </c>
      <c r="K123" t="str" cm="1">
        <f t="array" ref="K123">_xlfn.IFS(G123&lt;10000, "Low", G123&lt;=25000, "Medium", G123&gt;25000, "High")</f>
        <v>Low</v>
      </c>
    </row>
    <row r="124" spans="1:11" x14ac:dyDescent="0.3">
      <c r="A124">
        <v>19</v>
      </c>
      <c r="B124" s="1" t="s">
        <v>7</v>
      </c>
      <c r="C124">
        <v>22.704999999999998</v>
      </c>
      <c r="D124">
        <v>0</v>
      </c>
      <c r="E124" t="s">
        <v>10</v>
      </c>
      <c r="F124" t="s">
        <v>13</v>
      </c>
      <c r="G124" s="2">
        <v>2217.6012000000001</v>
      </c>
      <c r="H124" t="str" cm="1">
        <f t="array" ref="H124">_xlfn.IFS(A124&lt;=30, "Youth", A124&lt;=50, "Adult", A124&gt;50, "Older")</f>
        <v>Youth</v>
      </c>
      <c r="I124" t="str" cm="1">
        <f t="array" ref="I124">_xlfn.IFS(A124&lt;=25,"18-25",A124&lt;=35,"26-35",A124&lt;=45,"36-45",A124&lt;=60,"46-60",A124&gt;60,"60+")</f>
        <v>18-25</v>
      </c>
      <c r="J124" t="str" cm="1">
        <f t="array" ref="J124">_xlfn.IFS(C124&lt;18.5,"Underweight",C124&lt;25,"Normal",C124&lt;30,"Overweight",C124&gt;=30,"Obese")</f>
        <v>Normal</v>
      </c>
      <c r="K124" t="str" cm="1">
        <f t="array" ref="K124">_xlfn.IFS(G124&lt;10000, "Low", G124&lt;=25000, "Medium", G124&gt;25000, "High")</f>
        <v>Low</v>
      </c>
    </row>
    <row r="125" spans="1:11" x14ac:dyDescent="0.3">
      <c r="A125">
        <v>19</v>
      </c>
      <c r="B125" s="1" t="s">
        <v>8</v>
      </c>
      <c r="C125">
        <v>22.704999999999998</v>
      </c>
      <c r="D125">
        <v>0</v>
      </c>
      <c r="E125" t="s">
        <v>9</v>
      </c>
      <c r="F125" t="s">
        <v>14</v>
      </c>
      <c r="G125" s="2">
        <v>2219.4450999999999</v>
      </c>
      <c r="H125" t="str" cm="1">
        <f t="array" ref="H125">_xlfn.IFS(A125&lt;=30, "Youth", A125&lt;=50, "Adult", A125&gt;50, "Older")</f>
        <v>Youth</v>
      </c>
      <c r="I125" t="str" cm="1">
        <f t="array" ref="I125">_xlfn.IFS(A125&lt;=25,"18-25",A125&lt;=35,"26-35",A125&lt;=45,"36-45",A125&lt;=60,"46-60",A125&gt;60,"60+")</f>
        <v>18-25</v>
      </c>
      <c r="J125" t="str" cm="1">
        <f t="array" ref="J125">_xlfn.IFS(C125&lt;18.5,"Underweight",C125&lt;25,"Normal",C125&lt;30,"Overweight",C125&gt;=30,"Obese")</f>
        <v>Normal</v>
      </c>
      <c r="K125" t="str" cm="1">
        <f t="array" ref="K125">_xlfn.IFS(G125&lt;10000, "Low", G125&lt;=25000, "Medium", G125&gt;25000, "High")</f>
        <v>Low</v>
      </c>
    </row>
    <row r="126" spans="1:11" x14ac:dyDescent="0.3">
      <c r="A126">
        <v>19</v>
      </c>
      <c r="B126" s="1" t="s">
        <v>7</v>
      </c>
      <c r="C126">
        <v>22.704999999999998</v>
      </c>
      <c r="D126">
        <v>0</v>
      </c>
      <c r="E126" t="s">
        <v>10</v>
      </c>
      <c r="F126" t="s">
        <v>13</v>
      </c>
      <c r="G126" s="2">
        <v>2221.5644499999999</v>
      </c>
      <c r="H126" t="str" cm="1">
        <f t="array" ref="H126">_xlfn.IFS(A126&lt;=30, "Youth", A126&lt;=50, "Adult", A126&gt;50, "Older")</f>
        <v>Youth</v>
      </c>
      <c r="I126" t="str" cm="1">
        <f t="array" ref="I126">_xlfn.IFS(A126&lt;=25,"18-25",A126&lt;=35,"26-35",A126&lt;=45,"36-45",A126&lt;=60,"46-60",A126&gt;60,"60+")</f>
        <v>18-25</v>
      </c>
      <c r="J126" t="str" cm="1">
        <f t="array" ref="J126">_xlfn.IFS(C126&lt;18.5,"Underweight",C126&lt;25,"Normal",C126&lt;30,"Overweight",C126&gt;=30,"Obese")</f>
        <v>Normal</v>
      </c>
      <c r="K126" t="str" cm="1">
        <f t="array" ref="K126">_xlfn.IFS(G126&lt;10000, "Low", G126&lt;=25000, "Medium", G126&gt;25000, "High")</f>
        <v>Low</v>
      </c>
    </row>
    <row r="127" spans="1:11" x14ac:dyDescent="0.3">
      <c r="A127">
        <v>19</v>
      </c>
      <c r="B127" s="1" t="s">
        <v>7</v>
      </c>
      <c r="C127">
        <v>22.77</v>
      </c>
      <c r="D127">
        <v>0</v>
      </c>
      <c r="E127" t="s">
        <v>10</v>
      </c>
      <c r="F127" t="s">
        <v>14</v>
      </c>
      <c r="G127" s="2">
        <v>2250.8352</v>
      </c>
      <c r="H127" t="str" cm="1">
        <f t="array" ref="H127">_xlfn.IFS(A127&lt;=30, "Youth", A127&lt;=50, "Adult", A127&gt;50, "Older")</f>
        <v>Youth</v>
      </c>
      <c r="I127" t="str" cm="1">
        <f t="array" ref="I127">_xlfn.IFS(A127&lt;=25,"18-25",A127&lt;=35,"26-35",A127&lt;=45,"36-45",A127&lt;=60,"46-60",A127&gt;60,"60+")</f>
        <v>18-25</v>
      </c>
      <c r="J127" t="str" cm="1">
        <f t="array" ref="J127">_xlfn.IFS(C127&lt;18.5,"Underweight",C127&lt;25,"Normal",C127&lt;30,"Overweight",C127&gt;=30,"Obese")</f>
        <v>Normal</v>
      </c>
      <c r="K127" t="str" cm="1">
        <f t="array" ref="K127">_xlfn.IFS(G127&lt;10000, "Low", G127&lt;=25000, "Medium", G127&gt;25000, "High")</f>
        <v>Low</v>
      </c>
    </row>
    <row r="128" spans="1:11" x14ac:dyDescent="0.3">
      <c r="A128">
        <v>19</v>
      </c>
      <c r="B128" s="1" t="s">
        <v>7</v>
      </c>
      <c r="C128">
        <v>22.8</v>
      </c>
      <c r="D128">
        <v>0</v>
      </c>
      <c r="E128" t="s">
        <v>9</v>
      </c>
      <c r="F128" t="s">
        <v>11</v>
      </c>
      <c r="G128" s="2">
        <v>2254.7966999999999</v>
      </c>
      <c r="H128" t="str" cm="1">
        <f t="array" ref="H128">_xlfn.IFS(A128&lt;=30, "Youth", A128&lt;=50, "Adult", A128&gt;50, "Older")</f>
        <v>Youth</v>
      </c>
      <c r="I128" t="str" cm="1">
        <f t="array" ref="I128">_xlfn.IFS(A128&lt;=25,"18-25",A128&lt;=35,"26-35",A128&lt;=45,"36-45",A128&lt;=60,"46-60",A128&gt;60,"60+")</f>
        <v>18-25</v>
      </c>
      <c r="J128" t="str" cm="1">
        <f t="array" ref="J128">_xlfn.IFS(C128&lt;18.5,"Underweight",C128&lt;25,"Normal",C128&lt;30,"Overweight",C128&gt;=30,"Obese")</f>
        <v>Normal</v>
      </c>
      <c r="K128" t="str" cm="1">
        <f t="array" ref="K128">_xlfn.IFS(G128&lt;10000, "Low", G128&lt;=25000, "Medium", G128&gt;25000, "High")</f>
        <v>Low</v>
      </c>
    </row>
    <row r="129" spans="1:11" x14ac:dyDescent="0.3">
      <c r="A129">
        <v>19</v>
      </c>
      <c r="B129" s="1" t="s">
        <v>7</v>
      </c>
      <c r="C129">
        <v>22.8</v>
      </c>
      <c r="D129">
        <v>0</v>
      </c>
      <c r="E129" t="s">
        <v>10</v>
      </c>
      <c r="F129" t="s">
        <v>11</v>
      </c>
      <c r="G129" s="2">
        <v>2257.47525</v>
      </c>
      <c r="H129" t="str" cm="1">
        <f t="array" ref="H129">_xlfn.IFS(A129&lt;=30, "Youth", A129&lt;=50, "Adult", A129&gt;50, "Older")</f>
        <v>Youth</v>
      </c>
      <c r="I129" t="str" cm="1">
        <f t="array" ref="I129">_xlfn.IFS(A129&lt;=25,"18-25",A129&lt;=35,"26-35",A129&lt;=45,"36-45",A129&lt;=60,"46-60",A129&gt;60,"60+")</f>
        <v>18-25</v>
      </c>
      <c r="J129" t="str" cm="1">
        <f t="array" ref="J129">_xlfn.IFS(C129&lt;18.5,"Underweight",C129&lt;25,"Normal",C129&lt;30,"Overweight",C129&gt;=30,"Obese")</f>
        <v>Normal</v>
      </c>
      <c r="K129" t="str" cm="1">
        <f t="array" ref="K129">_xlfn.IFS(G129&lt;10000, "Low", G129&lt;=25000, "Medium", G129&gt;25000, "High")</f>
        <v>Low</v>
      </c>
    </row>
    <row r="130" spans="1:11" x14ac:dyDescent="0.3">
      <c r="A130">
        <v>19</v>
      </c>
      <c r="B130" s="1" t="s">
        <v>7</v>
      </c>
      <c r="C130">
        <v>22.88</v>
      </c>
      <c r="D130">
        <v>0</v>
      </c>
      <c r="E130" t="s">
        <v>9</v>
      </c>
      <c r="F130" t="s">
        <v>13</v>
      </c>
      <c r="G130" s="2">
        <v>2261.5688</v>
      </c>
      <c r="H130" t="str" cm="1">
        <f t="array" ref="H130">_xlfn.IFS(A130&lt;=30, "Youth", A130&lt;=50, "Adult", A130&gt;50, "Older")</f>
        <v>Youth</v>
      </c>
      <c r="I130" t="str" cm="1">
        <f t="array" ref="I130">_xlfn.IFS(A130&lt;=25,"18-25",A130&lt;=35,"26-35",A130&lt;=45,"36-45",A130&lt;=60,"46-60",A130&gt;60,"60+")</f>
        <v>18-25</v>
      </c>
      <c r="J130" t="str" cm="1">
        <f t="array" ref="J130">_xlfn.IFS(C130&lt;18.5,"Underweight",C130&lt;25,"Normal",C130&lt;30,"Overweight",C130&gt;=30,"Obese")</f>
        <v>Normal</v>
      </c>
      <c r="K130" t="str" cm="1">
        <f t="array" ref="K130">_xlfn.IFS(G130&lt;10000, "Low", G130&lt;=25000, "Medium", G130&gt;25000, "High")</f>
        <v>Low</v>
      </c>
    </row>
    <row r="131" spans="1:11" x14ac:dyDescent="0.3">
      <c r="A131">
        <v>19</v>
      </c>
      <c r="B131" s="1" t="s">
        <v>8</v>
      </c>
      <c r="C131">
        <v>22.895</v>
      </c>
      <c r="D131">
        <v>0</v>
      </c>
      <c r="E131" t="s">
        <v>10</v>
      </c>
      <c r="F131" t="s">
        <v>11</v>
      </c>
      <c r="G131" s="2">
        <v>2302.3000000000002</v>
      </c>
      <c r="H131" t="str" cm="1">
        <f t="array" ref="H131">_xlfn.IFS(A131&lt;=30, "Youth", A131&lt;=50, "Adult", A131&gt;50, "Older")</f>
        <v>Youth</v>
      </c>
      <c r="I131" t="str" cm="1">
        <f t="array" ref="I131">_xlfn.IFS(A131&lt;=25,"18-25",A131&lt;=35,"26-35",A131&lt;=45,"36-45",A131&lt;=60,"46-60",A131&gt;60,"60+")</f>
        <v>18-25</v>
      </c>
      <c r="J131" t="str" cm="1">
        <f t="array" ref="J131">_xlfn.IFS(C131&lt;18.5,"Underweight",C131&lt;25,"Normal",C131&lt;30,"Overweight",C131&gt;=30,"Obese")</f>
        <v>Normal</v>
      </c>
      <c r="K131" t="str" cm="1">
        <f t="array" ref="K131">_xlfn.IFS(G131&lt;10000, "Low", G131&lt;=25000, "Medium", G131&gt;25000, "High")</f>
        <v>Low</v>
      </c>
    </row>
    <row r="132" spans="1:11" x14ac:dyDescent="0.3">
      <c r="A132">
        <v>19</v>
      </c>
      <c r="B132" s="1" t="s">
        <v>7</v>
      </c>
      <c r="C132">
        <v>22.895</v>
      </c>
      <c r="D132">
        <v>0</v>
      </c>
      <c r="E132" t="s">
        <v>10</v>
      </c>
      <c r="F132" t="s">
        <v>14</v>
      </c>
      <c r="G132" s="2">
        <v>2304.0021999999999</v>
      </c>
      <c r="H132" t="str" cm="1">
        <f t="array" ref="H132">_xlfn.IFS(A132&lt;=30, "Youth", A132&lt;=50, "Adult", A132&gt;50, "Older")</f>
        <v>Youth</v>
      </c>
      <c r="I132" t="str" cm="1">
        <f t="array" ref="I132">_xlfn.IFS(A132&lt;=25,"18-25",A132&lt;=35,"26-35",A132&lt;=45,"36-45",A132&lt;=60,"46-60",A132&gt;60,"60+")</f>
        <v>18-25</v>
      </c>
      <c r="J132" t="str" cm="1">
        <f t="array" ref="J132">_xlfn.IFS(C132&lt;18.5,"Underweight",C132&lt;25,"Normal",C132&lt;30,"Overweight",C132&gt;=30,"Obese")</f>
        <v>Normal</v>
      </c>
      <c r="K132" t="str" cm="1">
        <f t="array" ref="K132">_xlfn.IFS(G132&lt;10000, "Low", G132&lt;=25000, "Medium", G132&gt;25000, "High")</f>
        <v>Low</v>
      </c>
    </row>
    <row r="133" spans="1:11" x14ac:dyDescent="0.3">
      <c r="A133">
        <v>19</v>
      </c>
      <c r="B133" s="1" t="s">
        <v>7</v>
      </c>
      <c r="C133">
        <v>22.895</v>
      </c>
      <c r="D133">
        <v>0</v>
      </c>
      <c r="E133" t="s">
        <v>10</v>
      </c>
      <c r="F133" t="s">
        <v>14</v>
      </c>
      <c r="G133" s="2">
        <v>2322.6217999999999</v>
      </c>
      <c r="H133" t="str" cm="1">
        <f t="array" ref="H133">_xlfn.IFS(A133&lt;=30, "Youth", A133&lt;=50, "Adult", A133&gt;50, "Older")</f>
        <v>Youth</v>
      </c>
      <c r="I133" t="str" cm="1">
        <f t="array" ref="I133">_xlfn.IFS(A133&lt;=25,"18-25",A133&lt;=35,"26-35",A133&lt;=45,"36-45",A133&lt;=60,"46-60",A133&gt;60,"60+")</f>
        <v>18-25</v>
      </c>
      <c r="J133" t="str" cm="1">
        <f t="array" ref="J133">_xlfn.IFS(C133&lt;18.5,"Underweight",C133&lt;25,"Normal",C133&lt;30,"Overweight",C133&gt;=30,"Obese")</f>
        <v>Normal</v>
      </c>
      <c r="K133" t="str" cm="1">
        <f t="array" ref="K133">_xlfn.IFS(G133&lt;10000, "Low", G133&lt;=25000, "Medium", G133&gt;25000, "High")</f>
        <v>Low</v>
      </c>
    </row>
    <row r="134" spans="1:11" x14ac:dyDescent="0.3">
      <c r="A134">
        <v>19</v>
      </c>
      <c r="B134" s="1" t="s">
        <v>7</v>
      </c>
      <c r="C134">
        <v>22.895</v>
      </c>
      <c r="D134">
        <v>0</v>
      </c>
      <c r="E134" t="s">
        <v>10</v>
      </c>
      <c r="F134" t="s">
        <v>11</v>
      </c>
      <c r="G134" s="2">
        <v>2331.5189999999998</v>
      </c>
      <c r="H134" t="str" cm="1">
        <f t="array" ref="H134">_xlfn.IFS(A134&lt;=30, "Youth", A134&lt;=50, "Adult", A134&gt;50, "Older")</f>
        <v>Youth</v>
      </c>
      <c r="I134" t="str" cm="1">
        <f t="array" ref="I134">_xlfn.IFS(A134&lt;=25,"18-25",A134&lt;=35,"26-35",A134&lt;=45,"36-45",A134&lt;=60,"46-60",A134&gt;60,"60+")</f>
        <v>18-25</v>
      </c>
      <c r="J134" t="str" cm="1">
        <f t="array" ref="J134">_xlfn.IFS(C134&lt;18.5,"Underweight",C134&lt;25,"Normal",C134&lt;30,"Overweight",C134&gt;=30,"Obese")</f>
        <v>Normal</v>
      </c>
      <c r="K134" t="str" cm="1">
        <f t="array" ref="K134">_xlfn.IFS(G134&lt;10000, "Low", G134&lt;=25000, "Medium", G134&gt;25000, "High")</f>
        <v>Low</v>
      </c>
    </row>
    <row r="135" spans="1:11" x14ac:dyDescent="0.3">
      <c r="A135">
        <v>19</v>
      </c>
      <c r="B135" s="1" t="s">
        <v>8</v>
      </c>
      <c r="C135">
        <v>22.99</v>
      </c>
      <c r="D135">
        <v>0</v>
      </c>
      <c r="E135" t="s">
        <v>10</v>
      </c>
      <c r="F135" t="s">
        <v>13</v>
      </c>
      <c r="G135" s="2">
        <v>2352.9684499999998</v>
      </c>
      <c r="H135" t="str" cm="1">
        <f t="array" ref="H135">_xlfn.IFS(A135&lt;=30, "Youth", A135&lt;=50, "Adult", A135&gt;50, "Older")</f>
        <v>Youth</v>
      </c>
      <c r="I135" t="str" cm="1">
        <f t="array" ref="I135">_xlfn.IFS(A135&lt;=25,"18-25",A135&lt;=35,"26-35",A135&lt;=45,"36-45",A135&lt;=60,"46-60",A135&gt;60,"60+")</f>
        <v>18-25</v>
      </c>
      <c r="J135" t="str" cm="1">
        <f t="array" ref="J135">_xlfn.IFS(C135&lt;18.5,"Underweight",C135&lt;25,"Normal",C135&lt;30,"Overweight",C135&gt;=30,"Obese")</f>
        <v>Normal</v>
      </c>
      <c r="K135" t="str" cm="1">
        <f t="array" ref="K135">_xlfn.IFS(G135&lt;10000, "Low", G135&lt;=25000, "Medium", G135&gt;25000, "High")</f>
        <v>Low</v>
      </c>
    </row>
    <row r="136" spans="1:11" x14ac:dyDescent="0.3">
      <c r="A136">
        <v>19</v>
      </c>
      <c r="B136" s="1" t="s">
        <v>7</v>
      </c>
      <c r="C136">
        <v>22.99</v>
      </c>
      <c r="D136">
        <v>0</v>
      </c>
      <c r="E136" t="s">
        <v>10</v>
      </c>
      <c r="F136" t="s">
        <v>14</v>
      </c>
      <c r="G136" s="2">
        <v>2362.2290499999999</v>
      </c>
      <c r="H136" t="str" cm="1">
        <f t="array" ref="H136">_xlfn.IFS(A136&lt;=30, "Youth", A136&lt;=50, "Adult", A136&gt;50, "Older")</f>
        <v>Youth</v>
      </c>
      <c r="I136" t="str" cm="1">
        <f t="array" ref="I136">_xlfn.IFS(A136&lt;=25,"18-25",A136&lt;=35,"26-35",A136&lt;=45,"36-45",A136&lt;=60,"46-60",A136&gt;60,"60+")</f>
        <v>18-25</v>
      </c>
      <c r="J136" t="str" cm="1">
        <f t="array" ref="J136">_xlfn.IFS(C136&lt;18.5,"Underweight",C136&lt;25,"Normal",C136&lt;30,"Overweight",C136&gt;=30,"Obese")</f>
        <v>Normal</v>
      </c>
      <c r="K136" t="str" cm="1">
        <f t="array" ref="K136">_xlfn.IFS(G136&lt;10000, "Low", G136&lt;=25000, "Medium", G136&gt;25000, "High")</f>
        <v>Low</v>
      </c>
    </row>
    <row r="137" spans="1:11" x14ac:dyDescent="0.3">
      <c r="A137">
        <v>19</v>
      </c>
      <c r="B137" s="1" t="s">
        <v>7</v>
      </c>
      <c r="C137">
        <v>22.99</v>
      </c>
      <c r="D137">
        <v>0</v>
      </c>
      <c r="E137" t="s">
        <v>10</v>
      </c>
      <c r="F137" t="s">
        <v>12</v>
      </c>
      <c r="G137" s="2">
        <v>2395.17155</v>
      </c>
      <c r="H137" t="str" cm="1">
        <f t="array" ref="H137">_xlfn.IFS(A137&lt;=30, "Youth", A137&lt;=50, "Adult", A137&gt;50, "Older")</f>
        <v>Youth</v>
      </c>
      <c r="I137" t="str" cm="1">
        <f t="array" ref="I137">_xlfn.IFS(A137&lt;=25,"18-25",A137&lt;=35,"26-35",A137&lt;=45,"36-45",A137&lt;=60,"46-60",A137&gt;60,"60+")</f>
        <v>18-25</v>
      </c>
      <c r="J137" t="str" cm="1">
        <f t="array" ref="J137">_xlfn.IFS(C137&lt;18.5,"Underweight",C137&lt;25,"Normal",C137&lt;30,"Overweight",C137&gt;=30,"Obese")</f>
        <v>Normal</v>
      </c>
      <c r="K137" t="str" cm="1">
        <f t="array" ref="K137">_xlfn.IFS(G137&lt;10000, "Low", G137&lt;=25000, "Medium", G137&gt;25000, "High")</f>
        <v>Low</v>
      </c>
    </row>
    <row r="138" spans="1:11" x14ac:dyDescent="0.3">
      <c r="A138">
        <v>20</v>
      </c>
      <c r="B138" s="1" t="s">
        <v>8</v>
      </c>
      <c r="C138">
        <v>23</v>
      </c>
      <c r="D138">
        <v>0</v>
      </c>
      <c r="E138" t="s">
        <v>10</v>
      </c>
      <c r="F138" t="s">
        <v>11</v>
      </c>
      <c r="G138" s="2">
        <v>2396.0958999999998</v>
      </c>
      <c r="H138" t="str" cm="1">
        <f t="array" ref="H138">_xlfn.IFS(A138&lt;=30, "Youth", A138&lt;=50, "Adult", A138&gt;50, "Older")</f>
        <v>Youth</v>
      </c>
      <c r="I138" t="str" cm="1">
        <f t="array" ref="I138">_xlfn.IFS(A138&lt;=25,"18-25",A138&lt;=35,"26-35",A138&lt;=45,"36-45",A138&lt;=60,"46-60",A138&gt;60,"60+")</f>
        <v>18-25</v>
      </c>
      <c r="J138" t="str" cm="1">
        <f t="array" ref="J138">_xlfn.IFS(C138&lt;18.5,"Underweight",C138&lt;25,"Normal",C138&lt;30,"Overweight",C138&gt;=30,"Obese")</f>
        <v>Normal</v>
      </c>
      <c r="K138" t="str" cm="1">
        <f t="array" ref="K138">_xlfn.IFS(G138&lt;10000, "Low", G138&lt;=25000, "Medium", G138&gt;25000, "High")</f>
        <v>Low</v>
      </c>
    </row>
    <row r="139" spans="1:11" x14ac:dyDescent="0.3">
      <c r="A139">
        <v>20</v>
      </c>
      <c r="B139" s="1" t="s">
        <v>8</v>
      </c>
      <c r="C139">
        <v>23.085000000000001</v>
      </c>
      <c r="D139">
        <v>0</v>
      </c>
      <c r="E139" t="s">
        <v>10</v>
      </c>
      <c r="F139" t="s">
        <v>13</v>
      </c>
      <c r="G139" s="2">
        <v>2404.7338</v>
      </c>
      <c r="H139" t="str" cm="1">
        <f t="array" ref="H139">_xlfn.IFS(A139&lt;=30, "Youth", A139&lt;=50, "Adult", A139&gt;50, "Older")</f>
        <v>Youth</v>
      </c>
      <c r="I139" t="str" cm="1">
        <f t="array" ref="I139">_xlfn.IFS(A139&lt;=25,"18-25",A139&lt;=35,"26-35",A139&lt;=45,"36-45",A139&lt;=60,"46-60",A139&gt;60,"60+")</f>
        <v>18-25</v>
      </c>
      <c r="J139" t="str" cm="1">
        <f t="array" ref="J139">_xlfn.IFS(C139&lt;18.5,"Underweight",C139&lt;25,"Normal",C139&lt;30,"Overweight",C139&gt;=30,"Obese")</f>
        <v>Normal</v>
      </c>
      <c r="K139" t="str" cm="1">
        <f t="array" ref="K139">_xlfn.IFS(G139&lt;10000, "Low", G139&lt;=25000, "Medium", G139&gt;25000, "High")</f>
        <v>Low</v>
      </c>
    </row>
    <row r="140" spans="1:11" x14ac:dyDescent="0.3">
      <c r="A140">
        <v>20</v>
      </c>
      <c r="B140" s="1" t="s">
        <v>7</v>
      </c>
      <c r="C140">
        <v>23.085000000000001</v>
      </c>
      <c r="D140">
        <v>0</v>
      </c>
      <c r="E140" t="s">
        <v>10</v>
      </c>
      <c r="F140" t="s">
        <v>12</v>
      </c>
      <c r="G140" s="2">
        <v>2416.9549999999999</v>
      </c>
      <c r="H140" t="str" cm="1">
        <f t="array" ref="H140">_xlfn.IFS(A140&lt;=30, "Youth", A140&lt;=50, "Adult", A140&gt;50, "Older")</f>
        <v>Youth</v>
      </c>
      <c r="I140" t="str" cm="1">
        <f t="array" ref="I140">_xlfn.IFS(A140&lt;=25,"18-25",A140&lt;=35,"26-35",A140&lt;=45,"36-45",A140&lt;=60,"46-60",A140&gt;60,"60+")</f>
        <v>18-25</v>
      </c>
      <c r="J140" t="str" cm="1">
        <f t="array" ref="J140">_xlfn.IFS(C140&lt;18.5,"Underweight",C140&lt;25,"Normal",C140&lt;30,"Overweight",C140&gt;=30,"Obese")</f>
        <v>Normal</v>
      </c>
      <c r="K140" t="str" cm="1">
        <f t="array" ref="K140">_xlfn.IFS(G140&lt;10000, "Low", G140&lt;=25000, "Medium", G140&gt;25000, "High")</f>
        <v>Low</v>
      </c>
    </row>
    <row r="141" spans="1:11" x14ac:dyDescent="0.3">
      <c r="A141">
        <v>20</v>
      </c>
      <c r="B141" s="1" t="s">
        <v>7</v>
      </c>
      <c r="C141">
        <v>23.1</v>
      </c>
      <c r="D141">
        <v>0</v>
      </c>
      <c r="E141" t="s">
        <v>10</v>
      </c>
      <c r="F141" t="s">
        <v>11</v>
      </c>
      <c r="G141" s="2">
        <v>2438.0551999999998</v>
      </c>
      <c r="H141" t="str" cm="1">
        <f t="array" ref="H141">_xlfn.IFS(A141&lt;=30, "Youth", A141&lt;=50, "Adult", A141&gt;50, "Older")</f>
        <v>Youth</v>
      </c>
      <c r="I141" t="str" cm="1">
        <f t="array" ref="I141">_xlfn.IFS(A141&lt;=25,"18-25",A141&lt;=35,"26-35",A141&lt;=45,"36-45",A141&lt;=60,"46-60",A141&gt;60,"60+")</f>
        <v>18-25</v>
      </c>
      <c r="J141" t="str" cm="1">
        <f t="array" ref="J141">_xlfn.IFS(C141&lt;18.5,"Underweight",C141&lt;25,"Normal",C141&lt;30,"Overweight",C141&gt;=30,"Obese")</f>
        <v>Normal</v>
      </c>
      <c r="K141" t="str" cm="1">
        <f t="array" ref="K141">_xlfn.IFS(G141&lt;10000, "Low", G141&lt;=25000, "Medium", G141&gt;25000, "High")</f>
        <v>Low</v>
      </c>
    </row>
    <row r="142" spans="1:11" x14ac:dyDescent="0.3">
      <c r="A142">
        <v>20</v>
      </c>
      <c r="B142" s="1" t="s">
        <v>8</v>
      </c>
      <c r="C142">
        <v>23.18</v>
      </c>
      <c r="D142">
        <v>0</v>
      </c>
      <c r="E142" t="s">
        <v>10</v>
      </c>
      <c r="F142" t="s">
        <v>14</v>
      </c>
      <c r="G142" s="2">
        <v>2457.2111500000001</v>
      </c>
      <c r="H142" t="str" cm="1">
        <f t="array" ref="H142">_xlfn.IFS(A142&lt;=30, "Youth", A142&lt;=50, "Adult", A142&gt;50, "Older")</f>
        <v>Youth</v>
      </c>
      <c r="I142" t="str" cm="1">
        <f t="array" ref="I142">_xlfn.IFS(A142&lt;=25,"18-25",A142&lt;=35,"26-35",A142&lt;=45,"36-45",A142&lt;=60,"46-60",A142&gt;60,"60+")</f>
        <v>18-25</v>
      </c>
      <c r="J142" t="str" cm="1">
        <f t="array" ref="J142">_xlfn.IFS(C142&lt;18.5,"Underweight",C142&lt;25,"Normal",C142&lt;30,"Overweight",C142&gt;=30,"Obese")</f>
        <v>Normal</v>
      </c>
      <c r="K142" t="str" cm="1">
        <f t="array" ref="K142">_xlfn.IFS(G142&lt;10000, "Low", G142&lt;=25000, "Medium", G142&gt;25000, "High")</f>
        <v>Low</v>
      </c>
    </row>
    <row r="143" spans="1:11" x14ac:dyDescent="0.3">
      <c r="A143">
        <v>20</v>
      </c>
      <c r="B143" s="1" t="s">
        <v>8</v>
      </c>
      <c r="C143">
        <v>23.18</v>
      </c>
      <c r="D143">
        <v>0</v>
      </c>
      <c r="E143" t="s">
        <v>10</v>
      </c>
      <c r="F143" t="s">
        <v>14</v>
      </c>
      <c r="G143" s="2">
        <v>2457.502</v>
      </c>
      <c r="H143" t="str" cm="1">
        <f t="array" ref="H143">_xlfn.IFS(A143&lt;=30, "Youth", A143&lt;=50, "Adult", A143&gt;50, "Older")</f>
        <v>Youth</v>
      </c>
      <c r="I143" t="str" cm="1">
        <f t="array" ref="I143">_xlfn.IFS(A143&lt;=25,"18-25",A143&lt;=35,"26-35",A143&lt;=45,"36-45",A143&lt;=60,"46-60",A143&gt;60,"60+")</f>
        <v>18-25</v>
      </c>
      <c r="J143" t="str" cm="1">
        <f t="array" ref="J143">_xlfn.IFS(C143&lt;18.5,"Underweight",C143&lt;25,"Normal",C143&lt;30,"Overweight",C143&gt;=30,"Obese")</f>
        <v>Normal</v>
      </c>
      <c r="K143" t="str" cm="1">
        <f t="array" ref="K143">_xlfn.IFS(G143&lt;10000, "Low", G143&lt;=25000, "Medium", G143&gt;25000, "High")</f>
        <v>Low</v>
      </c>
    </row>
    <row r="144" spans="1:11" x14ac:dyDescent="0.3">
      <c r="A144">
        <v>20</v>
      </c>
      <c r="B144" s="1" t="s">
        <v>8</v>
      </c>
      <c r="C144">
        <v>23.18</v>
      </c>
      <c r="D144">
        <v>0</v>
      </c>
      <c r="E144" t="s">
        <v>9</v>
      </c>
      <c r="F144" t="s">
        <v>12</v>
      </c>
      <c r="G144" s="2">
        <v>2459.7201</v>
      </c>
      <c r="H144" t="str" cm="1">
        <f t="array" ref="H144">_xlfn.IFS(A144&lt;=30, "Youth", A144&lt;=50, "Adult", A144&gt;50, "Older")</f>
        <v>Youth</v>
      </c>
      <c r="I144" t="str" cm="1">
        <f t="array" ref="I144">_xlfn.IFS(A144&lt;=25,"18-25",A144&lt;=35,"26-35",A144&lt;=45,"36-45",A144&lt;=60,"46-60",A144&gt;60,"60+")</f>
        <v>18-25</v>
      </c>
      <c r="J144" t="str" cm="1">
        <f t="array" ref="J144">_xlfn.IFS(C144&lt;18.5,"Underweight",C144&lt;25,"Normal",C144&lt;30,"Overweight",C144&gt;=30,"Obese")</f>
        <v>Normal</v>
      </c>
      <c r="K144" t="str" cm="1">
        <f t="array" ref="K144">_xlfn.IFS(G144&lt;10000, "Low", G144&lt;=25000, "Medium", G144&gt;25000, "High")</f>
        <v>Low</v>
      </c>
    </row>
    <row r="145" spans="1:11" x14ac:dyDescent="0.3">
      <c r="A145">
        <v>20</v>
      </c>
      <c r="B145" s="1" t="s">
        <v>8</v>
      </c>
      <c r="C145">
        <v>23.18</v>
      </c>
      <c r="D145">
        <v>0</v>
      </c>
      <c r="E145" t="s">
        <v>10</v>
      </c>
      <c r="F145" t="s">
        <v>13</v>
      </c>
      <c r="G145" s="2">
        <v>2464.6188000000002</v>
      </c>
      <c r="H145" t="str" cm="1">
        <f t="array" ref="H145">_xlfn.IFS(A145&lt;=30, "Youth", A145&lt;=50, "Adult", A145&gt;50, "Older")</f>
        <v>Youth</v>
      </c>
      <c r="I145" t="str" cm="1">
        <f t="array" ref="I145">_xlfn.IFS(A145&lt;=25,"18-25",A145&lt;=35,"26-35",A145&lt;=45,"36-45",A145&lt;=60,"46-60",A145&gt;60,"60+")</f>
        <v>18-25</v>
      </c>
      <c r="J145" t="str" cm="1">
        <f t="array" ref="J145">_xlfn.IFS(C145&lt;18.5,"Underweight",C145&lt;25,"Normal",C145&lt;30,"Overweight",C145&gt;=30,"Obese")</f>
        <v>Normal</v>
      </c>
      <c r="K145" t="str" cm="1">
        <f t="array" ref="K145">_xlfn.IFS(G145&lt;10000, "Low", G145&lt;=25000, "Medium", G145&gt;25000, "High")</f>
        <v>Low</v>
      </c>
    </row>
    <row r="146" spans="1:11" x14ac:dyDescent="0.3">
      <c r="A146">
        <v>20</v>
      </c>
      <c r="B146" s="1" t="s">
        <v>8</v>
      </c>
      <c r="C146">
        <v>23.18</v>
      </c>
      <c r="D146">
        <v>0</v>
      </c>
      <c r="E146" t="s">
        <v>9</v>
      </c>
      <c r="F146" t="s">
        <v>13</v>
      </c>
      <c r="G146" s="2">
        <v>2473.3341</v>
      </c>
      <c r="H146" t="str" cm="1">
        <f t="array" ref="H146">_xlfn.IFS(A146&lt;=30, "Youth", A146&lt;=50, "Adult", A146&gt;50, "Older")</f>
        <v>Youth</v>
      </c>
      <c r="I146" t="str" cm="1">
        <f t="array" ref="I146">_xlfn.IFS(A146&lt;=25,"18-25",A146&lt;=35,"26-35",A146&lt;=45,"36-45",A146&lt;=60,"46-60",A146&gt;60,"60+")</f>
        <v>18-25</v>
      </c>
      <c r="J146" t="str" cm="1">
        <f t="array" ref="J146">_xlfn.IFS(C146&lt;18.5,"Underweight",C146&lt;25,"Normal",C146&lt;30,"Overweight",C146&gt;=30,"Obese")</f>
        <v>Normal</v>
      </c>
      <c r="K146" t="str" cm="1">
        <f t="array" ref="K146">_xlfn.IFS(G146&lt;10000, "Low", G146&lt;=25000, "Medium", G146&gt;25000, "High")</f>
        <v>Low</v>
      </c>
    </row>
    <row r="147" spans="1:11" x14ac:dyDescent="0.3">
      <c r="A147">
        <v>20</v>
      </c>
      <c r="B147" s="1" t="s">
        <v>7</v>
      </c>
      <c r="C147">
        <v>23.2</v>
      </c>
      <c r="D147">
        <v>0</v>
      </c>
      <c r="E147" t="s">
        <v>10</v>
      </c>
      <c r="F147" t="s">
        <v>12</v>
      </c>
      <c r="G147" s="2">
        <v>2480.9791</v>
      </c>
      <c r="H147" t="str" cm="1">
        <f t="array" ref="H147">_xlfn.IFS(A147&lt;=30, "Youth", A147&lt;=50, "Adult", A147&gt;50, "Older")</f>
        <v>Youth</v>
      </c>
      <c r="I147" t="str" cm="1">
        <f t="array" ref="I147">_xlfn.IFS(A147&lt;=25,"18-25",A147&lt;=35,"26-35",A147&lt;=45,"36-45",A147&lt;=60,"46-60",A147&gt;60,"60+")</f>
        <v>18-25</v>
      </c>
      <c r="J147" t="str" cm="1">
        <f t="array" ref="J147">_xlfn.IFS(C147&lt;18.5,"Underweight",C147&lt;25,"Normal",C147&lt;30,"Overweight",C147&gt;=30,"Obese")</f>
        <v>Normal</v>
      </c>
      <c r="K147" t="str" cm="1">
        <f t="array" ref="K147">_xlfn.IFS(G147&lt;10000, "Low", G147&lt;=25000, "Medium", G147&gt;25000, "High")</f>
        <v>Low</v>
      </c>
    </row>
    <row r="148" spans="1:11" x14ac:dyDescent="0.3">
      <c r="A148">
        <v>20</v>
      </c>
      <c r="B148" s="1" t="s">
        <v>8</v>
      </c>
      <c r="C148">
        <v>23.21</v>
      </c>
      <c r="D148">
        <v>0</v>
      </c>
      <c r="E148" t="s">
        <v>9</v>
      </c>
      <c r="F148" t="s">
        <v>13</v>
      </c>
      <c r="G148" s="2">
        <v>2483.7359999999999</v>
      </c>
      <c r="H148" t="str" cm="1">
        <f t="array" ref="H148">_xlfn.IFS(A148&lt;=30, "Youth", A148&lt;=50, "Adult", A148&gt;50, "Older")</f>
        <v>Youth</v>
      </c>
      <c r="I148" t="str" cm="1">
        <f t="array" ref="I148">_xlfn.IFS(A148&lt;=25,"18-25",A148&lt;=35,"26-35",A148&lt;=45,"36-45",A148&lt;=60,"46-60",A148&gt;60,"60+")</f>
        <v>18-25</v>
      </c>
      <c r="J148" t="str" cm="1">
        <f t="array" ref="J148">_xlfn.IFS(C148&lt;18.5,"Underweight",C148&lt;25,"Normal",C148&lt;30,"Overweight",C148&gt;=30,"Obese")</f>
        <v>Normal</v>
      </c>
      <c r="K148" t="str" cm="1">
        <f t="array" ref="K148">_xlfn.IFS(G148&lt;10000, "Low", G148&lt;=25000, "Medium", G148&gt;25000, "High")</f>
        <v>Low</v>
      </c>
    </row>
    <row r="149" spans="1:11" x14ac:dyDescent="0.3">
      <c r="A149">
        <v>20</v>
      </c>
      <c r="B149" s="1" t="s">
        <v>7</v>
      </c>
      <c r="C149">
        <v>23.21</v>
      </c>
      <c r="D149">
        <v>0</v>
      </c>
      <c r="E149" t="s">
        <v>10</v>
      </c>
      <c r="F149" t="s">
        <v>12</v>
      </c>
      <c r="G149" s="2">
        <v>2494.0219999999999</v>
      </c>
      <c r="H149" t="str" cm="1">
        <f t="array" ref="H149">_xlfn.IFS(A149&lt;=30, "Youth", A149&lt;=50, "Adult", A149&gt;50, "Older")</f>
        <v>Youth</v>
      </c>
      <c r="I149" t="str" cm="1">
        <f t="array" ref="I149">_xlfn.IFS(A149&lt;=25,"18-25",A149&lt;=35,"26-35",A149&lt;=45,"36-45",A149&lt;=60,"46-60",A149&gt;60,"60+")</f>
        <v>18-25</v>
      </c>
      <c r="J149" t="str" cm="1">
        <f t="array" ref="J149">_xlfn.IFS(C149&lt;18.5,"Underweight",C149&lt;25,"Normal",C149&lt;30,"Overweight",C149&gt;=30,"Obese")</f>
        <v>Normal</v>
      </c>
      <c r="K149" t="str" cm="1">
        <f t="array" ref="K149">_xlfn.IFS(G149&lt;10000, "Low", G149&lt;=25000, "Medium", G149&gt;25000, "High")</f>
        <v>Low</v>
      </c>
    </row>
    <row r="150" spans="1:11" x14ac:dyDescent="0.3">
      <c r="A150">
        <v>20</v>
      </c>
      <c r="B150" s="1" t="s">
        <v>7</v>
      </c>
      <c r="C150">
        <v>23.21</v>
      </c>
      <c r="D150">
        <v>0</v>
      </c>
      <c r="E150" t="s">
        <v>10</v>
      </c>
      <c r="F150" t="s">
        <v>13</v>
      </c>
      <c r="G150" s="2">
        <v>2497.0383000000002</v>
      </c>
      <c r="H150" t="str" cm="1">
        <f t="array" ref="H150">_xlfn.IFS(A150&lt;=30, "Youth", A150&lt;=50, "Adult", A150&gt;50, "Older")</f>
        <v>Youth</v>
      </c>
      <c r="I150" t="str" cm="1">
        <f t="array" ref="I150">_xlfn.IFS(A150&lt;=25,"18-25",A150&lt;=35,"26-35",A150&lt;=45,"36-45",A150&lt;=60,"46-60",A150&gt;60,"60+")</f>
        <v>18-25</v>
      </c>
      <c r="J150" t="str" cm="1">
        <f t="array" ref="J150">_xlfn.IFS(C150&lt;18.5,"Underweight",C150&lt;25,"Normal",C150&lt;30,"Overweight",C150&gt;=30,"Obese")</f>
        <v>Normal</v>
      </c>
      <c r="K150" t="str" cm="1">
        <f t="array" ref="K150">_xlfn.IFS(G150&lt;10000, "Low", G150&lt;=25000, "Medium", G150&gt;25000, "High")</f>
        <v>Low</v>
      </c>
    </row>
    <row r="151" spans="1:11" x14ac:dyDescent="0.3">
      <c r="A151">
        <v>20</v>
      </c>
      <c r="B151" s="1" t="s">
        <v>8</v>
      </c>
      <c r="C151">
        <v>23.21</v>
      </c>
      <c r="D151">
        <v>0</v>
      </c>
      <c r="E151" t="s">
        <v>10</v>
      </c>
      <c r="F151" t="s">
        <v>11</v>
      </c>
      <c r="G151" s="2">
        <v>2498.4144000000001</v>
      </c>
      <c r="H151" t="str" cm="1">
        <f t="array" ref="H151">_xlfn.IFS(A151&lt;=30, "Youth", A151&lt;=50, "Adult", A151&gt;50, "Older")</f>
        <v>Youth</v>
      </c>
      <c r="I151" t="str" cm="1">
        <f t="array" ref="I151">_xlfn.IFS(A151&lt;=25,"18-25",A151&lt;=35,"26-35",A151&lt;=45,"36-45",A151&lt;=60,"46-60",A151&gt;60,"60+")</f>
        <v>18-25</v>
      </c>
      <c r="J151" t="str" cm="1">
        <f t="array" ref="J151">_xlfn.IFS(C151&lt;18.5,"Underweight",C151&lt;25,"Normal",C151&lt;30,"Overweight",C151&gt;=30,"Obese")</f>
        <v>Normal</v>
      </c>
      <c r="K151" t="str" cm="1">
        <f t="array" ref="K151">_xlfn.IFS(G151&lt;10000, "Low", G151&lt;=25000, "Medium", G151&gt;25000, "High")</f>
        <v>Low</v>
      </c>
    </row>
    <row r="152" spans="1:11" x14ac:dyDescent="0.3">
      <c r="A152">
        <v>20</v>
      </c>
      <c r="B152" s="1" t="s">
        <v>8</v>
      </c>
      <c r="C152">
        <v>23.21</v>
      </c>
      <c r="D152">
        <v>0</v>
      </c>
      <c r="E152" t="s">
        <v>10</v>
      </c>
      <c r="F152" t="s">
        <v>13</v>
      </c>
      <c r="G152" s="2">
        <v>2523.1695</v>
      </c>
      <c r="H152" t="str" cm="1">
        <f t="array" ref="H152">_xlfn.IFS(A152&lt;=30, "Youth", A152&lt;=50, "Adult", A152&gt;50, "Older")</f>
        <v>Youth</v>
      </c>
      <c r="I152" t="str" cm="1">
        <f t="array" ref="I152">_xlfn.IFS(A152&lt;=25,"18-25",A152&lt;=35,"26-35",A152&lt;=45,"36-45",A152&lt;=60,"46-60",A152&gt;60,"60+")</f>
        <v>18-25</v>
      </c>
      <c r="J152" t="str" cm="1">
        <f t="array" ref="J152">_xlfn.IFS(C152&lt;18.5,"Underweight",C152&lt;25,"Normal",C152&lt;30,"Overweight",C152&gt;=30,"Obese")</f>
        <v>Normal</v>
      </c>
      <c r="K152" t="str" cm="1">
        <f t="array" ref="K152">_xlfn.IFS(G152&lt;10000, "Low", G152&lt;=25000, "Medium", G152&gt;25000, "High")</f>
        <v>Low</v>
      </c>
    </row>
    <row r="153" spans="1:11" x14ac:dyDescent="0.3">
      <c r="A153">
        <v>20</v>
      </c>
      <c r="B153" s="1" t="s">
        <v>8</v>
      </c>
      <c r="C153">
        <v>23.274999999999999</v>
      </c>
      <c r="D153">
        <v>0</v>
      </c>
      <c r="E153" t="s">
        <v>10</v>
      </c>
      <c r="F153" t="s">
        <v>12</v>
      </c>
      <c r="G153" s="2">
        <v>2527.8186500000002</v>
      </c>
      <c r="H153" t="str" cm="1">
        <f t="array" ref="H153">_xlfn.IFS(A153&lt;=30, "Youth", A153&lt;=50, "Adult", A153&gt;50, "Older")</f>
        <v>Youth</v>
      </c>
      <c r="I153" t="str" cm="1">
        <f t="array" ref="I153">_xlfn.IFS(A153&lt;=25,"18-25",A153&lt;=35,"26-35",A153&lt;=45,"36-45",A153&lt;=60,"46-60",A153&gt;60,"60+")</f>
        <v>18-25</v>
      </c>
      <c r="J153" t="str" cm="1">
        <f t="array" ref="J153">_xlfn.IFS(C153&lt;18.5,"Underweight",C153&lt;25,"Normal",C153&lt;30,"Overweight",C153&gt;=30,"Obese")</f>
        <v>Normal</v>
      </c>
      <c r="K153" t="str" cm="1">
        <f t="array" ref="K153">_xlfn.IFS(G153&lt;10000, "Low", G153&lt;=25000, "Medium", G153&gt;25000, "High")</f>
        <v>Low</v>
      </c>
    </row>
    <row r="154" spans="1:11" x14ac:dyDescent="0.3">
      <c r="A154">
        <v>20</v>
      </c>
      <c r="B154" s="1" t="s">
        <v>7</v>
      </c>
      <c r="C154">
        <v>23.3</v>
      </c>
      <c r="D154">
        <v>0</v>
      </c>
      <c r="E154" t="s">
        <v>10</v>
      </c>
      <c r="F154" t="s">
        <v>14</v>
      </c>
      <c r="G154" s="2">
        <v>2534.3937500000002</v>
      </c>
      <c r="H154" t="str" cm="1">
        <f t="array" ref="H154">_xlfn.IFS(A154&lt;=30, "Youth", A154&lt;=50, "Adult", A154&gt;50, "Older")</f>
        <v>Youth</v>
      </c>
      <c r="I154" t="str" cm="1">
        <f t="array" ref="I154">_xlfn.IFS(A154&lt;=25,"18-25",A154&lt;=35,"26-35",A154&lt;=45,"36-45",A154&lt;=60,"46-60",A154&gt;60,"60+")</f>
        <v>18-25</v>
      </c>
      <c r="J154" t="str" cm="1">
        <f t="array" ref="J154">_xlfn.IFS(C154&lt;18.5,"Underweight",C154&lt;25,"Normal",C154&lt;30,"Overweight",C154&gt;=30,"Obese")</f>
        <v>Normal</v>
      </c>
      <c r="K154" t="str" cm="1">
        <f t="array" ref="K154">_xlfn.IFS(G154&lt;10000, "Low", G154&lt;=25000, "Medium", G154&gt;25000, "High")</f>
        <v>Low</v>
      </c>
    </row>
    <row r="155" spans="1:11" x14ac:dyDescent="0.3">
      <c r="A155">
        <v>20</v>
      </c>
      <c r="B155" s="1" t="s">
        <v>7</v>
      </c>
      <c r="C155">
        <v>23.32</v>
      </c>
      <c r="D155">
        <v>0</v>
      </c>
      <c r="E155" t="s">
        <v>9</v>
      </c>
      <c r="F155" t="s">
        <v>14</v>
      </c>
      <c r="G155" s="2">
        <v>2566.4706999999999</v>
      </c>
      <c r="H155" t="str" cm="1">
        <f t="array" ref="H155">_xlfn.IFS(A155&lt;=30, "Youth", A155&lt;=50, "Adult", A155&gt;50, "Older")</f>
        <v>Youth</v>
      </c>
      <c r="I155" t="str" cm="1">
        <f t="array" ref="I155">_xlfn.IFS(A155&lt;=25,"18-25",A155&lt;=35,"26-35",A155&lt;=45,"36-45",A155&lt;=60,"46-60",A155&gt;60,"60+")</f>
        <v>18-25</v>
      </c>
      <c r="J155" t="str" cm="1">
        <f t="array" ref="J155">_xlfn.IFS(C155&lt;18.5,"Underweight",C155&lt;25,"Normal",C155&lt;30,"Overweight",C155&gt;=30,"Obese")</f>
        <v>Normal</v>
      </c>
      <c r="K155" t="str" cm="1">
        <f t="array" ref="K155">_xlfn.IFS(G155&lt;10000, "Low", G155&lt;=25000, "Medium", G155&gt;25000, "High")</f>
        <v>Low</v>
      </c>
    </row>
    <row r="156" spans="1:11" x14ac:dyDescent="0.3">
      <c r="A156">
        <v>20</v>
      </c>
      <c r="B156" s="1" t="s">
        <v>7</v>
      </c>
      <c r="C156">
        <v>23.37</v>
      </c>
      <c r="D156">
        <v>0</v>
      </c>
      <c r="E156" t="s">
        <v>10</v>
      </c>
      <c r="F156" t="s">
        <v>14</v>
      </c>
      <c r="G156" s="2">
        <v>2585.2689999999998</v>
      </c>
      <c r="H156" t="str" cm="1">
        <f t="array" ref="H156">_xlfn.IFS(A156&lt;=30, "Youth", A156&lt;=50, "Adult", A156&gt;50, "Older")</f>
        <v>Youth</v>
      </c>
      <c r="I156" t="str" cm="1">
        <f t="array" ref="I156">_xlfn.IFS(A156&lt;=25,"18-25",A156&lt;=35,"26-35",A156&lt;=45,"36-45",A156&lt;=60,"46-60",A156&gt;60,"60+")</f>
        <v>18-25</v>
      </c>
      <c r="J156" t="str" cm="1">
        <f t="array" ref="J156">_xlfn.IFS(C156&lt;18.5,"Underweight",C156&lt;25,"Normal",C156&lt;30,"Overweight",C156&gt;=30,"Obese")</f>
        <v>Normal</v>
      </c>
      <c r="K156" t="str" cm="1">
        <f t="array" ref="K156">_xlfn.IFS(G156&lt;10000, "Low", G156&lt;=25000, "Medium", G156&gt;25000, "High")</f>
        <v>Low</v>
      </c>
    </row>
    <row r="157" spans="1:11" x14ac:dyDescent="0.3">
      <c r="A157">
        <v>20</v>
      </c>
      <c r="B157" s="1" t="s">
        <v>8</v>
      </c>
      <c r="C157">
        <v>23.37</v>
      </c>
      <c r="D157">
        <v>0</v>
      </c>
      <c r="E157" t="s">
        <v>10</v>
      </c>
      <c r="F157" t="s">
        <v>13</v>
      </c>
      <c r="G157" s="2">
        <v>2585.8506499999999</v>
      </c>
      <c r="H157" t="str" cm="1">
        <f t="array" ref="H157">_xlfn.IFS(A157&lt;=30, "Youth", A157&lt;=50, "Adult", A157&gt;50, "Older")</f>
        <v>Youth</v>
      </c>
      <c r="I157" t="str" cm="1">
        <f t="array" ref="I157">_xlfn.IFS(A157&lt;=25,"18-25",A157&lt;=35,"26-35",A157&lt;=45,"36-45",A157&lt;=60,"46-60",A157&gt;60,"60+")</f>
        <v>18-25</v>
      </c>
      <c r="J157" t="str" cm="1">
        <f t="array" ref="J157">_xlfn.IFS(C157&lt;18.5,"Underweight",C157&lt;25,"Normal",C157&lt;30,"Overweight",C157&gt;=30,"Obese")</f>
        <v>Normal</v>
      </c>
      <c r="K157" t="str" cm="1">
        <f t="array" ref="K157">_xlfn.IFS(G157&lt;10000, "Low", G157&lt;=25000, "Medium", G157&gt;25000, "High")</f>
        <v>Low</v>
      </c>
    </row>
    <row r="158" spans="1:11" x14ac:dyDescent="0.3">
      <c r="A158">
        <v>20</v>
      </c>
      <c r="B158" s="1" t="s">
        <v>8</v>
      </c>
      <c r="C158">
        <v>23.37</v>
      </c>
      <c r="D158">
        <v>0</v>
      </c>
      <c r="E158" t="s">
        <v>9</v>
      </c>
      <c r="F158" t="s">
        <v>12</v>
      </c>
      <c r="G158" s="2">
        <v>2597.779</v>
      </c>
      <c r="H158" t="str" cm="1">
        <f t="array" ref="H158">_xlfn.IFS(A158&lt;=30, "Youth", A158&lt;=50, "Adult", A158&gt;50, "Older")</f>
        <v>Youth</v>
      </c>
      <c r="I158" t="str" cm="1">
        <f t="array" ref="I158">_xlfn.IFS(A158&lt;=25,"18-25",A158&lt;=35,"26-35",A158&lt;=45,"36-45",A158&lt;=60,"46-60",A158&gt;60,"60+")</f>
        <v>18-25</v>
      </c>
      <c r="J158" t="str" cm="1">
        <f t="array" ref="J158">_xlfn.IFS(C158&lt;18.5,"Underweight",C158&lt;25,"Normal",C158&lt;30,"Overweight",C158&gt;=30,"Obese")</f>
        <v>Normal</v>
      </c>
      <c r="K158" t="str" cm="1">
        <f t="array" ref="K158">_xlfn.IFS(G158&lt;10000, "Low", G158&lt;=25000, "Medium", G158&gt;25000, "High")</f>
        <v>Low</v>
      </c>
    </row>
    <row r="159" spans="1:11" x14ac:dyDescent="0.3">
      <c r="A159">
        <v>20</v>
      </c>
      <c r="B159" s="1" t="s">
        <v>8</v>
      </c>
      <c r="C159">
        <v>23.4</v>
      </c>
      <c r="D159">
        <v>0</v>
      </c>
      <c r="E159" t="s">
        <v>9</v>
      </c>
      <c r="F159" t="s">
        <v>14</v>
      </c>
      <c r="G159" s="2">
        <v>2632.9920000000002</v>
      </c>
      <c r="H159" t="str" cm="1">
        <f t="array" ref="H159">_xlfn.IFS(A159&lt;=30, "Youth", A159&lt;=50, "Adult", A159&gt;50, "Older")</f>
        <v>Youth</v>
      </c>
      <c r="I159" t="str" cm="1">
        <f t="array" ref="I159">_xlfn.IFS(A159&lt;=25,"18-25",A159&lt;=35,"26-35",A159&lt;=45,"36-45",A159&lt;=60,"46-60",A159&gt;60,"60+")</f>
        <v>18-25</v>
      </c>
      <c r="J159" t="str" cm="1">
        <f t="array" ref="J159">_xlfn.IFS(C159&lt;18.5,"Underweight",C159&lt;25,"Normal",C159&lt;30,"Overweight",C159&gt;=30,"Obese")</f>
        <v>Normal</v>
      </c>
      <c r="K159" t="str" cm="1">
        <f t="array" ref="K159">_xlfn.IFS(G159&lt;10000, "Low", G159&lt;=25000, "Medium", G159&gt;25000, "High")</f>
        <v>Low</v>
      </c>
    </row>
    <row r="160" spans="1:11" x14ac:dyDescent="0.3">
      <c r="A160">
        <v>20</v>
      </c>
      <c r="B160" s="1" t="s">
        <v>8</v>
      </c>
      <c r="C160">
        <v>23.4</v>
      </c>
      <c r="D160">
        <v>0</v>
      </c>
      <c r="E160" t="s">
        <v>9</v>
      </c>
      <c r="F160" t="s">
        <v>12</v>
      </c>
      <c r="G160" s="2">
        <v>2639.0428999999999</v>
      </c>
      <c r="H160" t="str" cm="1">
        <f t="array" ref="H160">_xlfn.IFS(A160&lt;=30, "Youth", A160&lt;=50, "Adult", A160&gt;50, "Older")</f>
        <v>Youth</v>
      </c>
      <c r="I160" t="str" cm="1">
        <f t="array" ref="I160">_xlfn.IFS(A160&lt;=25,"18-25",A160&lt;=35,"26-35",A160&lt;=45,"36-45",A160&lt;=60,"46-60",A160&gt;60,"60+")</f>
        <v>18-25</v>
      </c>
      <c r="J160" t="str" cm="1">
        <f t="array" ref="J160">_xlfn.IFS(C160&lt;18.5,"Underweight",C160&lt;25,"Normal",C160&lt;30,"Overweight",C160&gt;=30,"Obese")</f>
        <v>Normal</v>
      </c>
      <c r="K160" t="str" cm="1">
        <f t="array" ref="K160">_xlfn.IFS(G160&lt;10000, "Low", G160&lt;=25000, "Medium", G160&gt;25000, "High")</f>
        <v>Low</v>
      </c>
    </row>
    <row r="161" spans="1:11" x14ac:dyDescent="0.3">
      <c r="A161">
        <v>20</v>
      </c>
      <c r="B161" s="1" t="s">
        <v>7</v>
      </c>
      <c r="C161">
        <v>23.465</v>
      </c>
      <c r="D161">
        <v>0</v>
      </c>
      <c r="E161" t="s">
        <v>10</v>
      </c>
      <c r="F161" t="s">
        <v>12</v>
      </c>
      <c r="G161" s="2">
        <v>2643.2685000000001</v>
      </c>
      <c r="H161" t="str" cm="1">
        <f t="array" ref="H161">_xlfn.IFS(A161&lt;=30, "Youth", A161&lt;=50, "Adult", A161&gt;50, "Older")</f>
        <v>Youth</v>
      </c>
      <c r="I161" t="str" cm="1">
        <f t="array" ref="I161">_xlfn.IFS(A161&lt;=25,"18-25",A161&lt;=35,"26-35",A161&lt;=45,"36-45",A161&lt;=60,"46-60",A161&gt;60,"60+")</f>
        <v>18-25</v>
      </c>
      <c r="J161" t="str" cm="1">
        <f t="array" ref="J161">_xlfn.IFS(C161&lt;18.5,"Underweight",C161&lt;25,"Normal",C161&lt;30,"Overweight",C161&gt;=30,"Obese")</f>
        <v>Normal</v>
      </c>
      <c r="K161" t="str" cm="1">
        <f t="array" ref="K161">_xlfn.IFS(G161&lt;10000, "Low", G161&lt;=25000, "Medium", G161&gt;25000, "High")</f>
        <v>Low</v>
      </c>
    </row>
    <row r="162" spans="1:11" x14ac:dyDescent="0.3">
      <c r="A162">
        <v>20</v>
      </c>
      <c r="B162" s="1" t="s">
        <v>7</v>
      </c>
      <c r="C162">
        <v>23.465</v>
      </c>
      <c r="D162">
        <v>0</v>
      </c>
      <c r="E162" t="s">
        <v>9</v>
      </c>
      <c r="F162" t="s">
        <v>13</v>
      </c>
      <c r="G162" s="2">
        <v>2680.9493000000002</v>
      </c>
      <c r="H162" t="str" cm="1">
        <f t="array" ref="H162">_xlfn.IFS(A162&lt;=30, "Youth", A162&lt;=50, "Adult", A162&gt;50, "Older")</f>
        <v>Youth</v>
      </c>
      <c r="I162" t="str" cm="1">
        <f t="array" ref="I162">_xlfn.IFS(A162&lt;=25,"18-25",A162&lt;=35,"26-35",A162&lt;=45,"36-45",A162&lt;=60,"46-60",A162&gt;60,"60+")</f>
        <v>18-25</v>
      </c>
      <c r="J162" t="str" cm="1">
        <f t="array" ref="J162">_xlfn.IFS(C162&lt;18.5,"Underweight",C162&lt;25,"Normal",C162&lt;30,"Overweight",C162&gt;=30,"Obese")</f>
        <v>Normal</v>
      </c>
      <c r="K162" t="str" cm="1">
        <f t="array" ref="K162">_xlfn.IFS(G162&lt;10000, "Low", G162&lt;=25000, "Medium", G162&gt;25000, "High")</f>
        <v>Low</v>
      </c>
    </row>
    <row r="163" spans="1:11" x14ac:dyDescent="0.3">
      <c r="A163">
        <v>20</v>
      </c>
      <c r="B163" s="1" t="s">
        <v>7</v>
      </c>
      <c r="C163">
        <v>23.54</v>
      </c>
      <c r="D163">
        <v>0</v>
      </c>
      <c r="E163" t="s">
        <v>9</v>
      </c>
      <c r="F163" t="s">
        <v>12</v>
      </c>
      <c r="G163" s="2">
        <v>2689.4953999999998</v>
      </c>
      <c r="H163" t="str" cm="1">
        <f t="array" ref="H163">_xlfn.IFS(A163&lt;=30, "Youth", A163&lt;=50, "Adult", A163&gt;50, "Older")</f>
        <v>Youth</v>
      </c>
      <c r="I163" t="str" cm="1">
        <f t="array" ref="I163">_xlfn.IFS(A163&lt;=25,"18-25",A163&lt;=35,"26-35",A163&lt;=45,"36-45",A163&lt;=60,"46-60",A163&gt;60,"60+")</f>
        <v>18-25</v>
      </c>
      <c r="J163" t="str" cm="1">
        <f t="array" ref="J163">_xlfn.IFS(C163&lt;18.5,"Underweight",C163&lt;25,"Normal",C163&lt;30,"Overweight",C163&gt;=30,"Obese")</f>
        <v>Normal</v>
      </c>
      <c r="K163" t="str" cm="1">
        <f t="array" ref="K163">_xlfn.IFS(G163&lt;10000, "Low", G163&lt;=25000, "Medium", G163&gt;25000, "High")</f>
        <v>Low</v>
      </c>
    </row>
    <row r="164" spans="1:11" x14ac:dyDescent="0.3">
      <c r="A164">
        <v>20</v>
      </c>
      <c r="B164" s="1" t="s">
        <v>8</v>
      </c>
      <c r="C164">
        <v>23.56</v>
      </c>
      <c r="D164">
        <v>0</v>
      </c>
      <c r="E164" t="s">
        <v>10</v>
      </c>
      <c r="F164" t="s">
        <v>11</v>
      </c>
      <c r="G164" s="2">
        <v>2690.1138000000001</v>
      </c>
      <c r="H164" t="str" cm="1">
        <f t="array" ref="H164">_xlfn.IFS(A164&lt;=30, "Youth", A164&lt;=50, "Adult", A164&gt;50, "Older")</f>
        <v>Youth</v>
      </c>
      <c r="I164" t="str" cm="1">
        <f t="array" ref="I164">_xlfn.IFS(A164&lt;=25,"18-25",A164&lt;=35,"26-35",A164&lt;=45,"36-45",A164&lt;=60,"46-60",A164&gt;60,"60+")</f>
        <v>18-25</v>
      </c>
      <c r="J164" t="str" cm="1">
        <f t="array" ref="J164">_xlfn.IFS(C164&lt;18.5,"Underweight",C164&lt;25,"Normal",C164&lt;30,"Overweight",C164&gt;=30,"Obese")</f>
        <v>Normal</v>
      </c>
      <c r="K164" t="str" cm="1">
        <f t="array" ref="K164">_xlfn.IFS(G164&lt;10000, "Low", G164&lt;=25000, "Medium", G164&gt;25000, "High")</f>
        <v>Low</v>
      </c>
    </row>
    <row r="165" spans="1:11" x14ac:dyDescent="0.3">
      <c r="A165">
        <v>20</v>
      </c>
      <c r="B165" s="1" t="s">
        <v>7</v>
      </c>
      <c r="C165">
        <v>23.56</v>
      </c>
      <c r="D165">
        <v>0</v>
      </c>
      <c r="E165" t="s">
        <v>10</v>
      </c>
      <c r="F165" t="s">
        <v>11</v>
      </c>
      <c r="G165" s="2">
        <v>2699.56835</v>
      </c>
      <c r="H165" t="str" cm="1">
        <f t="array" ref="H165">_xlfn.IFS(A165&lt;=30, "Youth", A165&lt;=50, "Adult", A165&gt;50, "Older")</f>
        <v>Youth</v>
      </c>
      <c r="I165" t="str" cm="1">
        <f t="array" ref="I165">_xlfn.IFS(A165&lt;=25,"18-25",A165&lt;=35,"26-35",A165&lt;=45,"36-45",A165&lt;=60,"46-60",A165&gt;60,"60+")</f>
        <v>18-25</v>
      </c>
      <c r="J165" t="str" cm="1">
        <f t="array" ref="J165">_xlfn.IFS(C165&lt;18.5,"Underweight",C165&lt;25,"Normal",C165&lt;30,"Overweight",C165&gt;=30,"Obese")</f>
        <v>Normal</v>
      </c>
      <c r="K165" t="str" cm="1">
        <f t="array" ref="K165">_xlfn.IFS(G165&lt;10000, "Low", G165&lt;=25000, "Medium", G165&gt;25000, "High")</f>
        <v>Low</v>
      </c>
    </row>
    <row r="166" spans="1:11" x14ac:dyDescent="0.3">
      <c r="A166">
        <v>20</v>
      </c>
      <c r="B166" s="1" t="s">
        <v>8</v>
      </c>
      <c r="C166">
        <v>23.6</v>
      </c>
      <c r="D166">
        <v>0</v>
      </c>
      <c r="E166" t="s">
        <v>10</v>
      </c>
      <c r="F166" t="s">
        <v>13</v>
      </c>
      <c r="G166" s="2">
        <v>2709.1118999999999</v>
      </c>
      <c r="H166" t="str" cm="1">
        <f t="array" ref="H166">_xlfn.IFS(A166&lt;=30, "Youth", A166&lt;=50, "Adult", A166&gt;50, "Older")</f>
        <v>Youth</v>
      </c>
      <c r="I166" t="str" cm="1">
        <f t="array" ref="I166">_xlfn.IFS(A166&lt;=25,"18-25",A166&lt;=35,"26-35",A166&lt;=45,"36-45",A166&lt;=60,"46-60",A166&gt;60,"60+")</f>
        <v>18-25</v>
      </c>
      <c r="J166" t="str" cm="1">
        <f t="array" ref="J166">_xlfn.IFS(C166&lt;18.5,"Underweight",C166&lt;25,"Normal",C166&lt;30,"Overweight",C166&gt;=30,"Obese")</f>
        <v>Normal</v>
      </c>
      <c r="K166" t="str" cm="1">
        <f t="array" ref="K166">_xlfn.IFS(G166&lt;10000, "Low", G166&lt;=25000, "Medium", G166&gt;25000, "High")</f>
        <v>Low</v>
      </c>
    </row>
    <row r="167" spans="1:11" x14ac:dyDescent="0.3">
      <c r="A167">
        <v>21</v>
      </c>
      <c r="B167" s="1" t="s">
        <v>8</v>
      </c>
      <c r="C167">
        <v>23.6</v>
      </c>
      <c r="D167">
        <v>0</v>
      </c>
      <c r="E167" t="s">
        <v>10</v>
      </c>
      <c r="F167" t="s">
        <v>14</v>
      </c>
      <c r="G167" s="2">
        <v>2709.24395</v>
      </c>
      <c r="H167" t="str" cm="1">
        <f t="array" ref="H167">_xlfn.IFS(A167&lt;=30, "Youth", A167&lt;=50, "Adult", A167&gt;50, "Older")</f>
        <v>Youth</v>
      </c>
      <c r="I167" t="str" cm="1">
        <f t="array" ref="I167">_xlfn.IFS(A167&lt;=25,"18-25",A167&lt;=35,"26-35",A167&lt;=45,"36-45",A167&lt;=60,"46-60",A167&gt;60,"60+")</f>
        <v>18-25</v>
      </c>
      <c r="J167" t="str" cm="1">
        <f t="array" ref="J167">_xlfn.IFS(C167&lt;18.5,"Underweight",C167&lt;25,"Normal",C167&lt;30,"Overweight",C167&gt;=30,"Obese")</f>
        <v>Normal</v>
      </c>
      <c r="K167" t="str" cm="1">
        <f t="array" ref="K167">_xlfn.IFS(G167&lt;10000, "Low", G167&lt;=25000, "Medium", G167&gt;25000, "High")</f>
        <v>Low</v>
      </c>
    </row>
    <row r="168" spans="1:11" x14ac:dyDescent="0.3">
      <c r="A168">
        <v>21</v>
      </c>
      <c r="B168" s="1" t="s">
        <v>7</v>
      </c>
      <c r="C168">
        <v>23.65</v>
      </c>
      <c r="D168">
        <v>0</v>
      </c>
      <c r="E168" t="s">
        <v>10</v>
      </c>
      <c r="F168" t="s">
        <v>11</v>
      </c>
      <c r="G168" s="2">
        <v>2710.8285500000002</v>
      </c>
      <c r="H168" t="str" cm="1">
        <f t="array" ref="H168">_xlfn.IFS(A168&lt;=30, "Youth", A168&lt;=50, "Adult", A168&gt;50, "Older")</f>
        <v>Youth</v>
      </c>
      <c r="I168" t="str" cm="1">
        <f t="array" ref="I168">_xlfn.IFS(A168&lt;=25,"18-25",A168&lt;=35,"26-35",A168&lt;=45,"36-45",A168&lt;=60,"46-60",A168&gt;60,"60+")</f>
        <v>18-25</v>
      </c>
      <c r="J168" t="str" cm="1">
        <f t="array" ref="J168">_xlfn.IFS(C168&lt;18.5,"Underweight",C168&lt;25,"Normal",C168&lt;30,"Overweight",C168&gt;=30,"Obese")</f>
        <v>Normal</v>
      </c>
      <c r="K168" t="str" cm="1">
        <f t="array" ref="K168">_xlfn.IFS(G168&lt;10000, "Low", G168&lt;=25000, "Medium", G168&gt;25000, "High")</f>
        <v>Low</v>
      </c>
    </row>
    <row r="169" spans="1:11" x14ac:dyDescent="0.3">
      <c r="A169">
        <v>21</v>
      </c>
      <c r="B169" s="1" t="s">
        <v>7</v>
      </c>
      <c r="C169">
        <v>23.655000000000001</v>
      </c>
      <c r="D169">
        <v>0</v>
      </c>
      <c r="E169" t="s">
        <v>10</v>
      </c>
      <c r="F169" t="s">
        <v>13</v>
      </c>
      <c r="G169" s="2">
        <v>2719.2797500000001</v>
      </c>
      <c r="H169" t="str" cm="1">
        <f t="array" ref="H169">_xlfn.IFS(A169&lt;=30, "Youth", A169&lt;=50, "Adult", A169&gt;50, "Older")</f>
        <v>Youth</v>
      </c>
      <c r="I169" t="str" cm="1">
        <f t="array" ref="I169">_xlfn.IFS(A169&lt;=25,"18-25",A169&lt;=35,"26-35",A169&lt;=45,"36-45",A169&lt;=60,"46-60",A169&gt;60,"60+")</f>
        <v>18-25</v>
      </c>
      <c r="J169" t="str" cm="1">
        <f t="array" ref="J169">_xlfn.IFS(C169&lt;18.5,"Underweight",C169&lt;25,"Normal",C169&lt;30,"Overweight",C169&gt;=30,"Obese")</f>
        <v>Normal</v>
      </c>
      <c r="K169" t="str" cm="1">
        <f t="array" ref="K169">_xlfn.IFS(G169&lt;10000, "Low", G169&lt;=25000, "Medium", G169&gt;25000, "High")</f>
        <v>Low</v>
      </c>
    </row>
    <row r="170" spans="1:11" x14ac:dyDescent="0.3">
      <c r="A170">
        <v>21</v>
      </c>
      <c r="B170" s="1" t="s">
        <v>7</v>
      </c>
      <c r="C170">
        <v>23.655000000000001</v>
      </c>
      <c r="D170">
        <v>0</v>
      </c>
      <c r="E170" t="s">
        <v>10</v>
      </c>
      <c r="F170" t="s">
        <v>13</v>
      </c>
      <c r="G170" s="2">
        <v>2721.3208</v>
      </c>
      <c r="H170" t="str" cm="1">
        <f t="array" ref="H170">_xlfn.IFS(A170&lt;=30, "Youth", A170&lt;=50, "Adult", A170&gt;50, "Older")</f>
        <v>Youth</v>
      </c>
      <c r="I170" t="str" cm="1">
        <f t="array" ref="I170">_xlfn.IFS(A170&lt;=25,"18-25",A170&lt;=35,"26-35",A170&lt;=45,"36-45",A170&lt;=60,"46-60",A170&gt;60,"60+")</f>
        <v>18-25</v>
      </c>
      <c r="J170" t="str" cm="1">
        <f t="array" ref="J170">_xlfn.IFS(C170&lt;18.5,"Underweight",C170&lt;25,"Normal",C170&lt;30,"Overweight",C170&gt;=30,"Obese")</f>
        <v>Normal</v>
      </c>
      <c r="K170" t="str" cm="1">
        <f t="array" ref="K170">_xlfn.IFS(G170&lt;10000, "Low", G170&lt;=25000, "Medium", G170&gt;25000, "High")</f>
        <v>Low</v>
      </c>
    </row>
    <row r="171" spans="1:11" x14ac:dyDescent="0.3">
      <c r="A171">
        <v>21</v>
      </c>
      <c r="B171" s="1" t="s">
        <v>8</v>
      </c>
      <c r="C171">
        <v>23.655000000000001</v>
      </c>
      <c r="D171">
        <v>0</v>
      </c>
      <c r="E171" t="s">
        <v>10</v>
      </c>
      <c r="F171" t="s">
        <v>14</v>
      </c>
      <c r="G171" s="2">
        <v>2727.3951000000002</v>
      </c>
      <c r="H171" t="str" cm="1">
        <f t="array" ref="H171">_xlfn.IFS(A171&lt;=30, "Youth", A171&lt;=50, "Adult", A171&gt;50, "Older")</f>
        <v>Youth</v>
      </c>
      <c r="I171" t="str" cm="1">
        <f t="array" ref="I171">_xlfn.IFS(A171&lt;=25,"18-25",A171&lt;=35,"26-35",A171&lt;=45,"36-45",A171&lt;=60,"46-60",A171&gt;60,"60+")</f>
        <v>18-25</v>
      </c>
      <c r="J171" t="str" cm="1">
        <f t="array" ref="J171">_xlfn.IFS(C171&lt;18.5,"Underweight",C171&lt;25,"Normal",C171&lt;30,"Overweight",C171&gt;=30,"Obese")</f>
        <v>Normal</v>
      </c>
      <c r="K171" t="str" cm="1">
        <f t="array" ref="K171">_xlfn.IFS(G171&lt;10000, "Low", G171&lt;=25000, "Medium", G171&gt;25000, "High")</f>
        <v>Low</v>
      </c>
    </row>
    <row r="172" spans="1:11" x14ac:dyDescent="0.3">
      <c r="A172">
        <v>21</v>
      </c>
      <c r="B172" s="1" t="s">
        <v>8</v>
      </c>
      <c r="C172">
        <v>23.655000000000001</v>
      </c>
      <c r="D172">
        <v>0</v>
      </c>
      <c r="E172" t="s">
        <v>10</v>
      </c>
      <c r="F172" t="s">
        <v>12</v>
      </c>
      <c r="G172" s="2">
        <v>2730.1078499999999</v>
      </c>
      <c r="H172" t="str" cm="1">
        <f t="array" ref="H172">_xlfn.IFS(A172&lt;=30, "Youth", A172&lt;=50, "Adult", A172&gt;50, "Older")</f>
        <v>Youth</v>
      </c>
      <c r="I172" t="str" cm="1">
        <f t="array" ref="I172">_xlfn.IFS(A172&lt;=25,"18-25",A172&lt;=35,"26-35",A172&lt;=45,"36-45",A172&lt;=60,"46-60",A172&gt;60,"60+")</f>
        <v>18-25</v>
      </c>
      <c r="J172" t="str" cm="1">
        <f t="array" ref="J172">_xlfn.IFS(C172&lt;18.5,"Underweight",C172&lt;25,"Normal",C172&lt;30,"Overweight",C172&gt;=30,"Obese")</f>
        <v>Normal</v>
      </c>
      <c r="K172" t="str" cm="1">
        <f t="array" ref="K172">_xlfn.IFS(G172&lt;10000, "Low", G172&lt;=25000, "Medium", G172&gt;25000, "High")</f>
        <v>Low</v>
      </c>
    </row>
    <row r="173" spans="1:11" x14ac:dyDescent="0.3">
      <c r="A173">
        <v>21</v>
      </c>
      <c r="B173" s="1" t="s">
        <v>8</v>
      </c>
      <c r="C173">
        <v>23.655000000000001</v>
      </c>
      <c r="D173">
        <v>0</v>
      </c>
      <c r="E173" t="s">
        <v>10</v>
      </c>
      <c r="F173" t="s">
        <v>11</v>
      </c>
      <c r="G173" s="2">
        <v>2731.9122000000002</v>
      </c>
      <c r="H173" t="str" cm="1">
        <f t="array" ref="H173">_xlfn.IFS(A173&lt;=30, "Youth", A173&lt;=50, "Adult", A173&gt;50, "Older")</f>
        <v>Youth</v>
      </c>
      <c r="I173" t="str" cm="1">
        <f t="array" ref="I173">_xlfn.IFS(A173&lt;=25,"18-25",A173&lt;=35,"26-35",A173&lt;=45,"36-45",A173&lt;=60,"46-60",A173&gt;60,"60+")</f>
        <v>18-25</v>
      </c>
      <c r="J173" t="str" cm="1">
        <f t="array" ref="J173">_xlfn.IFS(C173&lt;18.5,"Underweight",C173&lt;25,"Normal",C173&lt;30,"Overweight",C173&gt;=30,"Obese")</f>
        <v>Normal</v>
      </c>
      <c r="K173" t="str" cm="1">
        <f t="array" ref="K173">_xlfn.IFS(G173&lt;10000, "Low", G173&lt;=25000, "Medium", G173&gt;25000, "High")</f>
        <v>Low</v>
      </c>
    </row>
    <row r="174" spans="1:11" x14ac:dyDescent="0.3">
      <c r="A174">
        <v>21</v>
      </c>
      <c r="B174" s="1" t="s">
        <v>8</v>
      </c>
      <c r="C174">
        <v>23.7</v>
      </c>
      <c r="D174">
        <v>0</v>
      </c>
      <c r="E174" t="s">
        <v>10</v>
      </c>
      <c r="F174" t="s">
        <v>14</v>
      </c>
      <c r="G174" s="2">
        <v>2741.9479999999999</v>
      </c>
      <c r="H174" t="str" cm="1">
        <f t="array" ref="H174">_xlfn.IFS(A174&lt;=30, "Youth", A174&lt;=50, "Adult", A174&gt;50, "Older")</f>
        <v>Youth</v>
      </c>
      <c r="I174" t="str" cm="1">
        <f t="array" ref="I174">_xlfn.IFS(A174&lt;=25,"18-25",A174&lt;=35,"26-35",A174&lt;=45,"36-45",A174&lt;=60,"46-60",A174&gt;60,"60+")</f>
        <v>18-25</v>
      </c>
      <c r="J174" t="str" cm="1">
        <f t="array" ref="J174">_xlfn.IFS(C174&lt;18.5,"Underweight",C174&lt;25,"Normal",C174&lt;30,"Overweight",C174&gt;=30,"Obese")</f>
        <v>Normal</v>
      </c>
      <c r="K174" t="str" cm="1">
        <f t="array" ref="K174">_xlfn.IFS(G174&lt;10000, "Low", G174&lt;=25000, "Medium", G174&gt;25000, "High")</f>
        <v>Low</v>
      </c>
    </row>
    <row r="175" spans="1:11" x14ac:dyDescent="0.3">
      <c r="A175">
        <v>21</v>
      </c>
      <c r="B175" s="1" t="s">
        <v>7</v>
      </c>
      <c r="C175">
        <v>23.7</v>
      </c>
      <c r="D175">
        <v>0</v>
      </c>
      <c r="E175" t="s">
        <v>10</v>
      </c>
      <c r="F175" t="s">
        <v>11</v>
      </c>
      <c r="G175" s="2">
        <v>2755.0209500000001</v>
      </c>
      <c r="H175" t="str" cm="1">
        <f t="array" ref="H175">_xlfn.IFS(A175&lt;=30, "Youth", A175&lt;=50, "Adult", A175&gt;50, "Older")</f>
        <v>Youth</v>
      </c>
      <c r="I175" t="str" cm="1">
        <f t="array" ref="I175">_xlfn.IFS(A175&lt;=25,"18-25",A175&lt;=35,"26-35",A175&lt;=45,"36-45",A175&lt;=60,"46-60",A175&gt;60,"60+")</f>
        <v>18-25</v>
      </c>
      <c r="J175" t="str" cm="1">
        <f t="array" ref="J175">_xlfn.IFS(C175&lt;18.5,"Underweight",C175&lt;25,"Normal",C175&lt;30,"Overweight",C175&gt;=30,"Obese")</f>
        <v>Normal</v>
      </c>
      <c r="K175" t="str" cm="1">
        <f t="array" ref="K175">_xlfn.IFS(G175&lt;10000, "Low", G175&lt;=25000, "Medium", G175&gt;25000, "High")</f>
        <v>Low</v>
      </c>
    </row>
    <row r="176" spans="1:11" x14ac:dyDescent="0.3">
      <c r="A176">
        <v>21</v>
      </c>
      <c r="B176" s="1" t="s">
        <v>7</v>
      </c>
      <c r="C176">
        <v>23.75</v>
      </c>
      <c r="D176">
        <v>0</v>
      </c>
      <c r="E176" t="s">
        <v>10</v>
      </c>
      <c r="F176" t="s">
        <v>13</v>
      </c>
      <c r="G176" s="2">
        <v>2775.1921499999999</v>
      </c>
      <c r="H176" t="str" cm="1">
        <f t="array" ref="H176">_xlfn.IFS(A176&lt;=30, "Youth", A176&lt;=50, "Adult", A176&gt;50, "Older")</f>
        <v>Youth</v>
      </c>
      <c r="I176" t="str" cm="1">
        <f t="array" ref="I176">_xlfn.IFS(A176&lt;=25,"18-25",A176&lt;=35,"26-35",A176&lt;=45,"36-45",A176&lt;=60,"46-60",A176&gt;60,"60+")</f>
        <v>18-25</v>
      </c>
      <c r="J176" t="str" cm="1">
        <f t="array" ref="J176">_xlfn.IFS(C176&lt;18.5,"Underweight",C176&lt;25,"Normal",C176&lt;30,"Overweight",C176&gt;=30,"Obese")</f>
        <v>Normal</v>
      </c>
      <c r="K176" t="str" cm="1">
        <f t="array" ref="K176">_xlfn.IFS(G176&lt;10000, "Low", G176&lt;=25000, "Medium", G176&gt;25000, "High")</f>
        <v>Low</v>
      </c>
    </row>
    <row r="177" spans="1:11" x14ac:dyDescent="0.3">
      <c r="A177">
        <v>21</v>
      </c>
      <c r="B177" s="1" t="s">
        <v>7</v>
      </c>
      <c r="C177">
        <v>23.75</v>
      </c>
      <c r="D177">
        <v>0</v>
      </c>
      <c r="E177" t="s">
        <v>9</v>
      </c>
      <c r="F177" t="s">
        <v>11</v>
      </c>
      <c r="G177" s="2">
        <v>2789.0574000000001</v>
      </c>
      <c r="H177" t="str" cm="1">
        <f t="array" ref="H177">_xlfn.IFS(A177&lt;=30, "Youth", A177&lt;=50, "Adult", A177&gt;50, "Older")</f>
        <v>Youth</v>
      </c>
      <c r="I177" t="str" cm="1">
        <f t="array" ref="I177">_xlfn.IFS(A177&lt;=25,"18-25",A177&lt;=35,"26-35",A177&lt;=45,"36-45",A177&lt;=60,"46-60",A177&gt;60,"60+")</f>
        <v>18-25</v>
      </c>
      <c r="J177" t="str" cm="1">
        <f t="array" ref="J177">_xlfn.IFS(C177&lt;18.5,"Underweight",C177&lt;25,"Normal",C177&lt;30,"Overweight",C177&gt;=30,"Obese")</f>
        <v>Normal</v>
      </c>
      <c r="K177" t="str" cm="1">
        <f t="array" ref="K177">_xlfn.IFS(G177&lt;10000, "Low", G177&lt;=25000, "Medium", G177&gt;25000, "High")</f>
        <v>Low</v>
      </c>
    </row>
    <row r="178" spans="1:11" x14ac:dyDescent="0.3">
      <c r="A178">
        <v>21</v>
      </c>
      <c r="B178" s="1" t="s">
        <v>8</v>
      </c>
      <c r="C178">
        <v>23.75</v>
      </c>
      <c r="D178">
        <v>0</v>
      </c>
      <c r="E178" t="s">
        <v>10</v>
      </c>
      <c r="F178" t="s">
        <v>13</v>
      </c>
      <c r="G178" s="2">
        <v>2801.2588000000001</v>
      </c>
      <c r="H178" t="str" cm="1">
        <f t="array" ref="H178">_xlfn.IFS(A178&lt;=30, "Youth", A178&lt;=50, "Adult", A178&gt;50, "Older")</f>
        <v>Youth</v>
      </c>
      <c r="I178" t="str" cm="1">
        <f t="array" ref="I178">_xlfn.IFS(A178&lt;=25,"18-25",A178&lt;=35,"26-35",A178&lt;=45,"36-45",A178&lt;=60,"46-60",A178&gt;60,"60+")</f>
        <v>18-25</v>
      </c>
      <c r="J178" t="str" cm="1">
        <f t="array" ref="J178">_xlfn.IFS(C178&lt;18.5,"Underweight",C178&lt;25,"Normal",C178&lt;30,"Overweight",C178&gt;=30,"Obese")</f>
        <v>Normal</v>
      </c>
      <c r="K178" t="str" cm="1">
        <f t="array" ref="K178">_xlfn.IFS(G178&lt;10000, "Low", G178&lt;=25000, "Medium", G178&gt;25000, "High")</f>
        <v>Low</v>
      </c>
    </row>
    <row r="179" spans="1:11" x14ac:dyDescent="0.3">
      <c r="A179">
        <v>21</v>
      </c>
      <c r="B179" s="1" t="s">
        <v>8</v>
      </c>
      <c r="C179">
        <v>23.76</v>
      </c>
      <c r="D179">
        <v>0</v>
      </c>
      <c r="E179" t="s">
        <v>10</v>
      </c>
      <c r="F179" t="s">
        <v>11</v>
      </c>
      <c r="G179" s="2">
        <v>2803.69785</v>
      </c>
      <c r="H179" t="str" cm="1">
        <f t="array" ref="H179">_xlfn.IFS(A179&lt;=30, "Youth", A179&lt;=50, "Adult", A179&gt;50, "Older")</f>
        <v>Youth</v>
      </c>
      <c r="I179" t="str" cm="1">
        <f t="array" ref="I179">_xlfn.IFS(A179&lt;=25,"18-25",A179&lt;=35,"26-35",A179&lt;=45,"36-45",A179&lt;=60,"46-60",A179&gt;60,"60+")</f>
        <v>18-25</v>
      </c>
      <c r="J179" t="str" cm="1">
        <f t="array" ref="J179">_xlfn.IFS(C179&lt;18.5,"Underweight",C179&lt;25,"Normal",C179&lt;30,"Overweight",C179&gt;=30,"Obese")</f>
        <v>Normal</v>
      </c>
      <c r="K179" t="str" cm="1">
        <f t="array" ref="K179">_xlfn.IFS(G179&lt;10000, "Low", G179&lt;=25000, "Medium", G179&gt;25000, "High")</f>
        <v>Low</v>
      </c>
    </row>
    <row r="180" spans="1:11" x14ac:dyDescent="0.3">
      <c r="A180">
        <v>21</v>
      </c>
      <c r="B180" s="1" t="s">
        <v>7</v>
      </c>
      <c r="C180">
        <v>23.8</v>
      </c>
      <c r="D180">
        <v>0</v>
      </c>
      <c r="E180" t="s">
        <v>10</v>
      </c>
      <c r="F180" t="s">
        <v>11</v>
      </c>
      <c r="G180" s="2">
        <v>2842.7607499999999</v>
      </c>
      <c r="H180" t="str" cm="1">
        <f t="array" ref="H180">_xlfn.IFS(A180&lt;=30, "Youth", A180&lt;=50, "Adult", A180&gt;50, "Older")</f>
        <v>Youth</v>
      </c>
      <c r="I180" t="str" cm="1">
        <f t="array" ref="I180">_xlfn.IFS(A180&lt;=25,"18-25",A180&lt;=35,"26-35",A180&lt;=45,"36-45",A180&lt;=60,"46-60",A180&gt;60,"60+")</f>
        <v>18-25</v>
      </c>
      <c r="J180" t="str" cm="1">
        <f t="array" ref="J180">_xlfn.IFS(C180&lt;18.5,"Underweight",C180&lt;25,"Normal",C180&lt;30,"Overweight",C180&gt;=30,"Obese")</f>
        <v>Normal</v>
      </c>
      <c r="K180" t="str" cm="1">
        <f t="array" ref="K180">_xlfn.IFS(G180&lt;10000, "Low", G180&lt;=25000, "Medium", G180&gt;25000, "High")</f>
        <v>Low</v>
      </c>
    </row>
    <row r="181" spans="1:11" x14ac:dyDescent="0.3">
      <c r="A181">
        <v>21</v>
      </c>
      <c r="B181" s="1" t="s">
        <v>7</v>
      </c>
      <c r="C181">
        <v>23.844999999999999</v>
      </c>
      <c r="D181">
        <v>0</v>
      </c>
      <c r="E181" t="s">
        <v>10</v>
      </c>
      <c r="F181" t="s">
        <v>14</v>
      </c>
      <c r="G181" s="2">
        <v>2850.6837500000001</v>
      </c>
      <c r="H181" t="str" cm="1">
        <f t="array" ref="H181">_xlfn.IFS(A181&lt;=30, "Youth", A181&lt;=50, "Adult", A181&gt;50, "Older")</f>
        <v>Youth</v>
      </c>
      <c r="I181" t="str" cm="1">
        <f t="array" ref="I181">_xlfn.IFS(A181&lt;=25,"18-25",A181&lt;=35,"26-35",A181&lt;=45,"36-45",A181&lt;=60,"46-60",A181&gt;60,"60+")</f>
        <v>18-25</v>
      </c>
      <c r="J181" t="str" cm="1">
        <f t="array" ref="J181">_xlfn.IFS(C181&lt;18.5,"Underweight",C181&lt;25,"Normal",C181&lt;30,"Overweight",C181&gt;=30,"Obese")</f>
        <v>Normal</v>
      </c>
      <c r="K181" t="str" cm="1">
        <f t="array" ref="K181">_xlfn.IFS(G181&lt;10000, "Low", G181&lt;=25000, "Medium", G181&gt;25000, "High")</f>
        <v>Low</v>
      </c>
    </row>
    <row r="182" spans="1:11" x14ac:dyDescent="0.3">
      <c r="A182">
        <v>21</v>
      </c>
      <c r="B182" s="1" t="s">
        <v>8</v>
      </c>
      <c r="C182">
        <v>23.844999999999999</v>
      </c>
      <c r="D182">
        <v>0</v>
      </c>
      <c r="E182" t="s">
        <v>10</v>
      </c>
      <c r="F182" t="s">
        <v>13</v>
      </c>
      <c r="G182" s="2">
        <v>2855.4375500000001</v>
      </c>
      <c r="H182" t="str" cm="1">
        <f t="array" ref="H182">_xlfn.IFS(A182&lt;=30, "Youth", A182&lt;=50, "Adult", A182&gt;50, "Older")</f>
        <v>Youth</v>
      </c>
      <c r="I182" t="str" cm="1">
        <f t="array" ref="I182">_xlfn.IFS(A182&lt;=25,"18-25",A182&lt;=35,"26-35",A182&lt;=45,"36-45",A182&lt;=60,"46-60",A182&gt;60,"60+")</f>
        <v>18-25</v>
      </c>
      <c r="J182" t="str" cm="1">
        <f t="array" ref="J182">_xlfn.IFS(C182&lt;18.5,"Underweight",C182&lt;25,"Normal",C182&lt;30,"Overweight",C182&gt;=30,"Obese")</f>
        <v>Normal</v>
      </c>
      <c r="K182" t="str" cm="1">
        <f t="array" ref="K182">_xlfn.IFS(G182&lt;10000, "Low", G182&lt;=25000, "Medium", G182&gt;25000, "High")</f>
        <v>Low</v>
      </c>
    </row>
    <row r="183" spans="1:11" x14ac:dyDescent="0.3">
      <c r="A183">
        <v>21</v>
      </c>
      <c r="B183" s="1" t="s">
        <v>7</v>
      </c>
      <c r="C183">
        <v>23.844999999999999</v>
      </c>
      <c r="D183">
        <v>0</v>
      </c>
      <c r="E183" t="s">
        <v>10</v>
      </c>
      <c r="F183" t="s">
        <v>12</v>
      </c>
      <c r="G183" s="2">
        <v>2866.0909999999999</v>
      </c>
      <c r="H183" t="str" cm="1">
        <f t="array" ref="H183">_xlfn.IFS(A183&lt;=30, "Youth", A183&lt;=50, "Adult", A183&gt;50, "Older")</f>
        <v>Youth</v>
      </c>
      <c r="I183" t="str" cm="1">
        <f t="array" ref="I183">_xlfn.IFS(A183&lt;=25,"18-25",A183&lt;=35,"26-35",A183&lt;=45,"36-45",A183&lt;=60,"46-60",A183&gt;60,"60+")</f>
        <v>18-25</v>
      </c>
      <c r="J183" t="str" cm="1">
        <f t="array" ref="J183">_xlfn.IFS(C183&lt;18.5,"Underweight",C183&lt;25,"Normal",C183&lt;30,"Overweight",C183&gt;=30,"Obese")</f>
        <v>Normal</v>
      </c>
      <c r="K183" t="str" cm="1">
        <f t="array" ref="K183">_xlfn.IFS(G183&lt;10000, "Low", G183&lt;=25000, "Medium", G183&gt;25000, "High")</f>
        <v>Low</v>
      </c>
    </row>
    <row r="184" spans="1:11" x14ac:dyDescent="0.3">
      <c r="A184">
        <v>21</v>
      </c>
      <c r="B184" s="1" t="s">
        <v>8</v>
      </c>
      <c r="C184">
        <v>23.87</v>
      </c>
      <c r="D184">
        <v>0</v>
      </c>
      <c r="E184" t="s">
        <v>10</v>
      </c>
      <c r="F184" t="s">
        <v>14</v>
      </c>
      <c r="G184" s="2">
        <v>2867.1196</v>
      </c>
      <c r="H184" t="str" cm="1">
        <f t="array" ref="H184">_xlfn.IFS(A184&lt;=30, "Youth", A184&lt;=50, "Adult", A184&gt;50, "Older")</f>
        <v>Youth</v>
      </c>
      <c r="I184" t="str" cm="1">
        <f t="array" ref="I184">_xlfn.IFS(A184&lt;=25,"18-25",A184&lt;=35,"26-35",A184&lt;=45,"36-45",A184&lt;=60,"46-60",A184&gt;60,"60+")</f>
        <v>18-25</v>
      </c>
      <c r="J184" t="str" cm="1">
        <f t="array" ref="J184">_xlfn.IFS(C184&lt;18.5,"Underweight",C184&lt;25,"Normal",C184&lt;30,"Overweight",C184&gt;=30,"Obese")</f>
        <v>Normal</v>
      </c>
      <c r="K184" t="str" cm="1">
        <f t="array" ref="K184">_xlfn.IFS(G184&lt;10000, "Low", G184&lt;=25000, "Medium", G184&gt;25000, "High")</f>
        <v>Low</v>
      </c>
    </row>
    <row r="185" spans="1:11" x14ac:dyDescent="0.3">
      <c r="A185">
        <v>21</v>
      </c>
      <c r="B185" s="1" t="s">
        <v>7</v>
      </c>
      <c r="C185">
        <v>23.9</v>
      </c>
      <c r="D185">
        <v>0</v>
      </c>
      <c r="E185" t="s">
        <v>10</v>
      </c>
      <c r="F185" t="s">
        <v>13</v>
      </c>
      <c r="G185" s="2">
        <v>2897.3235</v>
      </c>
      <c r="H185" t="str" cm="1">
        <f t="array" ref="H185">_xlfn.IFS(A185&lt;=30, "Youth", A185&lt;=50, "Adult", A185&gt;50, "Older")</f>
        <v>Youth</v>
      </c>
      <c r="I185" t="str" cm="1">
        <f t="array" ref="I185">_xlfn.IFS(A185&lt;=25,"18-25",A185&lt;=35,"26-35",A185&lt;=45,"36-45",A185&lt;=60,"46-60",A185&gt;60,"60+")</f>
        <v>18-25</v>
      </c>
      <c r="J185" t="str" cm="1">
        <f t="array" ref="J185">_xlfn.IFS(C185&lt;18.5,"Underweight",C185&lt;25,"Normal",C185&lt;30,"Overweight",C185&gt;=30,"Obese")</f>
        <v>Normal</v>
      </c>
      <c r="K185" t="str" cm="1">
        <f t="array" ref="K185">_xlfn.IFS(G185&lt;10000, "Low", G185&lt;=25000, "Medium", G185&gt;25000, "High")</f>
        <v>Low</v>
      </c>
    </row>
    <row r="186" spans="1:11" x14ac:dyDescent="0.3">
      <c r="A186">
        <v>21</v>
      </c>
      <c r="B186" s="1" t="s">
        <v>8</v>
      </c>
      <c r="C186">
        <v>23.94</v>
      </c>
      <c r="D186">
        <v>0</v>
      </c>
      <c r="E186" t="s">
        <v>10</v>
      </c>
      <c r="F186" t="s">
        <v>12</v>
      </c>
      <c r="G186" s="2">
        <v>2899.4893499999998</v>
      </c>
      <c r="H186" t="str" cm="1">
        <f t="array" ref="H186">_xlfn.IFS(A186&lt;=30, "Youth", A186&lt;=50, "Adult", A186&gt;50, "Older")</f>
        <v>Youth</v>
      </c>
      <c r="I186" t="str" cm="1">
        <f t="array" ref="I186">_xlfn.IFS(A186&lt;=25,"18-25",A186&lt;=35,"26-35",A186&lt;=45,"36-45",A186&lt;=60,"46-60",A186&gt;60,"60+")</f>
        <v>18-25</v>
      </c>
      <c r="J186" t="str" cm="1">
        <f t="array" ref="J186">_xlfn.IFS(C186&lt;18.5,"Underweight",C186&lt;25,"Normal",C186&lt;30,"Overweight",C186&gt;=30,"Obese")</f>
        <v>Normal</v>
      </c>
      <c r="K186" t="str" cm="1">
        <f t="array" ref="K186">_xlfn.IFS(G186&lt;10000, "Low", G186&lt;=25000, "Medium", G186&gt;25000, "High")</f>
        <v>Low</v>
      </c>
    </row>
    <row r="187" spans="1:11" x14ac:dyDescent="0.3">
      <c r="A187">
        <v>21</v>
      </c>
      <c r="B187" s="1" t="s">
        <v>8</v>
      </c>
      <c r="C187">
        <v>23.98</v>
      </c>
      <c r="D187">
        <v>0</v>
      </c>
      <c r="E187" t="s">
        <v>9</v>
      </c>
      <c r="F187" t="s">
        <v>14</v>
      </c>
      <c r="G187" s="2">
        <v>2902.9065000000001</v>
      </c>
      <c r="H187" t="str" cm="1">
        <f t="array" ref="H187">_xlfn.IFS(A187&lt;=30, "Youth", A187&lt;=50, "Adult", A187&gt;50, "Older")</f>
        <v>Youth</v>
      </c>
      <c r="I187" t="str" cm="1">
        <f t="array" ref="I187">_xlfn.IFS(A187&lt;=25,"18-25",A187&lt;=35,"26-35",A187&lt;=45,"36-45",A187&lt;=60,"46-60",A187&gt;60,"60+")</f>
        <v>18-25</v>
      </c>
      <c r="J187" t="str" cm="1">
        <f t="array" ref="J187">_xlfn.IFS(C187&lt;18.5,"Underweight",C187&lt;25,"Normal",C187&lt;30,"Overweight",C187&gt;=30,"Obese")</f>
        <v>Normal</v>
      </c>
      <c r="K187" t="str" cm="1">
        <f t="array" ref="K187">_xlfn.IFS(G187&lt;10000, "Low", G187&lt;=25000, "Medium", G187&gt;25000, "High")</f>
        <v>Low</v>
      </c>
    </row>
    <row r="188" spans="1:11" x14ac:dyDescent="0.3">
      <c r="A188">
        <v>21</v>
      </c>
      <c r="B188" s="1" t="s">
        <v>7</v>
      </c>
      <c r="C188">
        <v>23.98</v>
      </c>
      <c r="D188">
        <v>0</v>
      </c>
      <c r="E188" t="s">
        <v>10</v>
      </c>
      <c r="F188" t="s">
        <v>12</v>
      </c>
      <c r="G188" s="2">
        <v>2904.0880000000002</v>
      </c>
      <c r="H188" t="str" cm="1">
        <f t="array" ref="H188">_xlfn.IFS(A188&lt;=30, "Youth", A188&lt;=50, "Adult", A188&gt;50, "Older")</f>
        <v>Youth</v>
      </c>
      <c r="I188" t="str" cm="1">
        <f t="array" ref="I188">_xlfn.IFS(A188&lt;=25,"18-25",A188&lt;=35,"26-35",A188&lt;=45,"36-45",A188&lt;=60,"46-60",A188&gt;60,"60+")</f>
        <v>18-25</v>
      </c>
      <c r="J188" t="str" cm="1">
        <f t="array" ref="J188">_xlfn.IFS(C188&lt;18.5,"Underweight",C188&lt;25,"Normal",C188&lt;30,"Overweight",C188&gt;=30,"Obese")</f>
        <v>Normal</v>
      </c>
      <c r="K188" t="str" cm="1">
        <f t="array" ref="K188">_xlfn.IFS(G188&lt;10000, "Low", G188&lt;=25000, "Medium", G188&gt;25000, "High")</f>
        <v>Low</v>
      </c>
    </row>
    <row r="189" spans="1:11" x14ac:dyDescent="0.3">
      <c r="A189">
        <v>21</v>
      </c>
      <c r="B189" s="1" t="s">
        <v>7</v>
      </c>
      <c r="C189">
        <v>23.98</v>
      </c>
      <c r="D189">
        <v>0</v>
      </c>
      <c r="E189" t="s">
        <v>10</v>
      </c>
      <c r="F189" t="s">
        <v>11</v>
      </c>
      <c r="G189" s="2">
        <v>2913.569</v>
      </c>
      <c r="H189" t="str" cm="1">
        <f t="array" ref="H189">_xlfn.IFS(A189&lt;=30, "Youth", A189&lt;=50, "Adult", A189&gt;50, "Older")</f>
        <v>Youth</v>
      </c>
      <c r="I189" t="str" cm="1">
        <f t="array" ref="I189">_xlfn.IFS(A189&lt;=25,"18-25",A189&lt;=35,"26-35",A189&lt;=45,"36-45",A189&lt;=60,"46-60",A189&gt;60,"60+")</f>
        <v>18-25</v>
      </c>
      <c r="J189" t="str" cm="1">
        <f t="array" ref="J189">_xlfn.IFS(C189&lt;18.5,"Underweight",C189&lt;25,"Normal",C189&lt;30,"Overweight",C189&gt;=30,"Obese")</f>
        <v>Normal</v>
      </c>
      <c r="K189" t="str" cm="1">
        <f t="array" ref="K189">_xlfn.IFS(G189&lt;10000, "Low", G189&lt;=25000, "Medium", G189&gt;25000, "High")</f>
        <v>Low</v>
      </c>
    </row>
    <row r="190" spans="1:11" x14ac:dyDescent="0.3">
      <c r="A190">
        <v>21</v>
      </c>
      <c r="B190" s="1" t="s">
        <v>7</v>
      </c>
      <c r="C190">
        <v>24.035</v>
      </c>
      <c r="D190">
        <v>0</v>
      </c>
      <c r="E190" t="s">
        <v>10</v>
      </c>
      <c r="F190" t="s">
        <v>11</v>
      </c>
      <c r="G190" s="2">
        <v>2927.0646999999999</v>
      </c>
      <c r="H190" t="str" cm="1">
        <f t="array" ref="H190">_xlfn.IFS(A190&lt;=30, "Youth", A190&lt;=50, "Adult", A190&gt;50, "Older")</f>
        <v>Youth</v>
      </c>
      <c r="I190" t="str" cm="1">
        <f t="array" ref="I190">_xlfn.IFS(A190&lt;=25,"18-25",A190&lt;=35,"26-35",A190&lt;=45,"36-45",A190&lt;=60,"46-60",A190&gt;60,"60+")</f>
        <v>18-25</v>
      </c>
      <c r="J190" t="str" cm="1">
        <f t="array" ref="J190">_xlfn.IFS(C190&lt;18.5,"Underweight",C190&lt;25,"Normal",C190&lt;30,"Overweight",C190&gt;=30,"Obese")</f>
        <v>Normal</v>
      </c>
      <c r="K190" t="str" cm="1">
        <f t="array" ref="K190">_xlfn.IFS(G190&lt;10000, "Low", G190&lt;=25000, "Medium", G190&gt;25000, "High")</f>
        <v>Low</v>
      </c>
    </row>
    <row r="191" spans="1:11" x14ac:dyDescent="0.3">
      <c r="A191">
        <v>21</v>
      </c>
      <c r="B191" s="1" t="s">
        <v>7</v>
      </c>
      <c r="C191">
        <v>24.035</v>
      </c>
      <c r="D191">
        <v>0</v>
      </c>
      <c r="E191" t="s">
        <v>10</v>
      </c>
      <c r="F191" t="s">
        <v>13</v>
      </c>
      <c r="G191" s="2">
        <v>2974.1260000000002</v>
      </c>
      <c r="H191" t="str" cm="1">
        <f t="array" ref="H191">_xlfn.IFS(A191&lt;=30, "Youth", A191&lt;=50, "Adult", A191&gt;50, "Older")</f>
        <v>Youth</v>
      </c>
      <c r="I191" t="str" cm="1">
        <f t="array" ref="I191">_xlfn.IFS(A191&lt;=25,"18-25",A191&lt;=35,"26-35",A191&lt;=45,"36-45",A191&lt;=60,"46-60",A191&gt;60,"60+")</f>
        <v>18-25</v>
      </c>
      <c r="J191" t="str" cm="1">
        <f t="array" ref="J191">_xlfn.IFS(C191&lt;18.5,"Underweight",C191&lt;25,"Normal",C191&lt;30,"Overweight",C191&gt;=30,"Obese")</f>
        <v>Normal</v>
      </c>
      <c r="K191" t="str" cm="1">
        <f t="array" ref="K191">_xlfn.IFS(G191&lt;10000, "Low", G191&lt;=25000, "Medium", G191&gt;25000, "High")</f>
        <v>Low</v>
      </c>
    </row>
    <row r="192" spans="1:11" x14ac:dyDescent="0.3">
      <c r="A192">
        <v>21</v>
      </c>
      <c r="B192" s="1" t="s">
        <v>8</v>
      </c>
      <c r="C192">
        <v>24.035</v>
      </c>
      <c r="D192">
        <v>0</v>
      </c>
      <c r="E192" t="s">
        <v>10</v>
      </c>
      <c r="F192" t="s">
        <v>12</v>
      </c>
      <c r="G192" s="2">
        <v>3021.80915</v>
      </c>
      <c r="H192" t="str" cm="1">
        <f t="array" ref="H192">_xlfn.IFS(A192&lt;=30, "Youth", A192&lt;=50, "Adult", A192&gt;50, "Older")</f>
        <v>Youth</v>
      </c>
      <c r="I192" t="str" cm="1">
        <f t="array" ref="I192">_xlfn.IFS(A192&lt;=25,"18-25",A192&lt;=35,"26-35",A192&lt;=45,"36-45",A192&lt;=60,"46-60",A192&gt;60,"60+")</f>
        <v>18-25</v>
      </c>
      <c r="J192" t="str" cm="1">
        <f t="array" ref="J192">_xlfn.IFS(C192&lt;18.5,"Underweight",C192&lt;25,"Normal",C192&lt;30,"Overweight",C192&gt;=30,"Obese")</f>
        <v>Normal</v>
      </c>
      <c r="K192" t="str" cm="1">
        <f t="array" ref="K192">_xlfn.IFS(G192&lt;10000, "Low", G192&lt;=25000, "Medium", G192&gt;25000, "High")</f>
        <v>Low</v>
      </c>
    </row>
    <row r="193" spans="1:11" x14ac:dyDescent="0.3">
      <c r="A193">
        <v>21</v>
      </c>
      <c r="B193" s="1" t="s">
        <v>7</v>
      </c>
      <c r="C193">
        <v>24.09</v>
      </c>
      <c r="D193">
        <v>0</v>
      </c>
      <c r="E193" t="s">
        <v>10</v>
      </c>
      <c r="F193" t="s">
        <v>11</v>
      </c>
      <c r="G193" s="2">
        <v>3044.2132999999999</v>
      </c>
      <c r="H193" t="str" cm="1">
        <f t="array" ref="H193">_xlfn.IFS(A193&lt;=30, "Youth", A193&lt;=50, "Adult", A193&gt;50, "Older")</f>
        <v>Youth</v>
      </c>
      <c r="I193" t="str" cm="1">
        <f t="array" ref="I193">_xlfn.IFS(A193&lt;=25,"18-25",A193&lt;=35,"26-35",A193&lt;=45,"36-45",A193&lt;=60,"46-60",A193&gt;60,"60+")</f>
        <v>18-25</v>
      </c>
      <c r="J193" t="str" cm="1">
        <f t="array" ref="J193">_xlfn.IFS(C193&lt;18.5,"Underweight",C193&lt;25,"Normal",C193&lt;30,"Overweight",C193&gt;=30,"Obese")</f>
        <v>Normal</v>
      </c>
      <c r="K193" t="str" cm="1">
        <f t="array" ref="K193">_xlfn.IFS(G193&lt;10000, "Low", G193&lt;=25000, "Medium", G193&gt;25000, "High")</f>
        <v>Low</v>
      </c>
    </row>
    <row r="194" spans="1:11" x14ac:dyDescent="0.3">
      <c r="A194">
        <v>21</v>
      </c>
      <c r="B194" s="1" t="s">
        <v>8</v>
      </c>
      <c r="C194">
        <v>24.1</v>
      </c>
      <c r="D194">
        <v>0</v>
      </c>
      <c r="E194" t="s">
        <v>10</v>
      </c>
      <c r="F194" t="s">
        <v>12</v>
      </c>
      <c r="G194" s="2">
        <v>3046.0619999999999</v>
      </c>
      <c r="H194" t="str" cm="1">
        <f t="array" ref="H194">_xlfn.IFS(A194&lt;=30, "Youth", A194&lt;=50, "Adult", A194&gt;50, "Older")</f>
        <v>Youth</v>
      </c>
      <c r="I194" t="str" cm="1">
        <f t="array" ref="I194">_xlfn.IFS(A194&lt;=25,"18-25",A194&lt;=35,"26-35",A194&lt;=45,"36-45",A194&lt;=60,"46-60",A194&gt;60,"60+")</f>
        <v>18-25</v>
      </c>
      <c r="J194" t="str" cm="1">
        <f t="array" ref="J194">_xlfn.IFS(C194&lt;18.5,"Underweight",C194&lt;25,"Normal",C194&lt;30,"Overweight",C194&gt;=30,"Obese")</f>
        <v>Normal</v>
      </c>
      <c r="K194" t="str" cm="1">
        <f t="array" ref="K194">_xlfn.IFS(G194&lt;10000, "Low", G194&lt;=25000, "Medium", G194&gt;25000, "High")</f>
        <v>Low</v>
      </c>
    </row>
    <row r="195" spans="1:11" x14ac:dyDescent="0.3">
      <c r="A195">
        <v>22</v>
      </c>
      <c r="B195" s="1" t="s">
        <v>7</v>
      </c>
      <c r="C195">
        <v>24.1</v>
      </c>
      <c r="D195">
        <v>0</v>
      </c>
      <c r="E195" t="s">
        <v>10</v>
      </c>
      <c r="F195" t="s">
        <v>13</v>
      </c>
      <c r="G195" s="2">
        <v>3056.3881000000001</v>
      </c>
      <c r="H195" t="str" cm="1">
        <f t="array" ref="H195">_xlfn.IFS(A195&lt;=30, "Youth", A195&lt;=50, "Adult", A195&gt;50, "Older")</f>
        <v>Youth</v>
      </c>
      <c r="I195" t="str" cm="1">
        <f t="array" ref="I195">_xlfn.IFS(A195&lt;=25,"18-25",A195&lt;=35,"26-35",A195&lt;=45,"36-45",A195&lt;=60,"46-60",A195&gt;60,"60+")</f>
        <v>18-25</v>
      </c>
      <c r="J195" t="str" cm="1">
        <f t="array" ref="J195">_xlfn.IFS(C195&lt;18.5,"Underweight",C195&lt;25,"Normal",C195&lt;30,"Overweight",C195&gt;=30,"Obese")</f>
        <v>Normal</v>
      </c>
      <c r="K195" t="str" cm="1">
        <f t="array" ref="K195">_xlfn.IFS(G195&lt;10000, "Low", G195&lt;=25000, "Medium", G195&gt;25000, "High")</f>
        <v>Low</v>
      </c>
    </row>
    <row r="196" spans="1:11" x14ac:dyDescent="0.3">
      <c r="A196">
        <v>22</v>
      </c>
      <c r="B196" s="1" t="s">
        <v>8</v>
      </c>
      <c r="C196">
        <v>24.13</v>
      </c>
      <c r="D196">
        <v>0</v>
      </c>
      <c r="E196" t="s">
        <v>10</v>
      </c>
      <c r="F196" t="s">
        <v>12</v>
      </c>
      <c r="G196" s="2">
        <v>3062.5082499999999</v>
      </c>
      <c r="H196" t="str" cm="1">
        <f t="array" ref="H196">_xlfn.IFS(A196&lt;=30, "Youth", A196&lt;=50, "Adult", A196&gt;50, "Older")</f>
        <v>Youth</v>
      </c>
      <c r="I196" t="str" cm="1">
        <f t="array" ref="I196">_xlfn.IFS(A196&lt;=25,"18-25",A196&lt;=35,"26-35",A196&lt;=45,"36-45",A196&lt;=60,"46-60",A196&gt;60,"60+")</f>
        <v>18-25</v>
      </c>
      <c r="J196" t="str" cm="1">
        <f t="array" ref="J196">_xlfn.IFS(C196&lt;18.5,"Underweight",C196&lt;25,"Normal",C196&lt;30,"Overweight",C196&gt;=30,"Obese")</f>
        <v>Normal</v>
      </c>
      <c r="K196" t="str" cm="1">
        <f t="array" ref="K196">_xlfn.IFS(G196&lt;10000, "Low", G196&lt;=25000, "Medium", G196&gt;25000, "High")</f>
        <v>Low</v>
      </c>
    </row>
    <row r="197" spans="1:11" x14ac:dyDescent="0.3">
      <c r="A197">
        <v>22</v>
      </c>
      <c r="B197" s="1" t="s">
        <v>8</v>
      </c>
      <c r="C197">
        <v>24.13</v>
      </c>
      <c r="D197">
        <v>0</v>
      </c>
      <c r="E197" t="s">
        <v>10</v>
      </c>
      <c r="F197" t="s">
        <v>13</v>
      </c>
      <c r="G197" s="2">
        <v>3070.8087</v>
      </c>
      <c r="H197" t="str" cm="1">
        <f t="array" ref="H197">_xlfn.IFS(A197&lt;=30, "Youth", A197&lt;=50, "Adult", A197&gt;50, "Older")</f>
        <v>Youth</v>
      </c>
      <c r="I197" t="str" cm="1">
        <f t="array" ref="I197">_xlfn.IFS(A197&lt;=25,"18-25",A197&lt;=35,"26-35",A197&lt;=45,"36-45",A197&lt;=60,"46-60",A197&gt;60,"60+")</f>
        <v>18-25</v>
      </c>
      <c r="J197" t="str" cm="1">
        <f t="array" ref="J197">_xlfn.IFS(C197&lt;18.5,"Underweight",C197&lt;25,"Normal",C197&lt;30,"Overweight",C197&gt;=30,"Obese")</f>
        <v>Normal</v>
      </c>
      <c r="K197" t="str" cm="1">
        <f t="array" ref="K197">_xlfn.IFS(G197&lt;10000, "Low", G197&lt;=25000, "Medium", G197&gt;25000, "High")</f>
        <v>Low</v>
      </c>
    </row>
    <row r="198" spans="1:11" x14ac:dyDescent="0.3">
      <c r="A198">
        <v>22</v>
      </c>
      <c r="B198" s="1" t="s">
        <v>7</v>
      </c>
      <c r="C198">
        <v>24.13</v>
      </c>
      <c r="D198">
        <v>0</v>
      </c>
      <c r="E198" t="s">
        <v>10</v>
      </c>
      <c r="F198" t="s">
        <v>11</v>
      </c>
      <c r="G198" s="2">
        <v>3077.0954999999999</v>
      </c>
      <c r="H198" t="str" cm="1">
        <f t="array" ref="H198">_xlfn.IFS(A198&lt;=30, "Youth", A198&lt;=50, "Adult", A198&gt;50, "Older")</f>
        <v>Youth</v>
      </c>
      <c r="I198" t="str" cm="1">
        <f t="array" ref="I198">_xlfn.IFS(A198&lt;=25,"18-25",A198&lt;=35,"26-35",A198&lt;=45,"36-45",A198&lt;=60,"46-60",A198&gt;60,"60+")</f>
        <v>18-25</v>
      </c>
      <c r="J198" t="str" cm="1">
        <f t="array" ref="J198">_xlfn.IFS(C198&lt;18.5,"Underweight",C198&lt;25,"Normal",C198&lt;30,"Overweight",C198&gt;=30,"Obese")</f>
        <v>Normal</v>
      </c>
      <c r="K198" t="str" cm="1">
        <f t="array" ref="K198">_xlfn.IFS(G198&lt;10000, "Low", G198&lt;=25000, "Medium", G198&gt;25000, "High")</f>
        <v>Low</v>
      </c>
    </row>
    <row r="199" spans="1:11" x14ac:dyDescent="0.3">
      <c r="A199">
        <v>22</v>
      </c>
      <c r="B199" s="1" t="s">
        <v>7</v>
      </c>
      <c r="C199">
        <v>24.13</v>
      </c>
      <c r="D199">
        <v>0</v>
      </c>
      <c r="E199" t="s">
        <v>10</v>
      </c>
      <c r="F199" t="s">
        <v>12</v>
      </c>
      <c r="G199" s="2">
        <v>3161.4540000000002</v>
      </c>
      <c r="H199" t="str" cm="1">
        <f t="array" ref="H199">_xlfn.IFS(A199&lt;=30, "Youth", A199&lt;=50, "Adult", A199&gt;50, "Older")</f>
        <v>Youth</v>
      </c>
      <c r="I199" t="str" cm="1">
        <f t="array" ref="I199">_xlfn.IFS(A199&lt;=25,"18-25",A199&lt;=35,"26-35",A199&lt;=45,"36-45",A199&lt;=60,"46-60",A199&gt;60,"60+")</f>
        <v>18-25</v>
      </c>
      <c r="J199" t="str" cm="1">
        <f t="array" ref="J199">_xlfn.IFS(C199&lt;18.5,"Underweight",C199&lt;25,"Normal",C199&lt;30,"Overweight",C199&gt;=30,"Obese")</f>
        <v>Normal</v>
      </c>
      <c r="K199" t="str" cm="1">
        <f t="array" ref="K199">_xlfn.IFS(G199&lt;10000, "Low", G199&lt;=25000, "Medium", G199&gt;25000, "High")</f>
        <v>Low</v>
      </c>
    </row>
    <row r="200" spans="1:11" x14ac:dyDescent="0.3">
      <c r="A200">
        <v>22</v>
      </c>
      <c r="B200" s="1" t="s">
        <v>7</v>
      </c>
      <c r="C200">
        <v>24.225000000000001</v>
      </c>
      <c r="D200">
        <v>0</v>
      </c>
      <c r="E200" t="s">
        <v>10</v>
      </c>
      <c r="F200" t="s">
        <v>13</v>
      </c>
      <c r="G200" s="2">
        <v>3167.4558499999998</v>
      </c>
      <c r="H200" t="str" cm="1">
        <f t="array" ref="H200">_xlfn.IFS(A200&lt;=30, "Youth", A200&lt;=50, "Adult", A200&gt;50, "Older")</f>
        <v>Youth</v>
      </c>
      <c r="I200" t="str" cm="1">
        <f t="array" ref="I200">_xlfn.IFS(A200&lt;=25,"18-25",A200&lt;=35,"26-35",A200&lt;=45,"36-45",A200&lt;=60,"46-60",A200&gt;60,"60+")</f>
        <v>18-25</v>
      </c>
      <c r="J200" t="str" cm="1">
        <f t="array" ref="J200">_xlfn.IFS(C200&lt;18.5,"Underweight",C200&lt;25,"Normal",C200&lt;30,"Overweight",C200&gt;=30,"Obese")</f>
        <v>Normal</v>
      </c>
      <c r="K200" t="str" cm="1">
        <f t="array" ref="K200">_xlfn.IFS(G200&lt;10000, "Low", G200&lt;=25000, "Medium", G200&gt;25000, "High")</f>
        <v>Low</v>
      </c>
    </row>
    <row r="201" spans="1:11" x14ac:dyDescent="0.3">
      <c r="A201">
        <v>22</v>
      </c>
      <c r="B201" s="1" t="s">
        <v>7</v>
      </c>
      <c r="C201">
        <v>24.225000000000001</v>
      </c>
      <c r="D201">
        <v>0</v>
      </c>
      <c r="E201" t="s">
        <v>10</v>
      </c>
      <c r="F201" t="s">
        <v>14</v>
      </c>
      <c r="G201" s="2">
        <v>3171.6149</v>
      </c>
      <c r="H201" t="str" cm="1">
        <f t="array" ref="H201">_xlfn.IFS(A201&lt;=30, "Youth", A201&lt;=50, "Adult", A201&gt;50, "Older")</f>
        <v>Youth</v>
      </c>
      <c r="I201" t="str" cm="1">
        <f t="array" ref="I201">_xlfn.IFS(A201&lt;=25,"18-25",A201&lt;=35,"26-35",A201&lt;=45,"36-45",A201&lt;=60,"46-60",A201&gt;60,"60+")</f>
        <v>18-25</v>
      </c>
      <c r="J201" t="str" cm="1">
        <f t="array" ref="J201">_xlfn.IFS(C201&lt;18.5,"Underweight",C201&lt;25,"Normal",C201&lt;30,"Overweight",C201&gt;=30,"Obese")</f>
        <v>Normal</v>
      </c>
      <c r="K201" t="str" cm="1">
        <f t="array" ref="K201">_xlfn.IFS(G201&lt;10000, "Low", G201&lt;=25000, "Medium", G201&gt;25000, "High")</f>
        <v>Low</v>
      </c>
    </row>
    <row r="202" spans="1:11" x14ac:dyDescent="0.3">
      <c r="A202">
        <v>22</v>
      </c>
      <c r="B202" s="1" t="s">
        <v>7</v>
      </c>
      <c r="C202">
        <v>24.225000000000001</v>
      </c>
      <c r="D202">
        <v>0</v>
      </c>
      <c r="E202" t="s">
        <v>10</v>
      </c>
      <c r="F202" t="s">
        <v>13</v>
      </c>
      <c r="G202" s="2">
        <v>3172.018</v>
      </c>
      <c r="H202" t="str" cm="1">
        <f t="array" ref="H202">_xlfn.IFS(A202&lt;=30, "Youth", A202&lt;=50, "Adult", A202&gt;50, "Older")</f>
        <v>Youth</v>
      </c>
      <c r="I202" t="str" cm="1">
        <f t="array" ref="I202">_xlfn.IFS(A202&lt;=25,"18-25",A202&lt;=35,"26-35",A202&lt;=45,"36-45",A202&lt;=60,"46-60",A202&gt;60,"60+")</f>
        <v>18-25</v>
      </c>
      <c r="J202" t="str" cm="1">
        <f t="array" ref="J202">_xlfn.IFS(C202&lt;18.5,"Underweight",C202&lt;25,"Normal",C202&lt;30,"Overweight",C202&gt;=30,"Obese")</f>
        <v>Normal</v>
      </c>
      <c r="K202" t="str" cm="1">
        <f t="array" ref="K202">_xlfn.IFS(G202&lt;10000, "Low", G202&lt;=25000, "Medium", G202&gt;25000, "High")</f>
        <v>Low</v>
      </c>
    </row>
    <row r="203" spans="1:11" x14ac:dyDescent="0.3">
      <c r="A203">
        <v>22</v>
      </c>
      <c r="B203" s="1" t="s">
        <v>7</v>
      </c>
      <c r="C203">
        <v>24.3</v>
      </c>
      <c r="D203">
        <v>0</v>
      </c>
      <c r="E203" t="s">
        <v>10</v>
      </c>
      <c r="F203" t="s">
        <v>12</v>
      </c>
      <c r="G203" s="2">
        <v>3176.2876999999999</v>
      </c>
      <c r="H203" t="str" cm="1">
        <f t="array" ref="H203">_xlfn.IFS(A203&lt;=30, "Youth", A203&lt;=50, "Adult", A203&gt;50, "Older")</f>
        <v>Youth</v>
      </c>
      <c r="I203" t="str" cm="1">
        <f t="array" ref="I203">_xlfn.IFS(A203&lt;=25,"18-25",A203&lt;=35,"26-35",A203&lt;=45,"36-45",A203&lt;=60,"46-60",A203&gt;60,"60+")</f>
        <v>18-25</v>
      </c>
      <c r="J203" t="str" cm="1">
        <f t="array" ref="J203">_xlfn.IFS(C203&lt;18.5,"Underweight",C203&lt;25,"Normal",C203&lt;30,"Overweight",C203&gt;=30,"Obese")</f>
        <v>Normal</v>
      </c>
      <c r="K203" t="str" cm="1">
        <f t="array" ref="K203">_xlfn.IFS(G203&lt;10000, "Low", G203&lt;=25000, "Medium", G203&gt;25000, "High")</f>
        <v>Low</v>
      </c>
    </row>
    <row r="204" spans="1:11" x14ac:dyDescent="0.3">
      <c r="A204">
        <v>22</v>
      </c>
      <c r="B204" s="1" t="s">
        <v>7</v>
      </c>
      <c r="C204">
        <v>24.3</v>
      </c>
      <c r="D204">
        <v>0</v>
      </c>
      <c r="E204" t="s">
        <v>10</v>
      </c>
      <c r="F204" t="s">
        <v>13</v>
      </c>
      <c r="G204" s="2">
        <v>3176.8159000000001</v>
      </c>
      <c r="H204" t="str" cm="1">
        <f t="array" ref="H204">_xlfn.IFS(A204&lt;=30, "Youth", A204&lt;=50, "Adult", A204&gt;50, "Older")</f>
        <v>Youth</v>
      </c>
      <c r="I204" t="str" cm="1">
        <f t="array" ref="I204">_xlfn.IFS(A204&lt;=25,"18-25",A204&lt;=35,"26-35",A204&lt;=45,"36-45",A204&lt;=60,"46-60",A204&gt;60,"60+")</f>
        <v>18-25</v>
      </c>
      <c r="J204" t="str" cm="1">
        <f t="array" ref="J204">_xlfn.IFS(C204&lt;18.5,"Underweight",C204&lt;25,"Normal",C204&lt;30,"Overweight",C204&gt;=30,"Obese")</f>
        <v>Normal</v>
      </c>
      <c r="K204" t="str" cm="1">
        <f t="array" ref="K204">_xlfn.IFS(G204&lt;10000, "Low", G204&lt;=25000, "Medium", G204&gt;25000, "High")</f>
        <v>Low</v>
      </c>
    </row>
    <row r="205" spans="1:11" x14ac:dyDescent="0.3">
      <c r="A205">
        <v>22</v>
      </c>
      <c r="B205" s="1" t="s">
        <v>7</v>
      </c>
      <c r="C205">
        <v>24.3</v>
      </c>
      <c r="D205">
        <v>0</v>
      </c>
      <c r="E205" t="s">
        <v>9</v>
      </c>
      <c r="F205" t="s">
        <v>12</v>
      </c>
      <c r="G205" s="2">
        <v>3180.5101</v>
      </c>
      <c r="H205" t="str" cm="1">
        <f t="array" ref="H205">_xlfn.IFS(A205&lt;=30, "Youth", A205&lt;=50, "Adult", A205&gt;50, "Older")</f>
        <v>Youth</v>
      </c>
      <c r="I205" t="str" cm="1">
        <f t="array" ref="I205">_xlfn.IFS(A205&lt;=25,"18-25",A205&lt;=35,"26-35",A205&lt;=45,"36-45",A205&lt;=60,"46-60",A205&gt;60,"60+")</f>
        <v>18-25</v>
      </c>
      <c r="J205" t="str" cm="1">
        <f t="array" ref="J205">_xlfn.IFS(C205&lt;18.5,"Underweight",C205&lt;25,"Normal",C205&lt;30,"Overweight",C205&gt;=30,"Obese")</f>
        <v>Normal</v>
      </c>
      <c r="K205" t="str" cm="1">
        <f t="array" ref="K205">_xlfn.IFS(G205&lt;10000, "Low", G205&lt;=25000, "Medium", G205&gt;25000, "High")</f>
        <v>Low</v>
      </c>
    </row>
    <row r="206" spans="1:11" x14ac:dyDescent="0.3">
      <c r="A206">
        <v>22</v>
      </c>
      <c r="B206" s="1" t="s">
        <v>8</v>
      </c>
      <c r="C206">
        <v>24.31</v>
      </c>
      <c r="D206">
        <v>0</v>
      </c>
      <c r="E206" t="s">
        <v>10</v>
      </c>
      <c r="F206" t="s">
        <v>11</v>
      </c>
      <c r="G206" s="2">
        <v>3201.2451500000002</v>
      </c>
      <c r="H206" t="str" cm="1">
        <f t="array" ref="H206">_xlfn.IFS(A206&lt;=30, "Youth", A206&lt;=50, "Adult", A206&gt;50, "Older")</f>
        <v>Youth</v>
      </c>
      <c r="I206" t="str" cm="1">
        <f t="array" ref="I206">_xlfn.IFS(A206&lt;=25,"18-25",A206&lt;=35,"26-35",A206&lt;=45,"36-45",A206&lt;=60,"46-60",A206&gt;60,"60+")</f>
        <v>18-25</v>
      </c>
      <c r="J206" t="str" cm="1">
        <f t="array" ref="J206">_xlfn.IFS(C206&lt;18.5,"Underweight",C206&lt;25,"Normal",C206&lt;30,"Overweight",C206&gt;=30,"Obese")</f>
        <v>Normal</v>
      </c>
      <c r="K206" t="str" cm="1">
        <f t="array" ref="K206">_xlfn.IFS(G206&lt;10000, "Low", G206&lt;=25000, "Medium", G206&gt;25000, "High")</f>
        <v>Low</v>
      </c>
    </row>
    <row r="207" spans="1:11" x14ac:dyDescent="0.3">
      <c r="A207">
        <v>22</v>
      </c>
      <c r="B207" s="1" t="s">
        <v>7</v>
      </c>
      <c r="C207">
        <v>24.31</v>
      </c>
      <c r="D207">
        <v>0</v>
      </c>
      <c r="E207" t="s">
        <v>10</v>
      </c>
      <c r="F207" t="s">
        <v>14</v>
      </c>
      <c r="G207" s="2">
        <v>3206.4913499999998</v>
      </c>
      <c r="H207" t="str" cm="1">
        <f t="array" ref="H207">_xlfn.IFS(A207&lt;=30, "Youth", A207&lt;=50, "Adult", A207&gt;50, "Older")</f>
        <v>Youth</v>
      </c>
      <c r="I207" t="str" cm="1">
        <f t="array" ref="I207">_xlfn.IFS(A207&lt;=25,"18-25",A207&lt;=35,"26-35",A207&lt;=45,"36-45",A207&lt;=60,"46-60",A207&gt;60,"60+")</f>
        <v>18-25</v>
      </c>
      <c r="J207" t="str" cm="1">
        <f t="array" ref="J207">_xlfn.IFS(C207&lt;18.5,"Underweight",C207&lt;25,"Normal",C207&lt;30,"Overweight",C207&gt;=30,"Obese")</f>
        <v>Normal</v>
      </c>
      <c r="K207" t="str" cm="1">
        <f t="array" ref="K207">_xlfn.IFS(G207&lt;10000, "Low", G207&lt;=25000, "Medium", G207&gt;25000, "High")</f>
        <v>Low</v>
      </c>
    </row>
    <row r="208" spans="1:11" x14ac:dyDescent="0.3">
      <c r="A208">
        <v>22</v>
      </c>
      <c r="B208" s="1" t="s">
        <v>8</v>
      </c>
      <c r="C208">
        <v>24.32</v>
      </c>
      <c r="D208">
        <v>0</v>
      </c>
      <c r="E208" t="s">
        <v>10</v>
      </c>
      <c r="F208" t="s">
        <v>12</v>
      </c>
      <c r="G208" s="2">
        <v>3208.7869999999998</v>
      </c>
      <c r="H208" t="str" cm="1">
        <f t="array" ref="H208">_xlfn.IFS(A208&lt;=30, "Youth", A208&lt;=50, "Adult", A208&gt;50, "Older")</f>
        <v>Youth</v>
      </c>
      <c r="I208" t="str" cm="1">
        <f t="array" ref="I208">_xlfn.IFS(A208&lt;=25,"18-25",A208&lt;=35,"26-35",A208&lt;=45,"36-45",A208&lt;=60,"46-60",A208&gt;60,"60+")</f>
        <v>18-25</v>
      </c>
      <c r="J208" t="str" cm="1">
        <f t="array" ref="J208">_xlfn.IFS(C208&lt;18.5,"Underweight",C208&lt;25,"Normal",C208&lt;30,"Overweight",C208&gt;=30,"Obese")</f>
        <v>Normal</v>
      </c>
      <c r="K208" t="str" cm="1">
        <f t="array" ref="K208">_xlfn.IFS(G208&lt;10000, "Low", G208&lt;=25000, "Medium", G208&gt;25000, "High")</f>
        <v>Low</v>
      </c>
    </row>
    <row r="209" spans="1:11" x14ac:dyDescent="0.3">
      <c r="A209">
        <v>22</v>
      </c>
      <c r="B209" s="1" t="s">
        <v>8</v>
      </c>
      <c r="C209">
        <v>24.32</v>
      </c>
      <c r="D209">
        <v>0</v>
      </c>
      <c r="E209" t="s">
        <v>9</v>
      </c>
      <c r="F209" t="s">
        <v>14</v>
      </c>
      <c r="G209" s="2">
        <v>3213.6220499999999</v>
      </c>
      <c r="H209" t="str" cm="1">
        <f t="array" ref="H209">_xlfn.IFS(A209&lt;=30, "Youth", A209&lt;=50, "Adult", A209&gt;50, "Older")</f>
        <v>Youth</v>
      </c>
      <c r="I209" t="str" cm="1">
        <f t="array" ref="I209">_xlfn.IFS(A209&lt;=25,"18-25",A209&lt;=35,"26-35",A209&lt;=45,"36-45",A209&lt;=60,"46-60",A209&gt;60,"60+")</f>
        <v>18-25</v>
      </c>
      <c r="J209" t="str" cm="1">
        <f t="array" ref="J209">_xlfn.IFS(C209&lt;18.5,"Underweight",C209&lt;25,"Normal",C209&lt;30,"Overweight",C209&gt;=30,"Obese")</f>
        <v>Normal</v>
      </c>
      <c r="K209" t="str" cm="1">
        <f t="array" ref="K209">_xlfn.IFS(G209&lt;10000, "Low", G209&lt;=25000, "Medium", G209&gt;25000, "High")</f>
        <v>Low</v>
      </c>
    </row>
    <row r="210" spans="1:11" x14ac:dyDescent="0.3">
      <c r="A210">
        <v>22</v>
      </c>
      <c r="B210" s="1" t="s">
        <v>7</v>
      </c>
      <c r="C210">
        <v>24.32</v>
      </c>
      <c r="D210">
        <v>0</v>
      </c>
      <c r="E210" t="s">
        <v>10</v>
      </c>
      <c r="F210" t="s">
        <v>11</v>
      </c>
      <c r="G210" s="2">
        <v>3227.1210999999998</v>
      </c>
      <c r="H210" t="str" cm="1">
        <f t="array" ref="H210">_xlfn.IFS(A210&lt;=30, "Youth", A210&lt;=50, "Adult", A210&gt;50, "Older")</f>
        <v>Youth</v>
      </c>
      <c r="I210" t="str" cm="1">
        <f t="array" ref="I210">_xlfn.IFS(A210&lt;=25,"18-25",A210&lt;=35,"26-35",A210&lt;=45,"36-45",A210&lt;=60,"46-60",A210&gt;60,"60+")</f>
        <v>18-25</v>
      </c>
      <c r="J210" t="str" cm="1">
        <f t="array" ref="J210">_xlfn.IFS(C210&lt;18.5,"Underweight",C210&lt;25,"Normal",C210&lt;30,"Overweight",C210&gt;=30,"Obese")</f>
        <v>Normal</v>
      </c>
      <c r="K210" t="str" cm="1">
        <f t="array" ref="K210">_xlfn.IFS(G210&lt;10000, "Low", G210&lt;=25000, "Medium", G210&gt;25000, "High")</f>
        <v>Low</v>
      </c>
    </row>
    <row r="211" spans="1:11" x14ac:dyDescent="0.3">
      <c r="A211">
        <v>22</v>
      </c>
      <c r="B211" s="1" t="s">
        <v>8</v>
      </c>
      <c r="C211">
        <v>24.32</v>
      </c>
      <c r="D211">
        <v>0</v>
      </c>
      <c r="E211" t="s">
        <v>10</v>
      </c>
      <c r="F211" t="s">
        <v>14</v>
      </c>
      <c r="G211" s="2">
        <v>3238.4357</v>
      </c>
      <c r="H211" t="str" cm="1">
        <f t="array" ref="H211">_xlfn.IFS(A211&lt;=30, "Youth", A211&lt;=50, "Adult", A211&gt;50, "Older")</f>
        <v>Youth</v>
      </c>
      <c r="I211" t="str" cm="1">
        <f t="array" ref="I211">_xlfn.IFS(A211&lt;=25,"18-25",A211&lt;=35,"26-35",A211&lt;=45,"36-45",A211&lt;=60,"46-60",A211&gt;60,"60+")</f>
        <v>18-25</v>
      </c>
      <c r="J211" t="str" cm="1">
        <f t="array" ref="J211">_xlfn.IFS(C211&lt;18.5,"Underweight",C211&lt;25,"Normal",C211&lt;30,"Overweight",C211&gt;=30,"Obese")</f>
        <v>Normal</v>
      </c>
      <c r="K211" t="str" cm="1">
        <f t="array" ref="K211">_xlfn.IFS(G211&lt;10000, "Low", G211&lt;=25000, "Medium", G211&gt;25000, "High")</f>
        <v>Low</v>
      </c>
    </row>
    <row r="212" spans="1:11" x14ac:dyDescent="0.3">
      <c r="A212">
        <v>22</v>
      </c>
      <c r="B212" s="1" t="s">
        <v>8</v>
      </c>
      <c r="C212">
        <v>24.32</v>
      </c>
      <c r="D212">
        <v>0</v>
      </c>
      <c r="E212" t="s">
        <v>10</v>
      </c>
      <c r="F212" t="s">
        <v>11</v>
      </c>
      <c r="G212" s="2">
        <v>3260.1990000000001</v>
      </c>
      <c r="H212" t="str" cm="1">
        <f t="array" ref="H212">_xlfn.IFS(A212&lt;=30, "Youth", A212&lt;=50, "Adult", A212&gt;50, "Older")</f>
        <v>Youth</v>
      </c>
      <c r="I212" t="str" cm="1">
        <f t="array" ref="I212">_xlfn.IFS(A212&lt;=25,"18-25",A212&lt;=35,"26-35",A212&lt;=45,"36-45",A212&lt;=60,"46-60",A212&gt;60,"60+")</f>
        <v>18-25</v>
      </c>
      <c r="J212" t="str" cm="1">
        <f t="array" ref="J212">_xlfn.IFS(C212&lt;18.5,"Underweight",C212&lt;25,"Normal",C212&lt;30,"Overweight",C212&gt;=30,"Obese")</f>
        <v>Normal</v>
      </c>
      <c r="K212" t="str" cm="1">
        <f t="array" ref="K212">_xlfn.IFS(G212&lt;10000, "Low", G212&lt;=25000, "Medium", G212&gt;25000, "High")</f>
        <v>Low</v>
      </c>
    </row>
    <row r="213" spans="1:11" x14ac:dyDescent="0.3">
      <c r="A213">
        <v>22</v>
      </c>
      <c r="B213" s="1" t="s">
        <v>8</v>
      </c>
      <c r="C213">
        <v>24.32</v>
      </c>
      <c r="D213">
        <v>0</v>
      </c>
      <c r="E213" t="s">
        <v>10</v>
      </c>
      <c r="F213" t="s">
        <v>13</v>
      </c>
      <c r="G213" s="2">
        <v>3268.84665</v>
      </c>
      <c r="H213" t="str" cm="1">
        <f t="array" ref="H213">_xlfn.IFS(A213&lt;=30, "Youth", A213&lt;=50, "Adult", A213&gt;50, "Older")</f>
        <v>Youth</v>
      </c>
      <c r="I213" t="str" cm="1">
        <f t="array" ref="I213">_xlfn.IFS(A213&lt;=25,"18-25",A213&lt;=35,"26-35",A213&lt;=45,"36-45",A213&lt;=60,"46-60",A213&gt;60,"60+")</f>
        <v>18-25</v>
      </c>
      <c r="J213" t="str" cm="1">
        <f t="array" ref="J213">_xlfn.IFS(C213&lt;18.5,"Underweight",C213&lt;25,"Normal",C213&lt;30,"Overweight",C213&gt;=30,"Obese")</f>
        <v>Normal</v>
      </c>
      <c r="K213" t="str" cm="1">
        <f t="array" ref="K213">_xlfn.IFS(G213&lt;10000, "Low", G213&lt;=25000, "Medium", G213&gt;25000, "High")</f>
        <v>Low</v>
      </c>
    </row>
    <row r="214" spans="1:11" x14ac:dyDescent="0.3">
      <c r="A214">
        <v>22</v>
      </c>
      <c r="B214" s="1" t="s">
        <v>8</v>
      </c>
      <c r="C214">
        <v>24.32</v>
      </c>
      <c r="D214">
        <v>0</v>
      </c>
      <c r="E214" t="s">
        <v>10</v>
      </c>
      <c r="F214" t="s">
        <v>13</v>
      </c>
      <c r="G214" s="2">
        <v>3277.1610000000001</v>
      </c>
      <c r="H214" t="str" cm="1">
        <f t="array" ref="H214">_xlfn.IFS(A214&lt;=30, "Youth", A214&lt;=50, "Adult", A214&gt;50, "Older")</f>
        <v>Youth</v>
      </c>
      <c r="I214" t="str" cm="1">
        <f t="array" ref="I214">_xlfn.IFS(A214&lt;=25,"18-25",A214&lt;=35,"26-35",A214&lt;=45,"36-45",A214&lt;=60,"46-60",A214&gt;60,"60+")</f>
        <v>18-25</v>
      </c>
      <c r="J214" t="str" cm="1">
        <f t="array" ref="J214">_xlfn.IFS(C214&lt;18.5,"Underweight",C214&lt;25,"Normal",C214&lt;30,"Overweight",C214&gt;=30,"Obese")</f>
        <v>Normal</v>
      </c>
      <c r="K214" t="str" cm="1">
        <f t="array" ref="K214">_xlfn.IFS(G214&lt;10000, "Low", G214&lt;=25000, "Medium", G214&gt;25000, "High")</f>
        <v>Low</v>
      </c>
    </row>
    <row r="215" spans="1:11" x14ac:dyDescent="0.3">
      <c r="A215">
        <v>22</v>
      </c>
      <c r="B215" s="1" t="s">
        <v>7</v>
      </c>
      <c r="C215">
        <v>24.4</v>
      </c>
      <c r="D215">
        <v>0</v>
      </c>
      <c r="E215" t="s">
        <v>10</v>
      </c>
      <c r="F215" t="s">
        <v>12</v>
      </c>
      <c r="G215" s="2">
        <v>3279.8685500000001</v>
      </c>
      <c r="H215" t="str" cm="1">
        <f t="array" ref="H215">_xlfn.IFS(A215&lt;=30, "Youth", A215&lt;=50, "Adult", A215&gt;50, "Older")</f>
        <v>Youth</v>
      </c>
      <c r="I215" t="str" cm="1">
        <f t="array" ref="I215">_xlfn.IFS(A215&lt;=25,"18-25",A215&lt;=35,"26-35",A215&lt;=45,"36-45",A215&lt;=60,"46-60",A215&gt;60,"60+")</f>
        <v>18-25</v>
      </c>
      <c r="J215" t="str" cm="1">
        <f t="array" ref="J215">_xlfn.IFS(C215&lt;18.5,"Underweight",C215&lt;25,"Normal",C215&lt;30,"Overweight",C215&gt;=30,"Obese")</f>
        <v>Normal</v>
      </c>
      <c r="K215" t="str" cm="1">
        <f t="array" ref="K215">_xlfn.IFS(G215&lt;10000, "Low", G215&lt;=25000, "Medium", G215&gt;25000, "High")</f>
        <v>Low</v>
      </c>
    </row>
    <row r="216" spans="1:11" x14ac:dyDescent="0.3">
      <c r="A216">
        <v>22</v>
      </c>
      <c r="B216" s="1" t="s">
        <v>7</v>
      </c>
      <c r="C216">
        <v>24.414999999999999</v>
      </c>
      <c r="D216">
        <v>0</v>
      </c>
      <c r="E216" t="s">
        <v>10</v>
      </c>
      <c r="F216" t="s">
        <v>11</v>
      </c>
      <c r="G216" s="2">
        <v>3292.5298499999999</v>
      </c>
      <c r="H216" t="str" cm="1">
        <f t="array" ref="H216">_xlfn.IFS(A216&lt;=30, "Youth", A216&lt;=50, "Adult", A216&gt;50, "Older")</f>
        <v>Youth</v>
      </c>
      <c r="I216" t="str" cm="1">
        <f t="array" ref="I216">_xlfn.IFS(A216&lt;=25,"18-25",A216&lt;=35,"26-35",A216&lt;=45,"36-45",A216&lt;=60,"46-60",A216&gt;60,"60+")</f>
        <v>18-25</v>
      </c>
      <c r="J216" t="str" cm="1">
        <f t="array" ref="J216">_xlfn.IFS(C216&lt;18.5,"Underweight",C216&lt;25,"Normal",C216&lt;30,"Overweight",C216&gt;=30,"Obese")</f>
        <v>Normal</v>
      </c>
      <c r="K216" t="str" cm="1">
        <f t="array" ref="K216">_xlfn.IFS(G216&lt;10000, "Low", G216&lt;=25000, "Medium", G216&gt;25000, "High")</f>
        <v>Low</v>
      </c>
    </row>
    <row r="217" spans="1:11" x14ac:dyDescent="0.3">
      <c r="A217">
        <v>22</v>
      </c>
      <c r="B217" s="1" t="s">
        <v>7</v>
      </c>
      <c r="C217">
        <v>24.42</v>
      </c>
      <c r="D217">
        <v>0</v>
      </c>
      <c r="E217" t="s">
        <v>10</v>
      </c>
      <c r="F217" t="s">
        <v>11</v>
      </c>
      <c r="G217" s="2">
        <v>3309.7926000000002</v>
      </c>
      <c r="H217" t="str" cm="1">
        <f t="array" ref="H217">_xlfn.IFS(A217&lt;=30, "Youth", A217&lt;=50, "Adult", A217&gt;50, "Older")</f>
        <v>Youth</v>
      </c>
      <c r="I217" t="str" cm="1">
        <f t="array" ref="I217">_xlfn.IFS(A217&lt;=25,"18-25",A217&lt;=35,"26-35",A217&lt;=45,"36-45",A217&lt;=60,"46-60",A217&gt;60,"60+")</f>
        <v>18-25</v>
      </c>
      <c r="J217" t="str" cm="1">
        <f t="array" ref="J217">_xlfn.IFS(C217&lt;18.5,"Underweight",C217&lt;25,"Normal",C217&lt;30,"Overweight",C217&gt;=30,"Obese")</f>
        <v>Normal</v>
      </c>
      <c r="K217" t="str" cm="1">
        <f t="array" ref="K217">_xlfn.IFS(G217&lt;10000, "Low", G217&lt;=25000, "Medium", G217&gt;25000, "High")</f>
        <v>Low</v>
      </c>
    </row>
    <row r="218" spans="1:11" x14ac:dyDescent="0.3">
      <c r="A218">
        <v>22</v>
      </c>
      <c r="B218" s="1" t="s">
        <v>7</v>
      </c>
      <c r="C218">
        <v>24.42</v>
      </c>
      <c r="D218">
        <v>0</v>
      </c>
      <c r="E218" t="s">
        <v>10</v>
      </c>
      <c r="F218" t="s">
        <v>13</v>
      </c>
      <c r="G218" s="2">
        <v>3353.2840000000001</v>
      </c>
      <c r="H218" t="str" cm="1">
        <f t="array" ref="H218">_xlfn.IFS(A218&lt;=30, "Youth", A218&lt;=50, "Adult", A218&gt;50, "Older")</f>
        <v>Youth</v>
      </c>
      <c r="I218" t="str" cm="1">
        <f t="array" ref="I218">_xlfn.IFS(A218&lt;=25,"18-25",A218&lt;=35,"26-35",A218&lt;=45,"36-45",A218&lt;=60,"46-60",A218&gt;60,"60+")</f>
        <v>18-25</v>
      </c>
      <c r="J218" t="str" cm="1">
        <f t="array" ref="J218">_xlfn.IFS(C218&lt;18.5,"Underweight",C218&lt;25,"Normal",C218&lt;30,"Overweight",C218&gt;=30,"Obese")</f>
        <v>Normal</v>
      </c>
      <c r="K218" t="str" cm="1">
        <f t="array" ref="K218">_xlfn.IFS(G218&lt;10000, "Low", G218&lt;=25000, "Medium", G218&gt;25000, "High")</f>
        <v>Low</v>
      </c>
    </row>
    <row r="219" spans="1:11" x14ac:dyDescent="0.3">
      <c r="A219">
        <v>22</v>
      </c>
      <c r="B219" s="1" t="s">
        <v>8</v>
      </c>
      <c r="C219">
        <v>24.42</v>
      </c>
      <c r="D219">
        <v>0</v>
      </c>
      <c r="E219" t="s">
        <v>10</v>
      </c>
      <c r="F219" t="s">
        <v>12</v>
      </c>
      <c r="G219" s="2">
        <v>3353.4703</v>
      </c>
      <c r="H219" t="str" cm="1">
        <f t="array" ref="H219">_xlfn.IFS(A219&lt;=30, "Youth", A219&lt;=50, "Adult", A219&gt;50, "Older")</f>
        <v>Youth</v>
      </c>
      <c r="I219" t="str" cm="1">
        <f t="array" ref="I219">_xlfn.IFS(A219&lt;=25,"18-25",A219&lt;=35,"26-35",A219&lt;=45,"36-45",A219&lt;=60,"46-60",A219&gt;60,"60+")</f>
        <v>18-25</v>
      </c>
      <c r="J219" t="str" cm="1">
        <f t="array" ref="J219">_xlfn.IFS(C219&lt;18.5,"Underweight",C219&lt;25,"Normal",C219&lt;30,"Overweight",C219&gt;=30,"Obese")</f>
        <v>Normal</v>
      </c>
      <c r="K219" t="str" cm="1">
        <f t="array" ref="K219">_xlfn.IFS(G219&lt;10000, "Low", G219&lt;=25000, "Medium", G219&gt;25000, "High")</f>
        <v>Low</v>
      </c>
    </row>
    <row r="220" spans="1:11" x14ac:dyDescent="0.3">
      <c r="A220">
        <v>22</v>
      </c>
      <c r="B220" s="1" t="s">
        <v>7</v>
      </c>
      <c r="C220">
        <v>24.51</v>
      </c>
      <c r="D220">
        <v>0</v>
      </c>
      <c r="E220" t="s">
        <v>10</v>
      </c>
      <c r="F220" t="s">
        <v>12</v>
      </c>
      <c r="G220" s="2">
        <v>3366.6696999999999</v>
      </c>
      <c r="H220" t="str" cm="1">
        <f t="array" ref="H220">_xlfn.IFS(A220&lt;=30, "Youth", A220&lt;=50, "Adult", A220&gt;50, "Older")</f>
        <v>Youth</v>
      </c>
      <c r="I220" t="str" cm="1">
        <f t="array" ref="I220">_xlfn.IFS(A220&lt;=25,"18-25",A220&lt;=35,"26-35",A220&lt;=45,"36-45",A220&lt;=60,"46-60",A220&gt;60,"60+")</f>
        <v>18-25</v>
      </c>
      <c r="J220" t="str" cm="1">
        <f t="array" ref="J220">_xlfn.IFS(C220&lt;18.5,"Underweight",C220&lt;25,"Normal",C220&lt;30,"Overweight",C220&gt;=30,"Obese")</f>
        <v>Normal</v>
      </c>
      <c r="K220" t="str" cm="1">
        <f t="array" ref="K220">_xlfn.IFS(G220&lt;10000, "Low", G220&lt;=25000, "Medium", G220&gt;25000, "High")</f>
        <v>Low</v>
      </c>
    </row>
    <row r="221" spans="1:11" x14ac:dyDescent="0.3">
      <c r="A221">
        <v>22</v>
      </c>
      <c r="B221" s="1" t="s">
        <v>7</v>
      </c>
      <c r="C221">
        <v>24.51</v>
      </c>
      <c r="D221">
        <v>0</v>
      </c>
      <c r="E221" t="s">
        <v>10</v>
      </c>
      <c r="F221" t="s">
        <v>12</v>
      </c>
      <c r="G221" s="2">
        <v>3378.91</v>
      </c>
      <c r="H221" t="str" cm="1">
        <f t="array" ref="H221">_xlfn.IFS(A221&lt;=30, "Youth", A221&lt;=50, "Adult", A221&gt;50, "Older")</f>
        <v>Youth</v>
      </c>
      <c r="I221" t="str" cm="1">
        <f t="array" ref="I221">_xlfn.IFS(A221&lt;=25,"18-25",A221&lt;=35,"26-35",A221&lt;=45,"36-45",A221&lt;=60,"46-60",A221&gt;60,"60+")</f>
        <v>18-25</v>
      </c>
      <c r="J221" t="str" cm="1">
        <f t="array" ref="J221">_xlfn.IFS(C221&lt;18.5,"Underweight",C221&lt;25,"Normal",C221&lt;30,"Overweight",C221&gt;=30,"Obese")</f>
        <v>Normal</v>
      </c>
      <c r="K221" t="str" cm="1">
        <f t="array" ref="K221">_xlfn.IFS(G221&lt;10000, "Low", G221&lt;=25000, "Medium", G221&gt;25000, "High")</f>
        <v>Low</v>
      </c>
    </row>
    <row r="222" spans="1:11" x14ac:dyDescent="0.3">
      <c r="A222">
        <v>22</v>
      </c>
      <c r="B222" s="1" t="s">
        <v>7</v>
      </c>
      <c r="C222">
        <v>24.51</v>
      </c>
      <c r="D222">
        <v>0</v>
      </c>
      <c r="E222" t="s">
        <v>10</v>
      </c>
      <c r="F222" t="s">
        <v>11</v>
      </c>
      <c r="G222" s="2">
        <v>3385.3991500000002</v>
      </c>
      <c r="H222" t="str" cm="1">
        <f t="array" ref="H222">_xlfn.IFS(A222&lt;=30, "Youth", A222&lt;=50, "Adult", A222&gt;50, "Older")</f>
        <v>Youth</v>
      </c>
      <c r="I222" t="str" cm="1">
        <f t="array" ref="I222">_xlfn.IFS(A222&lt;=25,"18-25",A222&lt;=35,"26-35",A222&lt;=45,"36-45",A222&lt;=60,"46-60",A222&gt;60,"60+")</f>
        <v>18-25</v>
      </c>
      <c r="J222" t="str" cm="1">
        <f t="array" ref="J222">_xlfn.IFS(C222&lt;18.5,"Underweight",C222&lt;25,"Normal",C222&lt;30,"Overweight",C222&gt;=30,"Obese")</f>
        <v>Normal</v>
      </c>
      <c r="K222" t="str" cm="1">
        <f t="array" ref="K222">_xlfn.IFS(G222&lt;10000, "Low", G222&lt;=25000, "Medium", G222&gt;25000, "High")</f>
        <v>Low</v>
      </c>
    </row>
    <row r="223" spans="1:11" x14ac:dyDescent="0.3">
      <c r="A223">
        <v>23</v>
      </c>
      <c r="B223" s="1" t="s">
        <v>7</v>
      </c>
      <c r="C223">
        <v>24.53</v>
      </c>
      <c r="D223">
        <v>0</v>
      </c>
      <c r="E223" t="s">
        <v>10</v>
      </c>
      <c r="F223" t="s">
        <v>14</v>
      </c>
      <c r="G223" s="2">
        <v>3392.3652000000002</v>
      </c>
      <c r="H223" t="str" cm="1">
        <f t="array" ref="H223">_xlfn.IFS(A223&lt;=30, "Youth", A223&lt;=50, "Adult", A223&gt;50, "Older")</f>
        <v>Youth</v>
      </c>
      <c r="I223" t="str" cm="1">
        <f t="array" ref="I223">_xlfn.IFS(A223&lt;=25,"18-25",A223&lt;=35,"26-35",A223&lt;=45,"36-45",A223&lt;=60,"46-60",A223&gt;60,"60+")</f>
        <v>18-25</v>
      </c>
      <c r="J223" t="str" cm="1">
        <f t="array" ref="J223">_xlfn.IFS(C223&lt;18.5,"Underweight",C223&lt;25,"Normal",C223&lt;30,"Overweight",C223&gt;=30,"Obese")</f>
        <v>Normal</v>
      </c>
      <c r="K223" t="str" cm="1">
        <f t="array" ref="K223">_xlfn.IFS(G223&lt;10000, "Low", G223&lt;=25000, "Medium", G223&gt;25000, "High")</f>
        <v>Low</v>
      </c>
    </row>
    <row r="224" spans="1:11" x14ac:dyDescent="0.3">
      <c r="A224">
        <v>23</v>
      </c>
      <c r="B224" s="1" t="s">
        <v>8</v>
      </c>
      <c r="C224">
        <v>24.6</v>
      </c>
      <c r="D224">
        <v>0</v>
      </c>
      <c r="E224" t="s">
        <v>10</v>
      </c>
      <c r="F224" t="s">
        <v>11</v>
      </c>
      <c r="G224" s="2">
        <v>3392.9767999999999</v>
      </c>
      <c r="H224" t="str" cm="1">
        <f t="array" ref="H224">_xlfn.IFS(A224&lt;=30, "Youth", A224&lt;=50, "Adult", A224&gt;50, "Older")</f>
        <v>Youth</v>
      </c>
      <c r="I224" t="str" cm="1">
        <f t="array" ref="I224">_xlfn.IFS(A224&lt;=25,"18-25",A224&lt;=35,"26-35",A224&lt;=45,"36-45",A224&lt;=60,"46-60",A224&gt;60,"60+")</f>
        <v>18-25</v>
      </c>
      <c r="J224" t="str" cm="1">
        <f t="array" ref="J224">_xlfn.IFS(C224&lt;18.5,"Underweight",C224&lt;25,"Normal",C224&lt;30,"Overweight",C224&gt;=30,"Obese")</f>
        <v>Normal</v>
      </c>
      <c r="K224" t="str" cm="1">
        <f t="array" ref="K224">_xlfn.IFS(G224&lt;10000, "Low", G224&lt;=25000, "Medium", G224&gt;25000, "High")</f>
        <v>Low</v>
      </c>
    </row>
    <row r="225" spans="1:11" x14ac:dyDescent="0.3">
      <c r="A225">
        <v>23</v>
      </c>
      <c r="B225" s="1" t="s">
        <v>8</v>
      </c>
      <c r="C225">
        <v>24.6</v>
      </c>
      <c r="D225">
        <v>0</v>
      </c>
      <c r="E225" t="s">
        <v>9</v>
      </c>
      <c r="F225" t="s">
        <v>11</v>
      </c>
      <c r="G225" s="2">
        <v>3393.35635</v>
      </c>
      <c r="H225" t="str" cm="1">
        <f t="array" ref="H225">_xlfn.IFS(A225&lt;=30, "Youth", A225&lt;=50, "Adult", A225&gt;50, "Older")</f>
        <v>Youth</v>
      </c>
      <c r="I225" t="str" cm="1">
        <f t="array" ref="I225">_xlfn.IFS(A225&lt;=25,"18-25",A225&lt;=35,"26-35",A225&lt;=45,"36-45",A225&lt;=60,"46-60",A225&gt;60,"60+")</f>
        <v>18-25</v>
      </c>
      <c r="J225" t="str" cm="1">
        <f t="array" ref="J225">_xlfn.IFS(C225&lt;18.5,"Underweight",C225&lt;25,"Normal",C225&lt;30,"Overweight",C225&gt;=30,"Obese")</f>
        <v>Normal</v>
      </c>
      <c r="K225" t="str" cm="1">
        <f t="array" ref="K225">_xlfn.IFS(G225&lt;10000, "Low", G225&lt;=25000, "Medium", G225&gt;25000, "High")</f>
        <v>Low</v>
      </c>
    </row>
    <row r="226" spans="1:11" x14ac:dyDescent="0.3">
      <c r="A226">
        <v>23</v>
      </c>
      <c r="B226" s="1" t="s">
        <v>8</v>
      </c>
      <c r="C226">
        <v>24.6</v>
      </c>
      <c r="D226">
        <v>0</v>
      </c>
      <c r="E226" t="s">
        <v>9</v>
      </c>
      <c r="F226" t="s">
        <v>12</v>
      </c>
      <c r="G226" s="2">
        <v>3410.3240000000001</v>
      </c>
      <c r="H226" t="str" cm="1">
        <f t="array" ref="H226">_xlfn.IFS(A226&lt;=30, "Youth", A226&lt;=50, "Adult", A226&gt;50, "Older")</f>
        <v>Youth</v>
      </c>
      <c r="I226" t="str" cm="1">
        <f t="array" ref="I226">_xlfn.IFS(A226&lt;=25,"18-25",A226&lt;=35,"26-35",A226&lt;=45,"36-45",A226&lt;=60,"46-60",A226&gt;60,"60+")</f>
        <v>18-25</v>
      </c>
      <c r="J226" t="str" cm="1">
        <f t="array" ref="J226">_xlfn.IFS(C226&lt;18.5,"Underweight",C226&lt;25,"Normal",C226&lt;30,"Overweight",C226&gt;=30,"Obese")</f>
        <v>Normal</v>
      </c>
      <c r="K226" t="str" cm="1">
        <f t="array" ref="K226">_xlfn.IFS(G226&lt;10000, "Low", G226&lt;=25000, "Medium", G226&gt;25000, "High")</f>
        <v>Low</v>
      </c>
    </row>
    <row r="227" spans="1:11" x14ac:dyDescent="0.3">
      <c r="A227">
        <v>23</v>
      </c>
      <c r="B227" s="1" t="s">
        <v>8</v>
      </c>
      <c r="C227">
        <v>24.605</v>
      </c>
      <c r="D227">
        <v>0</v>
      </c>
      <c r="E227" t="s">
        <v>10</v>
      </c>
      <c r="F227" t="s">
        <v>12</v>
      </c>
      <c r="G227" s="2">
        <v>3443.0639999999999</v>
      </c>
      <c r="H227" t="str" cm="1">
        <f t="array" ref="H227">_xlfn.IFS(A227&lt;=30, "Youth", A227&lt;=50, "Adult", A227&gt;50, "Older")</f>
        <v>Youth</v>
      </c>
      <c r="I227" t="str" cm="1">
        <f t="array" ref="I227">_xlfn.IFS(A227&lt;=25,"18-25",A227&lt;=35,"26-35",A227&lt;=45,"36-45",A227&lt;=60,"46-60",A227&gt;60,"60+")</f>
        <v>18-25</v>
      </c>
      <c r="J227" t="str" cm="1">
        <f t="array" ref="J227">_xlfn.IFS(C227&lt;18.5,"Underweight",C227&lt;25,"Normal",C227&lt;30,"Overweight",C227&gt;=30,"Obese")</f>
        <v>Normal</v>
      </c>
      <c r="K227" t="str" cm="1">
        <f t="array" ref="K227">_xlfn.IFS(G227&lt;10000, "Low", G227&lt;=25000, "Medium", G227&gt;25000, "High")</f>
        <v>Low</v>
      </c>
    </row>
    <row r="228" spans="1:11" x14ac:dyDescent="0.3">
      <c r="A228">
        <v>23</v>
      </c>
      <c r="B228" s="1" t="s">
        <v>8</v>
      </c>
      <c r="C228">
        <v>24.605</v>
      </c>
      <c r="D228">
        <v>0</v>
      </c>
      <c r="E228" t="s">
        <v>10</v>
      </c>
      <c r="F228" t="s">
        <v>12</v>
      </c>
      <c r="G228" s="2">
        <v>3471.4096</v>
      </c>
      <c r="H228" t="str" cm="1">
        <f t="array" ref="H228">_xlfn.IFS(A228&lt;=30, "Youth", A228&lt;=50, "Adult", A228&gt;50, "Older")</f>
        <v>Youth</v>
      </c>
      <c r="I228" t="str" cm="1">
        <f t="array" ref="I228">_xlfn.IFS(A228&lt;=25,"18-25",A228&lt;=35,"26-35",A228&lt;=45,"36-45",A228&lt;=60,"46-60",A228&gt;60,"60+")</f>
        <v>18-25</v>
      </c>
      <c r="J228" t="str" cm="1">
        <f t="array" ref="J228">_xlfn.IFS(C228&lt;18.5,"Underweight",C228&lt;25,"Normal",C228&lt;30,"Overweight",C228&gt;=30,"Obese")</f>
        <v>Normal</v>
      </c>
      <c r="K228" t="str" cm="1">
        <f t="array" ref="K228">_xlfn.IFS(G228&lt;10000, "Low", G228&lt;=25000, "Medium", G228&gt;25000, "High")</f>
        <v>Low</v>
      </c>
    </row>
    <row r="229" spans="1:11" x14ac:dyDescent="0.3">
      <c r="A229">
        <v>23</v>
      </c>
      <c r="B229" s="1" t="s">
        <v>7</v>
      </c>
      <c r="C229">
        <v>24.605</v>
      </c>
      <c r="D229">
        <v>0</v>
      </c>
      <c r="E229" t="s">
        <v>10</v>
      </c>
      <c r="F229" t="s">
        <v>12</v>
      </c>
      <c r="G229" s="2">
        <v>3481.8679999999999</v>
      </c>
      <c r="H229" t="str" cm="1">
        <f t="array" ref="H229">_xlfn.IFS(A229&lt;=30, "Youth", A229&lt;=50, "Adult", A229&gt;50, "Older")</f>
        <v>Youth</v>
      </c>
      <c r="I229" t="str" cm="1">
        <f t="array" ref="I229">_xlfn.IFS(A229&lt;=25,"18-25",A229&lt;=35,"26-35",A229&lt;=45,"36-45",A229&lt;=60,"46-60",A229&gt;60,"60+")</f>
        <v>18-25</v>
      </c>
      <c r="J229" t="str" cm="1">
        <f t="array" ref="J229">_xlfn.IFS(C229&lt;18.5,"Underweight",C229&lt;25,"Normal",C229&lt;30,"Overweight",C229&gt;=30,"Obese")</f>
        <v>Normal</v>
      </c>
      <c r="K229" t="str" cm="1">
        <f t="array" ref="K229">_xlfn.IFS(G229&lt;10000, "Low", G229&lt;=25000, "Medium", G229&gt;25000, "High")</f>
        <v>Low</v>
      </c>
    </row>
    <row r="230" spans="1:11" x14ac:dyDescent="0.3">
      <c r="A230">
        <v>23</v>
      </c>
      <c r="B230" s="1" t="s">
        <v>7</v>
      </c>
      <c r="C230">
        <v>24.605</v>
      </c>
      <c r="D230">
        <v>0</v>
      </c>
      <c r="E230" t="s">
        <v>10</v>
      </c>
      <c r="F230" t="s">
        <v>14</v>
      </c>
      <c r="G230" s="2">
        <v>3484.3310000000001</v>
      </c>
      <c r="H230" t="str" cm="1">
        <f t="array" ref="H230">_xlfn.IFS(A230&lt;=30, "Youth", A230&lt;=50, "Adult", A230&gt;50, "Older")</f>
        <v>Youth</v>
      </c>
      <c r="I230" t="str" cm="1">
        <f t="array" ref="I230">_xlfn.IFS(A230&lt;=25,"18-25",A230&lt;=35,"26-35",A230&lt;=45,"36-45",A230&lt;=60,"46-60",A230&gt;60,"60+")</f>
        <v>18-25</v>
      </c>
      <c r="J230" t="str" cm="1">
        <f t="array" ref="J230">_xlfn.IFS(C230&lt;18.5,"Underweight",C230&lt;25,"Normal",C230&lt;30,"Overweight",C230&gt;=30,"Obese")</f>
        <v>Normal</v>
      </c>
      <c r="K230" t="str" cm="1">
        <f t="array" ref="K230">_xlfn.IFS(G230&lt;10000, "Low", G230&lt;=25000, "Medium", G230&gt;25000, "High")</f>
        <v>Low</v>
      </c>
    </row>
    <row r="231" spans="1:11" x14ac:dyDescent="0.3">
      <c r="A231">
        <v>23</v>
      </c>
      <c r="B231" s="1" t="s">
        <v>8</v>
      </c>
      <c r="C231">
        <v>24.64</v>
      </c>
      <c r="D231">
        <v>0</v>
      </c>
      <c r="E231" t="s">
        <v>10</v>
      </c>
      <c r="F231" t="s">
        <v>14</v>
      </c>
      <c r="G231" s="2">
        <v>3490.5491000000002</v>
      </c>
      <c r="H231" t="str" cm="1">
        <f t="array" ref="H231">_xlfn.IFS(A231&lt;=30, "Youth", A231&lt;=50, "Adult", A231&gt;50, "Older")</f>
        <v>Youth</v>
      </c>
      <c r="I231" t="str" cm="1">
        <f t="array" ref="I231">_xlfn.IFS(A231&lt;=25,"18-25",A231&lt;=35,"26-35",A231&lt;=45,"36-45",A231&lt;=60,"46-60",A231&gt;60,"60+")</f>
        <v>18-25</v>
      </c>
      <c r="J231" t="str" cm="1">
        <f t="array" ref="J231">_xlfn.IFS(C231&lt;18.5,"Underweight",C231&lt;25,"Normal",C231&lt;30,"Overweight",C231&gt;=30,"Obese")</f>
        <v>Normal</v>
      </c>
      <c r="K231" t="str" cm="1">
        <f t="array" ref="K231">_xlfn.IFS(G231&lt;10000, "Low", G231&lt;=25000, "Medium", G231&gt;25000, "High")</f>
        <v>Low</v>
      </c>
    </row>
    <row r="232" spans="1:11" x14ac:dyDescent="0.3">
      <c r="A232">
        <v>23</v>
      </c>
      <c r="B232" s="1" t="s">
        <v>7</v>
      </c>
      <c r="C232">
        <v>24.7</v>
      </c>
      <c r="D232">
        <v>0</v>
      </c>
      <c r="E232" t="s">
        <v>10</v>
      </c>
      <c r="F232" t="s">
        <v>13</v>
      </c>
      <c r="G232" s="2">
        <v>3500.6122999999998</v>
      </c>
      <c r="H232" t="str" cm="1">
        <f t="array" ref="H232">_xlfn.IFS(A232&lt;=30, "Youth", A232&lt;=50, "Adult", A232&gt;50, "Older")</f>
        <v>Youth</v>
      </c>
      <c r="I232" t="str" cm="1">
        <f t="array" ref="I232">_xlfn.IFS(A232&lt;=25,"18-25",A232&lt;=35,"26-35",A232&lt;=45,"36-45",A232&lt;=60,"46-60",A232&gt;60,"60+")</f>
        <v>18-25</v>
      </c>
      <c r="J232" t="str" cm="1">
        <f t="array" ref="J232">_xlfn.IFS(C232&lt;18.5,"Underweight",C232&lt;25,"Normal",C232&lt;30,"Overweight",C232&gt;=30,"Obese")</f>
        <v>Normal</v>
      </c>
      <c r="K232" t="str" cm="1">
        <f t="array" ref="K232">_xlfn.IFS(G232&lt;10000, "Low", G232&lt;=25000, "Medium", G232&gt;25000, "High")</f>
        <v>Low</v>
      </c>
    </row>
    <row r="233" spans="1:11" x14ac:dyDescent="0.3">
      <c r="A233">
        <v>23</v>
      </c>
      <c r="B233" s="1" t="s">
        <v>7</v>
      </c>
      <c r="C233">
        <v>24.7</v>
      </c>
      <c r="D233">
        <v>0</v>
      </c>
      <c r="E233" t="s">
        <v>10</v>
      </c>
      <c r="F233" t="s">
        <v>12</v>
      </c>
      <c r="G233" s="2">
        <v>3537.703</v>
      </c>
      <c r="H233" t="str" cm="1">
        <f t="array" ref="H233">_xlfn.IFS(A233&lt;=30, "Youth", A233&lt;=50, "Adult", A233&gt;50, "Older")</f>
        <v>Youth</v>
      </c>
      <c r="I233" t="str" cm="1">
        <f t="array" ref="I233">_xlfn.IFS(A233&lt;=25,"18-25",A233&lt;=35,"26-35",A233&lt;=45,"36-45",A233&lt;=60,"46-60",A233&gt;60,"60+")</f>
        <v>18-25</v>
      </c>
      <c r="J233" t="str" cm="1">
        <f t="array" ref="J233">_xlfn.IFS(C233&lt;18.5,"Underweight",C233&lt;25,"Normal",C233&lt;30,"Overweight",C233&gt;=30,"Obese")</f>
        <v>Normal</v>
      </c>
      <c r="K233" t="str" cm="1">
        <f t="array" ref="K233">_xlfn.IFS(G233&lt;10000, "Low", G233&lt;=25000, "Medium", G233&gt;25000, "High")</f>
        <v>Low</v>
      </c>
    </row>
    <row r="234" spans="1:11" x14ac:dyDescent="0.3">
      <c r="A234">
        <v>23</v>
      </c>
      <c r="B234" s="1" t="s">
        <v>7</v>
      </c>
      <c r="C234">
        <v>24.7</v>
      </c>
      <c r="D234">
        <v>0</v>
      </c>
      <c r="E234" t="s">
        <v>10</v>
      </c>
      <c r="F234" t="s">
        <v>11</v>
      </c>
      <c r="G234" s="2">
        <v>3554.203</v>
      </c>
      <c r="H234" t="str" cm="1">
        <f t="array" ref="H234">_xlfn.IFS(A234&lt;=30, "Youth", A234&lt;=50, "Adult", A234&gt;50, "Older")</f>
        <v>Youth</v>
      </c>
      <c r="I234" t="str" cm="1">
        <f t="array" ref="I234">_xlfn.IFS(A234&lt;=25,"18-25",A234&lt;=35,"26-35",A234&lt;=45,"36-45",A234&lt;=60,"46-60",A234&gt;60,"60+")</f>
        <v>18-25</v>
      </c>
      <c r="J234" t="str" cm="1">
        <f t="array" ref="J234">_xlfn.IFS(C234&lt;18.5,"Underweight",C234&lt;25,"Normal",C234&lt;30,"Overweight",C234&gt;=30,"Obese")</f>
        <v>Normal</v>
      </c>
      <c r="K234" t="str" cm="1">
        <f t="array" ref="K234">_xlfn.IFS(G234&lt;10000, "Low", G234&lt;=25000, "Medium", G234&gt;25000, "High")</f>
        <v>Low</v>
      </c>
    </row>
    <row r="235" spans="1:11" x14ac:dyDescent="0.3">
      <c r="A235">
        <v>23</v>
      </c>
      <c r="B235" s="1" t="s">
        <v>8</v>
      </c>
      <c r="C235">
        <v>24.7</v>
      </c>
      <c r="D235">
        <v>0</v>
      </c>
      <c r="E235" t="s">
        <v>10</v>
      </c>
      <c r="F235" t="s">
        <v>11</v>
      </c>
      <c r="G235" s="2">
        <v>3556.9223000000002</v>
      </c>
      <c r="H235" t="str" cm="1">
        <f t="array" ref="H235">_xlfn.IFS(A235&lt;=30, "Youth", A235&lt;=50, "Adult", A235&gt;50, "Older")</f>
        <v>Youth</v>
      </c>
      <c r="I235" t="str" cm="1">
        <f t="array" ref="I235">_xlfn.IFS(A235&lt;=25,"18-25",A235&lt;=35,"26-35",A235&lt;=45,"36-45",A235&lt;=60,"46-60",A235&gt;60,"60+")</f>
        <v>18-25</v>
      </c>
      <c r="J235" t="str" cm="1">
        <f t="array" ref="J235">_xlfn.IFS(C235&lt;18.5,"Underweight",C235&lt;25,"Normal",C235&lt;30,"Overweight",C235&gt;=30,"Obese")</f>
        <v>Normal</v>
      </c>
      <c r="K235" t="str" cm="1">
        <f t="array" ref="K235">_xlfn.IFS(G235&lt;10000, "Low", G235&lt;=25000, "Medium", G235&gt;25000, "High")</f>
        <v>Low</v>
      </c>
    </row>
    <row r="236" spans="1:11" x14ac:dyDescent="0.3">
      <c r="A236">
        <v>23</v>
      </c>
      <c r="B236" s="1" t="s">
        <v>8</v>
      </c>
      <c r="C236">
        <v>24.75</v>
      </c>
      <c r="D236">
        <v>0</v>
      </c>
      <c r="E236" t="s">
        <v>10</v>
      </c>
      <c r="F236" t="s">
        <v>13</v>
      </c>
      <c r="G236" s="2">
        <v>3558.6202499999999</v>
      </c>
      <c r="H236" t="str" cm="1">
        <f t="array" ref="H236">_xlfn.IFS(A236&lt;=30, "Youth", A236&lt;=50, "Adult", A236&gt;50, "Older")</f>
        <v>Youth</v>
      </c>
      <c r="I236" t="str" cm="1">
        <f t="array" ref="I236">_xlfn.IFS(A236&lt;=25,"18-25",A236&lt;=35,"26-35",A236&lt;=45,"36-45",A236&lt;=60,"46-60",A236&gt;60,"60+")</f>
        <v>18-25</v>
      </c>
      <c r="J236" t="str" cm="1">
        <f t="array" ref="J236">_xlfn.IFS(C236&lt;18.5,"Underweight",C236&lt;25,"Normal",C236&lt;30,"Overweight",C236&gt;=30,"Obese")</f>
        <v>Normal</v>
      </c>
      <c r="K236" t="str" cm="1">
        <f t="array" ref="K236">_xlfn.IFS(G236&lt;10000, "Low", G236&lt;=25000, "Medium", G236&gt;25000, "High")</f>
        <v>Low</v>
      </c>
    </row>
    <row r="237" spans="1:11" x14ac:dyDescent="0.3">
      <c r="A237">
        <v>23</v>
      </c>
      <c r="B237" s="1" t="s">
        <v>7</v>
      </c>
      <c r="C237">
        <v>24.795000000000002</v>
      </c>
      <c r="D237">
        <v>0</v>
      </c>
      <c r="E237" t="s">
        <v>9</v>
      </c>
      <c r="F237" t="s">
        <v>12</v>
      </c>
      <c r="G237" s="2">
        <v>3561.8888999999999</v>
      </c>
      <c r="H237" t="str" cm="1">
        <f t="array" ref="H237">_xlfn.IFS(A237&lt;=30, "Youth", A237&lt;=50, "Adult", A237&gt;50, "Older")</f>
        <v>Youth</v>
      </c>
      <c r="I237" t="str" cm="1">
        <f t="array" ref="I237">_xlfn.IFS(A237&lt;=25,"18-25",A237&lt;=35,"26-35",A237&lt;=45,"36-45",A237&lt;=60,"46-60",A237&gt;60,"60+")</f>
        <v>18-25</v>
      </c>
      <c r="J237" t="str" cm="1">
        <f t="array" ref="J237">_xlfn.IFS(C237&lt;18.5,"Underweight",C237&lt;25,"Normal",C237&lt;30,"Overweight",C237&gt;=30,"Obese")</f>
        <v>Normal</v>
      </c>
      <c r="K237" t="str" cm="1">
        <f t="array" ref="K237">_xlfn.IFS(G237&lt;10000, "Low", G237&lt;=25000, "Medium", G237&gt;25000, "High")</f>
        <v>Low</v>
      </c>
    </row>
    <row r="238" spans="1:11" x14ac:dyDescent="0.3">
      <c r="A238">
        <v>23</v>
      </c>
      <c r="B238" s="1" t="s">
        <v>7</v>
      </c>
      <c r="C238">
        <v>24.795000000000002</v>
      </c>
      <c r="D238">
        <v>0</v>
      </c>
      <c r="E238" t="s">
        <v>10</v>
      </c>
      <c r="F238" t="s">
        <v>12</v>
      </c>
      <c r="G238" s="2">
        <v>3577.9989999999998</v>
      </c>
      <c r="H238" t="str" cm="1">
        <f t="array" ref="H238">_xlfn.IFS(A238&lt;=30, "Youth", A238&lt;=50, "Adult", A238&gt;50, "Older")</f>
        <v>Youth</v>
      </c>
      <c r="I238" t="str" cm="1">
        <f t="array" ref="I238">_xlfn.IFS(A238&lt;=25,"18-25",A238&lt;=35,"26-35",A238&lt;=45,"36-45",A238&lt;=60,"46-60",A238&gt;60,"60+")</f>
        <v>18-25</v>
      </c>
      <c r="J238" t="str" cm="1">
        <f t="array" ref="J238">_xlfn.IFS(C238&lt;18.5,"Underweight",C238&lt;25,"Normal",C238&lt;30,"Overweight",C238&gt;=30,"Obese")</f>
        <v>Normal</v>
      </c>
      <c r="K238" t="str" cm="1">
        <f t="array" ref="K238">_xlfn.IFS(G238&lt;10000, "Low", G238&lt;=25000, "Medium", G238&gt;25000, "High")</f>
        <v>Low</v>
      </c>
    </row>
    <row r="239" spans="1:11" x14ac:dyDescent="0.3">
      <c r="A239">
        <v>23</v>
      </c>
      <c r="B239" s="1" t="s">
        <v>8</v>
      </c>
      <c r="C239">
        <v>24.795000000000002</v>
      </c>
      <c r="D239">
        <v>0</v>
      </c>
      <c r="E239" t="s">
        <v>10</v>
      </c>
      <c r="F239" t="s">
        <v>12</v>
      </c>
      <c r="G239" s="2">
        <v>3579.8287</v>
      </c>
      <c r="H239" t="str" cm="1">
        <f t="array" ref="H239">_xlfn.IFS(A239&lt;=30, "Youth", A239&lt;=50, "Adult", A239&gt;50, "Older")</f>
        <v>Youth</v>
      </c>
      <c r="I239" t="str" cm="1">
        <f t="array" ref="I239">_xlfn.IFS(A239&lt;=25,"18-25",A239&lt;=35,"26-35",A239&lt;=45,"36-45",A239&lt;=60,"46-60",A239&gt;60,"60+")</f>
        <v>18-25</v>
      </c>
      <c r="J239" t="str" cm="1">
        <f t="array" ref="J239">_xlfn.IFS(C239&lt;18.5,"Underweight",C239&lt;25,"Normal",C239&lt;30,"Overweight",C239&gt;=30,"Obese")</f>
        <v>Normal</v>
      </c>
      <c r="K239" t="str" cm="1">
        <f t="array" ref="K239">_xlfn.IFS(G239&lt;10000, "Low", G239&lt;=25000, "Medium", G239&gt;25000, "High")</f>
        <v>Low</v>
      </c>
    </row>
    <row r="240" spans="1:11" x14ac:dyDescent="0.3">
      <c r="A240">
        <v>23</v>
      </c>
      <c r="B240" s="1" t="s">
        <v>8</v>
      </c>
      <c r="C240">
        <v>24.795000000000002</v>
      </c>
      <c r="D240">
        <v>0</v>
      </c>
      <c r="E240" t="s">
        <v>9</v>
      </c>
      <c r="F240" t="s">
        <v>13</v>
      </c>
      <c r="G240" s="2">
        <v>3591.48</v>
      </c>
      <c r="H240" t="str" cm="1">
        <f t="array" ref="H240">_xlfn.IFS(A240&lt;=30, "Youth", A240&lt;=50, "Adult", A240&gt;50, "Older")</f>
        <v>Youth</v>
      </c>
      <c r="I240" t="str" cm="1">
        <f t="array" ref="I240">_xlfn.IFS(A240&lt;=25,"18-25",A240&lt;=35,"26-35",A240&lt;=45,"36-45",A240&lt;=60,"46-60",A240&gt;60,"60+")</f>
        <v>18-25</v>
      </c>
      <c r="J240" t="str" cm="1">
        <f t="array" ref="J240">_xlfn.IFS(C240&lt;18.5,"Underweight",C240&lt;25,"Normal",C240&lt;30,"Overweight",C240&gt;=30,"Obese")</f>
        <v>Normal</v>
      </c>
      <c r="K240" t="str" cm="1">
        <f t="array" ref="K240">_xlfn.IFS(G240&lt;10000, "Low", G240&lt;=25000, "Medium", G240&gt;25000, "High")</f>
        <v>Low</v>
      </c>
    </row>
    <row r="241" spans="1:11" x14ac:dyDescent="0.3">
      <c r="A241">
        <v>23</v>
      </c>
      <c r="B241" s="1" t="s">
        <v>8</v>
      </c>
      <c r="C241">
        <v>24.86</v>
      </c>
      <c r="D241">
        <v>0</v>
      </c>
      <c r="E241" t="s">
        <v>10</v>
      </c>
      <c r="F241" t="s">
        <v>12</v>
      </c>
      <c r="G241" s="2">
        <v>3594.17085</v>
      </c>
      <c r="H241" t="str" cm="1">
        <f t="array" ref="H241">_xlfn.IFS(A241&lt;=30, "Youth", A241&lt;=50, "Adult", A241&gt;50, "Older")</f>
        <v>Youth</v>
      </c>
      <c r="I241" t="str" cm="1">
        <f t="array" ref="I241">_xlfn.IFS(A241&lt;=25,"18-25",A241&lt;=35,"26-35",A241&lt;=45,"36-45",A241&lt;=60,"46-60",A241&gt;60,"60+")</f>
        <v>18-25</v>
      </c>
      <c r="J241" t="str" cm="1">
        <f t="array" ref="J241">_xlfn.IFS(C241&lt;18.5,"Underweight",C241&lt;25,"Normal",C241&lt;30,"Overweight",C241&gt;=30,"Obese")</f>
        <v>Normal</v>
      </c>
      <c r="K241" t="str" cm="1">
        <f t="array" ref="K241">_xlfn.IFS(G241&lt;10000, "Low", G241&lt;=25000, "Medium", G241&gt;25000, "High")</f>
        <v>Low</v>
      </c>
    </row>
    <row r="242" spans="1:11" x14ac:dyDescent="0.3">
      <c r="A242">
        <v>23</v>
      </c>
      <c r="B242" s="1" t="s">
        <v>7</v>
      </c>
      <c r="C242">
        <v>24.86</v>
      </c>
      <c r="D242">
        <v>0</v>
      </c>
      <c r="E242" t="s">
        <v>9</v>
      </c>
      <c r="F242" t="s">
        <v>14</v>
      </c>
      <c r="G242" s="2">
        <v>3597.596</v>
      </c>
      <c r="H242" t="str" cm="1">
        <f t="array" ref="H242">_xlfn.IFS(A242&lt;=30, "Youth", A242&lt;=50, "Adult", A242&gt;50, "Older")</f>
        <v>Youth</v>
      </c>
      <c r="I242" t="str" cm="1">
        <f t="array" ref="I242">_xlfn.IFS(A242&lt;=25,"18-25",A242&lt;=35,"26-35",A242&lt;=45,"36-45",A242&lt;=60,"46-60",A242&gt;60,"60+")</f>
        <v>18-25</v>
      </c>
      <c r="J242" t="str" cm="1">
        <f t="array" ref="J242">_xlfn.IFS(C242&lt;18.5,"Underweight",C242&lt;25,"Normal",C242&lt;30,"Overweight",C242&gt;=30,"Obese")</f>
        <v>Normal</v>
      </c>
      <c r="K242" t="str" cm="1">
        <f t="array" ref="K242">_xlfn.IFS(G242&lt;10000, "Low", G242&lt;=25000, "Medium", G242&gt;25000, "High")</f>
        <v>Low</v>
      </c>
    </row>
    <row r="243" spans="1:11" x14ac:dyDescent="0.3">
      <c r="A243">
        <v>23</v>
      </c>
      <c r="B243" s="1" t="s">
        <v>7</v>
      </c>
      <c r="C243">
        <v>24.89</v>
      </c>
      <c r="D243">
        <v>0</v>
      </c>
      <c r="E243" t="s">
        <v>10</v>
      </c>
      <c r="F243" t="s">
        <v>14</v>
      </c>
      <c r="G243" s="2">
        <v>3645.0893999999998</v>
      </c>
      <c r="H243" t="str" cm="1">
        <f t="array" ref="H243">_xlfn.IFS(A243&lt;=30, "Youth", A243&lt;=50, "Adult", A243&gt;50, "Older")</f>
        <v>Youth</v>
      </c>
      <c r="I243" t="str" cm="1">
        <f t="array" ref="I243">_xlfn.IFS(A243&lt;=25,"18-25",A243&lt;=35,"26-35",A243&lt;=45,"36-45",A243&lt;=60,"46-60",A243&gt;60,"60+")</f>
        <v>18-25</v>
      </c>
      <c r="J243" t="str" cm="1">
        <f t="array" ref="J243">_xlfn.IFS(C243&lt;18.5,"Underweight",C243&lt;25,"Normal",C243&lt;30,"Overweight",C243&gt;=30,"Obese")</f>
        <v>Normal</v>
      </c>
      <c r="K243" t="str" cm="1">
        <f t="array" ref="K243">_xlfn.IFS(G243&lt;10000, "Low", G243&lt;=25000, "Medium", G243&gt;25000, "High")</f>
        <v>Low</v>
      </c>
    </row>
    <row r="244" spans="1:11" x14ac:dyDescent="0.3">
      <c r="A244">
        <v>23</v>
      </c>
      <c r="B244" s="1" t="s">
        <v>7</v>
      </c>
      <c r="C244">
        <v>24.97</v>
      </c>
      <c r="D244">
        <v>0</v>
      </c>
      <c r="E244" t="s">
        <v>10</v>
      </c>
      <c r="F244" t="s">
        <v>11</v>
      </c>
      <c r="G244" s="2">
        <v>3659.346</v>
      </c>
      <c r="H244" t="str" cm="1">
        <f t="array" ref="H244">_xlfn.IFS(A244&lt;=30, "Youth", A244&lt;=50, "Adult", A244&gt;50, "Older")</f>
        <v>Youth</v>
      </c>
      <c r="I244" t="str" cm="1">
        <f t="array" ref="I244">_xlfn.IFS(A244&lt;=25,"18-25",A244&lt;=35,"26-35",A244&lt;=45,"36-45",A244&lt;=60,"46-60",A244&gt;60,"60+")</f>
        <v>18-25</v>
      </c>
      <c r="J244" t="str" cm="1">
        <f t="array" ref="J244">_xlfn.IFS(C244&lt;18.5,"Underweight",C244&lt;25,"Normal",C244&lt;30,"Overweight",C244&gt;=30,"Obese")</f>
        <v>Normal</v>
      </c>
      <c r="K244" t="str" cm="1">
        <f t="array" ref="K244">_xlfn.IFS(G244&lt;10000, "Low", G244&lt;=25000, "Medium", G244&gt;25000, "High")</f>
        <v>Low</v>
      </c>
    </row>
    <row r="245" spans="1:11" x14ac:dyDescent="0.3">
      <c r="A245">
        <v>23</v>
      </c>
      <c r="B245" s="1" t="s">
        <v>8</v>
      </c>
      <c r="C245">
        <v>24.984999999999999</v>
      </c>
      <c r="D245">
        <v>0</v>
      </c>
      <c r="E245" t="s">
        <v>10</v>
      </c>
      <c r="F245" t="s">
        <v>11</v>
      </c>
      <c r="G245" s="2">
        <v>3693.4279999999999</v>
      </c>
      <c r="H245" t="str" cm="1">
        <f t="array" ref="H245">_xlfn.IFS(A245&lt;=30, "Youth", A245&lt;=50, "Adult", A245&gt;50, "Older")</f>
        <v>Youth</v>
      </c>
      <c r="I245" t="str" cm="1">
        <f t="array" ref="I245">_xlfn.IFS(A245&lt;=25,"18-25",A245&lt;=35,"26-35",A245&lt;=45,"36-45",A245&lt;=60,"46-60",A245&gt;60,"60+")</f>
        <v>18-25</v>
      </c>
      <c r="J245" t="str" cm="1">
        <f t="array" ref="J245">_xlfn.IFS(C245&lt;18.5,"Underweight",C245&lt;25,"Normal",C245&lt;30,"Overweight",C245&gt;=30,"Obese")</f>
        <v>Normal</v>
      </c>
      <c r="K245" t="str" cm="1">
        <f t="array" ref="K245">_xlfn.IFS(G245&lt;10000, "Low", G245&lt;=25000, "Medium", G245&gt;25000, "High")</f>
        <v>Low</v>
      </c>
    </row>
    <row r="246" spans="1:11" x14ac:dyDescent="0.3">
      <c r="A246">
        <v>23</v>
      </c>
      <c r="B246" s="1" t="s">
        <v>7</v>
      </c>
      <c r="C246">
        <v>24.984999999999999</v>
      </c>
      <c r="D246">
        <v>0</v>
      </c>
      <c r="E246" t="s">
        <v>9</v>
      </c>
      <c r="F246" t="s">
        <v>14</v>
      </c>
      <c r="G246" s="2">
        <v>3704.3544999999999</v>
      </c>
      <c r="H246" t="str" cm="1">
        <f t="array" ref="H246">_xlfn.IFS(A246&lt;=30, "Youth", A246&lt;=50, "Adult", A246&gt;50, "Older")</f>
        <v>Youth</v>
      </c>
      <c r="I246" t="str" cm="1">
        <f t="array" ref="I246">_xlfn.IFS(A246&lt;=25,"18-25",A246&lt;=35,"26-35",A246&lt;=45,"36-45",A246&lt;=60,"46-60",A246&gt;60,"60+")</f>
        <v>18-25</v>
      </c>
      <c r="J246" t="str" cm="1">
        <f t="array" ref="J246">_xlfn.IFS(C246&lt;18.5,"Underweight",C246&lt;25,"Normal",C246&lt;30,"Overweight",C246&gt;=30,"Obese")</f>
        <v>Normal</v>
      </c>
      <c r="K246" t="str" cm="1">
        <f t="array" ref="K246">_xlfn.IFS(G246&lt;10000, "Low", G246&lt;=25000, "Medium", G246&gt;25000, "High")</f>
        <v>Low</v>
      </c>
    </row>
    <row r="247" spans="1:11" x14ac:dyDescent="0.3">
      <c r="A247">
        <v>23</v>
      </c>
      <c r="B247" s="1" t="s">
        <v>8</v>
      </c>
      <c r="C247">
        <v>25</v>
      </c>
      <c r="D247">
        <v>0</v>
      </c>
      <c r="E247" t="s">
        <v>10</v>
      </c>
      <c r="F247" t="s">
        <v>13</v>
      </c>
      <c r="G247" s="2">
        <v>3732.6251000000002</v>
      </c>
      <c r="H247" t="str" cm="1">
        <f t="array" ref="H247">_xlfn.IFS(A247&lt;=30, "Youth", A247&lt;=50, "Adult", A247&gt;50, "Older")</f>
        <v>Youth</v>
      </c>
      <c r="I247" t="str" cm="1">
        <f t="array" ref="I247">_xlfn.IFS(A247&lt;=25,"18-25",A247&lt;=35,"26-35",A247&lt;=45,"36-45",A247&lt;=60,"46-60",A247&gt;60,"60+")</f>
        <v>18-25</v>
      </c>
      <c r="J247" t="str" cm="1">
        <f t="array" ref="J247">_xlfn.IFS(C247&lt;18.5,"Underweight",C247&lt;25,"Normal",C247&lt;30,"Overweight",C247&gt;=30,"Obese")</f>
        <v>Overweight</v>
      </c>
      <c r="K247" t="str" cm="1">
        <f t="array" ref="K247">_xlfn.IFS(G247&lt;10000, "Low", G247&lt;=25000, "Medium", G247&gt;25000, "High")</f>
        <v>Low</v>
      </c>
    </row>
    <row r="248" spans="1:11" x14ac:dyDescent="0.3">
      <c r="A248">
        <v>23</v>
      </c>
      <c r="B248" s="1" t="s">
        <v>7</v>
      </c>
      <c r="C248">
        <v>25</v>
      </c>
      <c r="D248">
        <v>0</v>
      </c>
      <c r="E248" t="s">
        <v>10</v>
      </c>
      <c r="F248" t="s">
        <v>12</v>
      </c>
      <c r="G248" s="2">
        <v>3736.4647</v>
      </c>
      <c r="H248" t="str" cm="1">
        <f t="array" ref="H248">_xlfn.IFS(A248&lt;=30, "Youth", A248&lt;=50, "Adult", A248&gt;50, "Older")</f>
        <v>Youth</v>
      </c>
      <c r="I248" t="str" cm="1">
        <f t="array" ref="I248">_xlfn.IFS(A248&lt;=25,"18-25",A248&lt;=35,"26-35",A248&lt;=45,"36-45",A248&lt;=60,"46-60",A248&gt;60,"60+")</f>
        <v>18-25</v>
      </c>
      <c r="J248" t="str" cm="1">
        <f t="array" ref="J248">_xlfn.IFS(C248&lt;18.5,"Underweight",C248&lt;25,"Normal",C248&lt;30,"Overweight",C248&gt;=30,"Obese")</f>
        <v>Overweight</v>
      </c>
      <c r="K248" t="str" cm="1">
        <f t="array" ref="K248">_xlfn.IFS(G248&lt;10000, "Low", G248&lt;=25000, "Medium", G248&gt;25000, "High")</f>
        <v>Low</v>
      </c>
    </row>
    <row r="249" spans="1:11" x14ac:dyDescent="0.3">
      <c r="A249">
        <v>23</v>
      </c>
      <c r="B249" s="1" t="s">
        <v>8</v>
      </c>
      <c r="C249">
        <v>25.08</v>
      </c>
      <c r="D249">
        <v>0</v>
      </c>
      <c r="E249" t="s">
        <v>10</v>
      </c>
      <c r="F249" t="s">
        <v>12</v>
      </c>
      <c r="G249" s="2">
        <v>3756.6215999999999</v>
      </c>
      <c r="H249" t="str" cm="1">
        <f t="array" ref="H249">_xlfn.IFS(A249&lt;=30, "Youth", A249&lt;=50, "Adult", A249&gt;50, "Older")</f>
        <v>Youth</v>
      </c>
      <c r="I249" t="str" cm="1">
        <f t="array" ref="I249">_xlfn.IFS(A249&lt;=25,"18-25",A249&lt;=35,"26-35",A249&lt;=45,"36-45",A249&lt;=60,"46-60",A249&gt;60,"60+")</f>
        <v>18-25</v>
      </c>
      <c r="J249" t="str" cm="1">
        <f t="array" ref="J249">_xlfn.IFS(C249&lt;18.5,"Underweight",C249&lt;25,"Normal",C249&lt;30,"Overweight",C249&gt;=30,"Obese")</f>
        <v>Overweight</v>
      </c>
      <c r="K249" t="str" cm="1">
        <f t="array" ref="K249">_xlfn.IFS(G249&lt;10000, "Low", G249&lt;=25000, "Medium", G249&gt;25000, "High")</f>
        <v>Low</v>
      </c>
    </row>
    <row r="250" spans="1:11" x14ac:dyDescent="0.3">
      <c r="A250">
        <v>23</v>
      </c>
      <c r="B250" s="1" t="s">
        <v>8</v>
      </c>
      <c r="C250">
        <v>25.08</v>
      </c>
      <c r="D250">
        <v>0</v>
      </c>
      <c r="E250" t="s">
        <v>10</v>
      </c>
      <c r="F250" t="s">
        <v>11</v>
      </c>
      <c r="G250" s="2">
        <v>3757.8447999999999</v>
      </c>
      <c r="H250" t="str" cm="1">
        <f t="array" ref="H250">_xlfn.IFS(A250&lt;=30, "Youth", A250&lt;=50, "Adult", A250&gt;50, "Older")</f>
        <v>Youth</v>
      </c>
      <c r="I250" t="str" cm="1">
        <f t="array" ref="I250">_xlfn.IFS(A250&lt;=25,"18-25",A250&lt;=35,"26-35",A250&lt;=45,"36-45",A250&lt;=60,"46-60",A250&gt;60,"60+")</f>
        <v>18-25</v>
      </c>
      <c r="J250" t="str" cm="1">
        <f t="array" ref="J250">_xlfn.IFS(C250&lt;18.5,"Underweight",C250&lt;25,"Normal",C250&lt;30,"Overweight",C250&gt;=30,"Obese")</f>
        <v>Overweight</v>
      </c>
      <c r="K250" t="str" cm="1">
        <f t="array" ref="K250">_xlfn.IFS(G250&lt;10000, "Low", G250&lt;=25000, "Medium", G250&gt;25000, "High")</f>
        <v>Low</v>
      </c>
    </row>
    <row r="251" spans="1:11" x14ac:dyDescent="0.3">
      <c r="A251">
        <v>24</v>
      </c>
      <c r="B251" s="1" t="s">
        <v>8</v>
      </c>
      <c r="C251">
        <v>25.08</v>
      </c>
      <c r="D251">
        <v>0</v>
      </c>
      <c r="E251" t="s">
        <v>10</v>
      </c>
      <c r="F251" t="s">
        <v>14</v>
      </c>
      <c r="G251" s="2">
        <v>3761.2919999999999</v>
      </c>
      <c r="H251" t="str" cm="1">
        <f t="array" ref="H251">_xlfn.IFS(A251&lt;=30, "Youth", A251&lt;=50, "Adult", A251&gt;50, "Older")</f>
        <v>Youth</v>
      </c>
      <c r="I251" t="str" cm="1">
        <f t="array" ref="I251">_xlfn.IFS(A251&lt;=25,"18-25",A251&lt;=35,"26-35",A251&lt;=45,"36-45",A251&lt;=60,"46-60",A251&gt;60,"60+")</f>
        <v>18-25</v>
      </c>
      <c r="J251" t="str" cm="1">
        <f t="array" ref="J251">_xlfn.IFS(C251&lt;18.5,"Underweight",C251&lt;25,"Normal",C251&lt;30,"Overweight",C251&gt;=30,"Obese")</f>
        <v>Overweight</v>
      </c>
      <c r="K251" t="str" cm="1">
        <f t="array" ref="K251">_xlfn.IFS(G251&lt;10000, "Low", G251&lt;=25000, "Medium", G251&gt;25000, "High")</f>
        <v>Low</v>
      </c>
    </row>
    <row r="252" spans="1:11" x14ac:dyDescent="0.3">
      <c r="A252">
        <v>24</v>
      </c>
      <c r="B252" s="1" t="s">
        <v>8</v>
      </c>
      <c r="C252">
        <v>25.08</v>
      </c>
      <c r="D252">
        <v>0</v>
      </c>
      <c r="E252" t="s">
        <v>9</v>
      </c>
      <c r="F252" t="s">
        <v>14</v>
      </c>
      <c r="G252" s="2">
        <v>3766.8838000000001</v>
      </c>
      <c r="H252" t="str" cm="1">
        <f t="array" ref="H252">_xlfn.IFS(A252&lt;=30, "Youth", A252&lt;=50, "Adult", A252&gt;50, "Older")</f>
        <v>Youth</v>
      </c>
      <c r="I252" t="str" cm="1">
        <f t="array" ref="I252">_xlfn.IFS(A252&lt;=25,"18-25",A252&lt;=35,"26-35",A252&lt;=45,"36-45",A252&lt;=60,"46-60",A252&gt;60,"60+")</f>
        <v>18-25</v>
      </c>
      <c r="J252" t="str" cm="1">
        <f t="array" ref="J252">_xlfn.IFS(C252&lt;18.5,"Underweight",C252&lt;25,"Normal",C252&lt;30,"Overweight",C252&gt;=30,"Obese")</f>
        <v>Overweight</v>
      </c>
      <c r="K252" t="str" cm="1">
        <f t="array" ref="K252">_xlfn.IFS(G252&lt;10000, "Low", G252&lt;=25000, "Medium", G252&gt;25000, "High")</f>
        <v>Low</v>
      </c>
    </row>
    <row r="253" spans="1:11" x14ac:dyDescent="0.3">
      <c r="A253">
        <v>24</v>
      </c>
      <c r="B253" s="1" t="s">
        <v>7</v>
      </c>
      <c r="C253">
        <v>25.08</v>
      </c>
      <c r="D253">
        <v>0</v>
      </c>
      <c r="E253" t="s">
        <v>9</v>
      </c>
      <c r="F253" t="s">
        <v>11</v>
      </c>
      <c r="G253" s="2">
        <v>3847.674</v>
      </c>
      <c r="H253" t="str" cm="1">
        <f t="array" ref="H253">_xlfn.IFS(A253&lt;=30, "Youth", A253&lt;=50, "Adult", A253&gt;50, "Older")</f>
        <v>Youth</v>
      </c>
      <c r="I253" t="str" cm="1">
        <f t="array" ref="I253">_xlfn.IFS(A253&lt;=25,"18-25",A253&lt;=35,"26-35",A253&lt;=45,"36-45",A253&lt;=60,"46-60",A253&gt;60,"60+")</f>
        <v>18-25</v>
      </c>
      <c r="J253" t="str" cm="1">
        <f t="array" ref="J253">_xlfn.IFS(C253&lt;18.5,"Underweight",C253&lt;25,"Normal",C253&lt;30,"Overweight",C253&gt;=30,"Obese")</f>
        <v>Overweight</v>
      </c>
      <c r="K253" t="str" cm="1">
        <f t="array" ref="K253">_xlfn.IFS(G253&lt;10000, "Low", G253&lt;=25000, "Medium", G253&gt;25000, "High")</f>
        <v>Low</v>
      </c>
    </row>
    <row r="254" spans="1:11" x14ac:dyDescent="0.3">
      <c r="A254">
        <v>24</v>
      </c>
      <c r="B254" s="1" t="s">
        <v>8</v>
      </c>
      <c r="C254">
        <v>25.1</v>
      </c>
      <c r="D254">
        <v>0</v>
      </c>
      <c r="E254" t="s">
        <v>9</v>
      </c>
      <c r="F254" t="s">
        <v>12</v>
      </c>
      <c r="G254" s="2">
        <v>3857.7592500000001</v>
      </c>
      <c r="H254" t="str" cm="1">
        <f t="array" ref="H254">_xlfn.IFS(A254&lt;=30, "Youth", A254&lt;=50, "Adult", A254&gt;50, "Older")</f>
        <v>Youth</v>
      </c>
      <c r="I254" t="str" cm="1">
        <f t="array" ref="I254">_xlfn.IFS(A254&lt;=25,"18-25",A254&lt;=35,"26-35",A254&lt;=45,"36-45",A254&lt;=60,"46-60",A254&gt;60,"60+")</f>
        <v>18-25</v>
      </c>
      <c r="J254" t="str" cm="1">
        <f t="array" ref="J254">_xlfn.IFS(C254&lt;18.5,"Underweight",C254&lt;25,"Normal",C254&lt;30,"Overweight",C254&gt;=30,"Obese")</f>
        <v>Overweight</v>
      </c>
      <c r="K254" t="str" cm="1">
        <f t="array" ref="K254">_xlfn.IFS(G254&lt;10000, "Low", G254&lt;=25000, "Medium", G254&gt;25000, "High")</f>
        <v>Low</v>
      </c>
    </row>
    <row r="255" spans="1:11" x14ac:dyDescent="0.3">
      <c r="A255">
        <v>24</v>
      </c>
      <c r="B255" s="1" t="s">
        <v>8</v>
      </c>
      <c r="C255">
        <v>25.175000000000001</v>
      </c>
      <c r="D255">
        <v>0</v>
      </c>
      <c r="E255" t="s">
        <v>10</v>
      </c>
      <c r="F255" t="s">
        <v>11</v>
      </c>
      <c r="G255" s="2">
        <v>3861.2096499999998</v>
      </c>
      <c r="H255" t="str" cm="1">
        <f t="array" ref="H255">_xlfn.IFS(A255&lt;=30, "Youth", A255&lt;=50, "Adult", A255&gt;50, "Older")</f>
        <v>Youth</v>
      </c>
      <c r="I255" t="str" cm="1">
        <f t="array" ref="I255">_xlfn.IFS(A255&lt;=25,"18-25",A255&lt;=35,"26-35",A255&lt;=45,"36-45",A255&lt;=60,"46-60",A255&gt;60,"60+")</f>
        <v>18-25</v>
      </c>
      <c r="J255" t="str" cm="1">
        <f t="array" ref="J255">_xlfn.IFS(C255&lt;18.5,"Underweight",C255&lt;25,"Normal",C255&lt;30,"Overweight",C255&gt;=30,"Obese")</f>
        <v>Overweight</v>
      </c>
      <c r="K255" t="str" cm="1">
        <f t="array" ref="K255">_xlfn.IFS(G255&lt;10000, "Low", G255&lt;=25000, "Medium", G255&gt;25000, "High")</f>
        <v>Low</v>
      </c>
    </row>
    <row r="256" spans="1:11" x14ac:dyDescent="0.3">
      <c r="A256">
        <v>24</v>
      </c>
      <c r="B256" s="1" t="s">
        <v>8</v>
      </c>
      <c r="C256">
        <v>25.175000000000001</v>
      </c>
      <c r="D256">
        <v>0</v>
      </c>
      <c r="E256" t="s">
        <v>9</v>
      </c>
      <c r="F256" t="s">
        <v>14</v>
      </c>
      <c r="G256" s="2">
        <v>3866.8552</v>
      </c>
      <c r="H256" t="str" cm="1">
        <f t="array" ref="H256">_xlfn.IFS(A256&lt;=30, "Youth", A256&lt;=50, "Adult", A256&gt;50, "Older")</f>
        <v>Youth</v>
      </c>
      <c r="I256" t="str" cm="1">
        <f t="array" ref="I256">_xlfn.IFS(A256&lt;=25,"18-25",A256&lt;=35,"26-35",A256&lt;=45,"36-45",A256&lt;=60,"46-60",A256&gt;60,"60+")</f>
        <v>18-25</v>
      </c>
      <c r="J256" t="str" cm="1">
        <f t="array" ref="J256">_xlfn.IFS(C256&lt;18.5,"Underweight",C256&lt;25,"Normal",C256&lt;30,"Overweight",C256&gt;=30,"Obese")</f>
        <v>Overweight</v>
      </c>
      <c r="K256" t="str" cm="1">
        <f t="array" ref="K256">_xlfn.IFS(G256&lt;10000, "Low", G256&lt;=25000, "Medium", G256&gt;25000, "High")</f>
        <v>Low</v>
      </c>
    </row>
    <row r="257" spans="1:11" x14ac:dyDescent="0.3">
      <c r="A257">
        <v>24</v>
      </c>
      <c r="B257" s="1" t="s">
        <v>7</v>
      </c>
      <c r="C257">
        <v>25.175000000000001</v>
      </c>
      <c r="D257">
        <v>0</v>
      </c>
      <c r="E257" t="s">
        <v>10</v>
      </c>
      <c r="F257" t="s">
        <v>14</v>
      </c>
      <c r="G257" s="2">
        <v>3875.7341000000001</v>
      </c>
      <c r="H257" t="str" cm="1">
        <f t="array" ref="H257">_xlfn.IFS(A257&lt;=30, "Youth", A257&lt;=50, "Adult", A257&gt;50, "Older")</f>
        <v>Youth</v>
      </c>
      <c r="I257" t="str" cm="1">
        <f t="array" ref="I257">_xlfn.IFS(A257&lt;=25,"18-25",A257&lt;=35,"26-35",A257&lt;=45,"36-45",A257&lt;=60,"46-60",A257&gt;60,"60+")</f>
        <v>18-25</v>
      </c>
      <c r="J257" t="str" cm="1">
        <f t="array" ref="J257">_xlfn.IFS(C257&lt;18.5,"Underweight",C257&lt;25,"Normal",C257&lt;30,"Overweight",C257&gt;=30,"Obese")</f>
        <v>Overweight</v>
      </c>
      <c r="K257" t="str" cm="1">
        <f t="array" ref="K257">_xlfn.IFS(G257&lt;10000, "Low", G257&lt;=25000, "Medium", G257&gt;25000, "High")</f>
        <v>Low</v>
      </c>
    </row>
    <row r="258" spans="1:11" x14ac:dyDescent="0.3">
      <c r="A258">
        <v>24</v>
      </c>
      <c r="B258" s="1" t="s">
        <v>8</v>
      </c>
      <c r="C258">
        <v>25.175000000000001</v>
      </c>
      <c r="D258">
        <v>0</v>
      </c>
      <c r="E258" t="s">
        <v>9</v>
      </c>
      <c r="F258" t="s">
        <v>13</v>
      </c>
      <c r="G258" s="2">
        <v>3877.3042500000001</v>
      </c>
      <c r="H258" t="str" cm="1">
        <f t="array" ref="H258">_xlfn.IFS(A258&lt;=30, "Youth", A258&lt;=50, "Adult", A258&gt;50, "Older")</f>
        <v>Youth</v>
      </c>
      <c r="I258" t="str" cm="1">
        <f t="array" ref="I258">_xlfn.IFS(A258&lt;=25,"18-25",A258&lt;=35,"26-35",A258&lt;=45,"36-45",A258&lt;=60,"46-60",A258&gt;60,"60+")</f>
        <v>18-25</v>
      </c>
      <c r="J258" t="str" cm="1">
        <f t="array" ref="J258">_xlfn.IFS(C258&lt;18.5,"Underweight",C258&lt;25,"Normal",C258&lt;30,"Overweight",C258&gt;=30,"Obese")</f>
        <v>Overweight</v>
      </c>
      <c r="K258" t="str" cm="1">
        <f t="array" ref="K258">_xlfn.IFS(G258&lt;10000, "Low", G258&lt;=25000, "Medium", G258&gt;25000, "High")</f>
        <v>Low</v>
      </c>
    </row>
    <row r="259" spans="1:11" x14ac:dyDescent="0.3">
      <c r="A259">
        <v>24</v>
      </c>
      <c r="B259" s="1" t="s">
        <v>7</v>
      </c>
      <c r="C259">
        <v>25.175000000000001</v>
      </c>
      <c r="D259">
        <v>0</v>
      </c>
      <c r="E259" t="s">
        <v>10</v>
      </c>
      <c r="F259" t="s">
        <v>12</v>
      </c>
      <c r="G259" s="2">
        <v>3906.127</v>
      </c>
      <c r="H259" t="str" cm="1">
        <f t="array" ref="H259">_xlfn.IFS(A259&lt;=30, "Youth", A259&lt;=50, "Adult", A259&gt;50, "Older")</f>
        <v>Youth</v>
      </c>
      <c r="I259" t="str" cm="1">
        <f t="array" ref="I259">_xlfn.IFS(A259&lt;=25,"18-25",A259&lt;=35,"26-35",A259&lt;=45,"36-45",A259&lt;=60,"46-60",A259&gt;60,"60+")</f>
        <v>18-25</v>
      </c>
      <c r="J259" t="str" cm="1">
        <f t="array" ref="J259">_xlfn.IFS(C259&lt;18.5,"Underweight",C259&lt;25,"Normal",C259&lt;30,"Overweight",C259&gt;=30,"Obese")</f>
        <v>Overweight</v>
      </c>
      <c r="K259" t="str" cm="1">
        <f t="array" ref="K259">_xlfn.IFS(G259&lt;10000, "Low", G259&lt;=25000, "Medium", G259&gt;25000, "High")</f>
        <v>Low</v>
      </c>
    </row>
    <row r="260" spans="1:11" x14ac:dyDescent="0.3">
      <c r="A260">
        <v>24</v>
      </c>
      <c r="B260" s="1" t="s">
        <v>8</v>
      </c>
      <c r="C260">
        <v>25.175000000000001</v>
      </c>
      <c r="D260">
        <v>0</v>
      </c>
      <c r="E260" t="s">
        <v>10</v>
      </c>
      <c r="F260" t="s">
        <v>13</v>
      </c>
      <c r="G260" s="2">
        <v>3925.7582000000002</v>
      </c>
      <c r="H260" t="str" cm="1">
        <f t="array" ref="H260">_xlfn.IFS(A260&lt;=30, "Youth", A260&lt;=50, "Adult", A260&gt;50, "Older")</f>
        <v>Youth</v>
      </c>
      <c r="I260" t="str" cm="1">
        <f t="array" ref="I260">_xlfn.IFS(A260&lt;=25,"18-25",A260&lt;=35,"26-35",A260&lt;=45,"36-45",A260&lt;=60,"46-60",A260&gt;60,"60+")</f>
        <v>18-25</v>
      </c>
      <c r="J260" t="str" cm="1">
        <f t="array" ref="J260">_xlfn.IFS(C260&lt;18.5,"Underweight",C260&lt;25,"Normal",C260&lt;30,"Overweight",C260&gt;=30,"Obese")</f>
        <v>Overweight</v>
      </c>
      <c r="K260" t="str" cm="1">
        <f t="array" ref="K260">_xlfn.IFS(G260&lt;10000, "Low", G260&lt;=25000, "Medium", G260&gt;25000, "High")</f>
        <v>Low</v>
      </c>
    </row>
    <row r="261" spans="1:11" x14ac:dyDescent="0.3">
      <c r="A261">
        <v>24</v>
      </c>
      <c r="B261" s="1" t="s">
        <v>8</v>
      </c>
      <c r="C261">
        <v>25.2</v>
      </c>
      <c r="D261">
        <v>0</v>
      </c>
      <c r="E261" t="s">
        <v>9</v>
      </c>
      <c r="F261" t="s">
        <v>13</v>
      </c>
      <c r="G261" s="2">
        <v>3935.1799000000001</v>
      </c>
      <c r="H261" t="str" cm="1">
        <f t="array" ref="H261">_xlfn.IFS(A261&lt;=30, "Youth", A261&lt;=50, "Adult", A261&gt;50, "Older")</f>
        <v>Youth</v>
      </c>
      <c r="I261" t="str" cm="1">
        <f t="array" ref="I261">_xlfn.IFS(A261&lt;=25,"18-25",A261&lt;=35,"26-35",A261&lt;=45,"36-45",A261&lt;=60,"46-60",A261&gt;60,"60+")</f>
        <v>18-25</v>
      </c>
      <c r="J261" t="str" cm="1">
        <f t="array" ref="J261">_xlfn.IFS(C261&lt;18.5,"Underweight",C261&lt;25,"Normal",C261&lt;30,"Overweight",C261&gt;=30,"Obese")</f>
        <v>Overweight</v>
      </c>
      <c r="K261" t="str" cm="1">
        <f t="array" ref="K261">_xlfn.IFS(G261&lt;10000, "Low", G261&lt;=25000, "Medium", G261&gt;25000, "High")</f>
        <v>Low</v>
      </c>
    </row>
    <row r="262" spans="1:11" x14ac:dyDescent="0.3">
      <c r="A262">
        <v>24</v>
      </c>
      <c r="B262" s="1" t="s">
        <v>7</v>
      </c>
      <c r="C262">
        <v>25.27</v>
      </c>
      <c r="D262">
        <v>0</v>
      </c>
      <c r="E262" t="s">
        <v>10</v>
      </c>
      <c r="F262" t="s">
        <v>11</v>
      </c>
      <c r="G262" s="2">
        <v>3943.5954000000002</v>
      </c>
      <c r="H262" t="str" cm="1">
        <f t="array" ref="H262">_xlfn.IFS(A262&lt;=30, "Youth", A262&lt;=50, "Adult", A262&gt;50, "Older")</f>
        <v>Youth</v>
      </c>
      <c r="I262" t="str" cm="1">
        <f t="array" ref="I262">_xlfn.IFS(A262&lt;=25,"18-25",A262&lt;=35,"26-35",A262&lt;=45,"36-45",A262&lt;=60,"46-60",A262&gt;60,"60+")</f>
        <v>18-25</v>
      </c>
      <c r="J262" t="str" cm="1">
        <f t="array" ref="J262">_xlfn.IFS(C262&lt;18.5,"Underweight",C262&lt;25,"Normal",C262&lt;30,"Overweight",C262&gt;=30,"Obese")</f>
        <v>Overweight</v>
      </c>
      <c r="K262" t="str" cm="1">
        <f t="array" ref="K262">_xlfn.IFS(G262&lt;10000, "Low", G262&lt;=25000, "Medium", G262&gt;25000, "High")</f>
        <v>Low</v>
      </c>
    </row>
    <row r="263" spans="1:11" x14ac:dyDescent="0.3">
      <c r="A263">
        <v>24</v>
      </c>
      <c r="B263" s="1" t="s">
        <v>7</v>
      </c>
      <c r="C263">
        <v>25.27</v>
      </c>
      <c r="D263">
        <v>0</v>
      </c>
      <c r="E263" t="s">
        <v>9</v>
      </c>
      <c r="F263" t="s">
        <v>12</v>
      </c>
      <c r="G263" s="2">
        <v>3947.4131000000002</v>
      </c>
      <c r="H263" t="str" cm="1">
        <f t="array" ref="H263">_xlfn.IFS(A263&lt;=30, "Youth", A263&lt;=50, "Adult", A263&gt;50, "Older")</f>
        <v>Youth</v>
      </c>
      <c r="I263" t="str" cm="1">
        <f t="array" ref="I263">_xlfn.IFS(A263&lt;=25,"18-25",A263&lt;=35,"26-35",A263&lt;=45,"36-45",A263&lt;=60,"46-60",A263&gt;60,"60+")</f>
        <v>18-25</v>
      </c>
      <c r="J263" t="str" cm="1">
        <f t="array" ref="J263">_xlfn.IFS(C263&lt;18.5,"Underweight",C263&lt;25,"Normal",C263&lt;30,"Overweight",C263&gt;=30,"Obese")</f>
        <v>Overweight</v>
      </c>
      <c r="K263" t="str" cm="1">
        <f t="array" ref="K263">_xlfn.IFS(G263&lt;10000, "Low", G263&lt;=25000, "Medium", G263&gt;25000, "High")</f>
        <v>Low</v>
      </c>
    </row>
    <row r="264" spans="1:11" x14ac:dyDescent="0.3">
      <c r="A264">
        <v>24</v>
      </c>
      <c r="B264" s="1" t="s">
        <v>8</v>
      </c>
      <c r="C264">
        <v>25.27</v>
      </c>
      <c r="D264">
        <v>0</v>
      </c>
      <c r="E264" t="s">
        <v>9</v>
      </c>
      <c r="F264" t="s">
        <v>14</v>
      </c>
      <c r="G264" s="2">
        <v>3956.0714499999999</v>
      </c>
      <c r="H264" t="str" cm="1">
        <f t="array" ref="H264">_xlfn.IFS(A264&lt;=30, "Youth", A264&lt;=50, "Adult", A264&gt;50, "Older")</f>
        <v>Youth</v>
      </c>
      <c r="I264" t="str" cm="1">
        <f t="array" ref="I264">_xlfn.IFS(A264&lt;=25,"18-25",A264&lt;=35,"26-35",A264&lt;=45,"36-45",A264&lt;=60,"46-60",A264&gt;60,"60+")</f>
        <v>18-25</v>
      </c>
      <c r="J264" t="str" cm="1">
        <f t="array" ref="J264">_xlfn.IFS(C264&lt;18.5,"Underweight",C264&lt;25,"Normal",C264&lt;30,"Overweight",C264&gt;=30,"Obese")</f>
        <v>Overweight</v>
      </c>
      <c r="K264" t="str" cm="1">
        <f t="array" ref="K264">_xlfn.IFS(G264&lt;10000, "Low", G264&lt;=25000, "Medium", G264&gt;25000, "High")</f>
        <v>Low</v>
      </c>
    </row>
    <row r="265" spans="1:11" x14ac:dyDescent="0.3">
      <c r="A265">
        <v>24</v>
      </c>
      <c r="B265" s="1" t="s">
        <v>8</v>
      </c>
      <c r="C265">
        <v>25.3</v>
      </c>
      <c r="D265">
        <v>0</v>
      </c>
      <c r="E265" t="s">
        <v>9</v>
      </c>
      <c r="F265" t="s">
        <v>13</v>
      </c>
      <c r="G265" s="2">
        <v>3972.9247</v>
      </c>
      <c r="H265" t="str" cm="1">
        <f t="array" ref="H265">_xlfn.IFS(A265&lt;=30, "Youth", A265&lt;=50, "Adult", A265&gt;50, "Older")</f>
        <v>Youth</v>
      </c>
      <c r="I265" t="str" cm="1">
        <f t="array" ref="I265">_xlfn.IFS(A265&lt;=25,"18-25",A265&lt;=35,"26-35",A265&lt;=45,"36-45",A265&lt;=60,"46-60",A265&gt;60,"60+")</f>
        <v>18-25</v>
      </c>
      <c r="J265" t="str" cm="1">
        <f t="array" ref="J265">_xlfn.IFS(C265&lt;18.5,"Underweight",C265&lt;25,"Normal",C265&lt;30,"Overweight",C265&gt;=30,"Obese")</f>
        <v>Overweight</v>
      </c>
      <c r="K265" t="str" cm="1">
        <f t="array" ref="K265">_xlfn.IFS(G265&lt;10000, "Low", G265&lt;=25000, "Medium", G265&gt;25000, "High")</f>
        <v>Low</v>
      </c>
    </row>
    <row r="266" spans="1:11" x14ac:dyDescent="0.3">
      <c r="A266">
        <v>24</v>
      </c>
      <c r="B266" s="1" t="s">
        <v>7</v>
      </c>
      <c r="C266">
        <v>25.3</v>
      </c>
      <c r="D266">
        <v>0</v>
      </c>
      <c r="E266" t="s">
        <v>10</v>
      </c>
      <c r="F266" t="s">
        <v>12</v>
      </c>
      <c r="G266" s="2">
        <v>3981.9767999999999</v>
      </c>
      <c r="H266" t="str" cm="1">
        <f t="array" ref="H266">_xlfn.IFS(A266&lt;=30, "Youth", A266&lt;=50, "Adult", A266&gt;50, "Older")</f>
        <v>Youth</v>
      </c>
      <c r="I266" t="str" cm="1">
        <f t="array" ref="I266">_xlfn.IFS(A266&lt;=25,"18-25",A266&lt;=35,"26-35",A266&lt;=45,"36-45",A266&lt;=60,"46-60",A266&gt;60,"60+")</f>
        <v>18-25</v>
      </c>
      <c r="J266" t="str" cm="1">
        <f t="array" ref="J266">_xlfn.IFS(C266&lt;18.5,"Underweight",C266&lt;25,"Normal",C266&lt;30,"Overweight",C266&gt;=30,"Obese")</f>
        <v>Overweight</v>
      </c>
      <c r="K266" t="str" cm="1">
        <f t="array" ref="K266">_xlfn.IFS(G266&lt;10000, "Low", G266&lt;=25000, "Medium", G266&gt;25000, "High")</f>
        <v>Low</v>
      </c>
    </row>
    <row r="267" spans="1:11" x14ac:dyDescent="0.3">
      <c r="A267">
        <v>24</v>
      </c>
      <c r="B267" s="1" t="s">
        <v>8</v>
      </c>
      <c r="C267">
        <v>25.3</v>
      </c>
      <c r="D267">
        <v>0</v>
      </c>
      <c r="E267" t="s">
        <v>9</v>
      </c>
      <c r="F267" t="s">
        <v>12</v>
      </c>
      <c r="G267" s="2">
        <v>3987.9259999999999</v>
      </c>
      <c r="H267" t="str" cm="1">
        <f t="array" ref="H267">_xlfn.IFS(A267&lt;=30, "Youth", A267&lt;=50, "Adult", A267&gt;50, "Older")</f>
        <v>Youth</v>
      </c>
      <c r="I267" t="str" cm="1">
        <f t="array" ref="I267">_xlfn.IFS(A267&lt;=25,"18-25",A267&lt;=35,"26-35",A267&lt;=45,"36-45",A267&lt;=60,"46-60",A267&gt;60,"60+")</f>
        <v>18-25</v>
      </c>
      <c r="J267" t="str" cm="1">
        <f t="array" ref="J267">_xlfn.IFS(C267&lt;18.5,"Underweight",C267&lt;25,"Normal",C267&lt;30,"Overweight",C267&gt;=30,"Obese")</f>
        <v>Overweight</v>
      </c>
      <c r="K267" t="str" cm="1">
        <f t="array" ref="K267">_xlfn.IFS(G267&lt;10000, "Low", G267&lt;=25000, "Medium", G267&gt;25000, "High")</f>
        <v>Low</v>
      </c>
    </row>
    <row r="268" spans="1:11" x14ac:dyDescent="0.3">
      <c r="A268">
        <v>24</v>
      </c>
      <c r="B268" s="1" t="s">
        <v>8</v>
      </c>
      <c r="C268">
        <v>25.3</v>
      </c>
      <c r="D268">
        <v>0</v>
      </c>
      <c r="E268" t="s">
        <v>9</v>
      </c>
      <c r="F268" t="s">
        <v>12</v>
      </c>
      <c r="G268" s="2">
        <v>3989.8409999999999</v>
      </c>
      <c r="H268" t="str" cm="1">
        <f t="array" ref="H268">_xlfn.IFS(A268&lt;=30, "Youth", A268&lt;=50, "Adult", A268&gt;50, "Older")</f>
        <v>Youth</v>
      </c>
      <c r="I268" t="str" cm="1">
        <f t="array" ref="I268">_xlfn.IFS(A268&lt;=25,"18-25",A268&lt;=35,"26-35",A268&lt;=45,"36-45",A268&lt;=60,"46-60",A268&gt;60,"60+")</f>
        <v>18-25</v>
      </c>
      <c r="J268" t="str" cm="1">
        <f t="array" ref="J268">_xlfn.IFS(C268&lt;18.5,"Underweight",C268&lt;25,"Normal",C268&lt;30,"Overweight",C268&gt;=30,"Obese")</f>
        <v>Overweight</v>
      </c>
      <c r="K268" t="str" cm="1">
        <f t="array" ref="K268">_xlfn.IFS(G268&lt;10000, "Low", G268&lt;=25000, "Medium", G268&gt;25000, "High")</f>
        <v>Low</v>
      </c>
    </row>
    <row r="269" spans="1:11" x14ac:dyDescent="0.3">
      <c r="A269">
        <v>24</v>
      </c>
      <c r="B269" s="1" t="s">
        <v>7</v>
      </c>
      <c r="C269">
        <v>25.3</v>
      </c>
      <c r="D269">
        <v>0</v>
      </c>
      <c r="E269" t="s">
        <v>10</v>
      </c>
      <c r="F269" t="s">
        <v>14</v>
      </c>
      <c r="G269" s="2">
        <v>3994.1777999999999</v>
      </c>
      <c r="H269" t="str" cm="1">
        <f t="array" ref="H269">_xlfn.IFS(A269&lt;=30, "Youth", A269&lt;=50, "Adult", A269&gt;50, "Older")</f>
        <v>Youth</v>
      </c>
      <c r="I269" t="str" cm="1">
        <f t="array" ref="I269">_xlfn.IFS(A269&lt;=25,"18-25",A269&lt;=35,"26-35",A269&lt;=45,"36-45",A269&lt;=60,"46-60",A269&gt;60,"60+")</f>
        <v>18-25</v>
      </c>
      <c r="J269" t="str" cm="1">
        <f t="array" ref="J269">_xlfn.IFS(C269&lt;18.5,"Underweight",C269&lt;25,"Normal",C269&lt;30,"Overweight",C269&gt;=30,"Obese")</f>
        <v>Overweight</v>
      </c>
      <c r="K269" t="str" cm="1">
        <f t="array" ref="K269">_xlfn.IFS(G269&lt;10000, "Low", G269&lt;=25000, "Medium", G269&gt;25000, "High")</f>
        <v>Low</v>
      </c>
    </row>
    <row r="270" spans="1:11" x14ac:dyDescent="0.3">
      <c r="A270">
        <v>24</v>
      </c>
      <c r="B270" s="1" t="s">
        <v>8</v>
      </c>
      <c r="C270">
        <v>25.364999999999998</v>
      </c>
      <c r="D270">
        <v>0</v>
      </c>
      <c r="E270" t="s">
        <v>10</v>
      </c>
      <c r="F270" t="s">
        <v>11</v>
      </c>
      <c r="G270" s="2">
        <v>4005.4225000000001</v>
      </c>
      <c r="H270" t="str" cm="1">
        <f t="array" ref="H270">_xlfn.IFS(A270&lt;=30, "Youth", A270&lt;=50, "Adult", A270&gt;50, "Older")</f>
        <v>Youth</v>
      </c>
      <c r="I270" t="str" cm="1">
        <f t="array" ref="I270">_xlfn.IFS(A270&lt;=25,"18-25",A270&lt;=35,"26-35",A270&lt;=45,"36-45",A270&lt;=60,"46-60",A270&gt;60,"60+")</f>
        <v>18-25</v>
      </c>
      <c r="J270" t="str" cm="1">
        <f t="array" ref="J270">_xlfn.IFS(C270&lt;18.5,"Underweight",C270&lt;25,"Normal",C270&lt;30,"Overweight",C270&gt;=30,"Obese")</f>
        <v>Overweight</v>
      </c>
      <c r="K270" t="str" cm="1">
        <f t="array" ref="K270">_xlfn.IFS(G270&lt;10000, "Low", G270&lt;=25000, "Medium", G270&gt;25000, "High")</f>
        <v>Low</v>
      </c>
    </row>
    <row r="271" spans="1:11" x14ac:dyDescent="0.3">
      <c r="A271">
        <v>24</v>
      </c>
      <c r="B271" s="1" t="s">
        <v>8</v>
      </c>
      <c r="C271">
        <v>25.364999999999998</v>
      </c>
      <c r="D271">
        <v>0</v>
      </c>
      <c r="E271" t="s">
        <v>10</v>
      </c>
      <c r="F271" t="s">
        <v>14</v>
      </c>
      <c r="G271" s="2">
        <v>4032.2406999999998</v>
      </c>
      <c r="H271" t="str" cm="1">
        <f t="array" ref="H271">_xlfn.IFS(A271&lt;=30, "Youth", A271&lt;=50, "Adult", A271&gt;50, "Older")</f>
        <v>Youth</v>
      </c>
      <c r="I271" t="str" cm="1">
        <f t="array" ref="I271">_xlfn.IFS(A271&lt;=25,"18-25",A271&lt;=35,"26-35",A271&lt;=45,"36-45",A271&lt;=60,"46-60",A271&gt;60,"60+")</f>
        <v>18-25</v>
      </c>
      <c r="J271" t="str" cm="1">
        <f t="array" ref="J271">_xlfn.IFS(C271&lt;18.5,"Underweight",C271&lt;25,"Normal",C271&lt;30,"Overweight",C271&gt;=30,"Obese")</f>
        <v>Overweight</v>
      </c>
      <c r="K271" t="str" cm="1">
        <f t="array" ref="K271">_xlfn.IFS(G271&lt;10000, "Low", G271&lt;=25000, "Medium", G271&gt;25000, "High")</f>
        <v>Low</v>
      </c>
    </row>
    <row r="272" spans="1:11" x14ac:dyDescent="0.3">
      <c r="A272">
        <v>24</v>
      </c>
      <c r="B272" s="1" t="s">
        <v>8</v>
      </c>
      <c r="C272">
        <v>25.364999999999998</v>
      </c>
      <c r="D272">
        <v>0</v>
      </c>
      <c r="E272" t="s">
        <v>10</v>
      </c>
      <c r="F272" t="s">
        <v>12</v>
      </c>
      <c r="G272" s="2">
        <v>4040.55825</v>
      </c>
      <c r="H272" t="str" cm="1">
        <f t="array" ref="H272">_xlfn.IFS(A272&lt;=30, "Youth", A272&lt;=50, "Adult", A272&gt;50, "Older")</f>
        <v>Youth</v>
      </c>
      <c r="I272" t="str" cm="1">
        <f t="array" ref="I272">_xlfn.IFS(A272&lt;=25,"18-25",A272&lt;=35,"26-35",A272&lt;=45,"36-45",A272&lt;=60,"46-60",A272&gt;60,"60+")</f>
        <v>18-25</v>
      </c>
      <c r="J272" t="str" cm="1">
        <f t="array" ref="J272">_xlfn.IFS(C272&lt;18.5,"Underweight",C272&lt;25,"Normal",C272&lt;30,"Overweight",C272&gt;=30,"Obese")</f>
        <v>Overweight</v>
      </c>
      <c r="K272" t="str" cm="1">
        <f t="array" ref="K272">_xlfn.IFS(G272&lt;10000, "Low", G272&lt;=25000, "Medium", G272&gt;25000, "High")</f>
        <v>Low</v>
      </c>
    </row>
    <row r="273" spans="1:11" x14ac:dyDescent="0.3">
      <c r="A273">
        <v>24</v>
      </c>
      <c r="B273" s="1" t="s">
        <v>8</v>
      </c>
      <c r="C273">
        <v>25.4</v>
      </c>
      <c r="D273">
        <v>0</v>
      </c>
      <c r="E273" t="s">
        <v>9</v>
      </c>
      <c r="F273" t="s">
        <v>11</v>
      </c>
      <c r="G273" s="2">
        <v>4058.1161000000002</v>
      </c>
      <c r="H273" t="str" cm="1">
        <f t="array" ref="H273">_xlfn.IFS(A273&lt;=30, "Youth", A273&lt;=50, "Adult", A273&gt;50, "Older")</f>
        <v>Youth</v>
      </c>
      <c r="I273" t="str" cm="1">
        <f t="array" ref="I273">_xlfn.IFS(A273&lt;=25,"18-25",A273&lt;=35,"26-35",A273&lt;=45,"36-45",A273&lt;=60,"46-60",A273&gt;60,"60+")</f>
        <v>18-25</v>
      </c>
      <c r="J273" t="str" cm="1">
        <f t="array" ref="J273">_xlfn.IFS(C273&lt;18.5,"Underweight",C273&lt;25,"Normal",C273&lt;30,"Overweight",C273&gt;=30,"Obese")</f>
        <v>Overweight</v>
      </c>
      <c r="K273" t="str" cm="1">
        <f t="array" ref="K273">_xlfn.IFS(G273&lt;10000, "Low", G273&lt;=25000, "Medium", G273&gt;25000, "High")</f>
        <v>Low</v>
      </c>
    </row>
    <row r="274" spans="1:11" x14ac:dyDescent="0.3">
      <c r="A274">
        <v>24</v>
      </c>
      <c r="B274" s="1" t="s">
        <v>8</v>
      </c>
      <c r="C274">
        <v>25.41</v>
      </c>
      <c r="D274">
        <v>0</v>
      </c>
      <c r="E274" t="s">
        <v>10</v>
      </c>
      <c r="F274" t="s">
        <v>13</v>
      </c>
      <c r="G274" s="2">
        <v>4058.71245</v>
      </c>
      <c r="H274" t="str" cm="1">
        <f t="array" ref="H274">_xlfn.IFS(A274&lt;=30, "Youth", A274&lt;=50, "Adult", A274&gt;50, "Older")</f>
        <v>Youth</v>
      </c>
      <c r="I274" t="str" cm="1">
        <f t="array" ref="I274">_xlfn.IFS(A274&lt;=25,"18-25",A274&lt;=35,"26-35",A274&lt;=45,"36-45",A274&lt;=60,"46-60",A274&gt;60,"60+")</f>
        <v>18-25</v>
      </c>
      <c r="J274" t="str" cm="1">
        <f t="array" ref="J274">_xlfn.IFS(C274&lt;18.5,"Underweight",C274&lt;25,"Normal",C274&lt;30,"Overweight",C274&gt;=30,"Obese")</f>
        <v>Overweight</v>
      </c>
      <c r="K274" t="str" cm="1">
        <f t="array" ref="K274">_xlfn.IFS(G274&lt;10000, "Low", G274&lt;=25000, "Medium", G274&gt;25000, "High")</f>
        <v>Low</v>
      </c>
    </row>
    <row r="275" spans="1:11" x14ac:dyDescent="0.3">
      <c r="A275">
        <v>24</v>
      </c>
      <c r="B275" s="1" t="s">
        <v>8</v>
      </c>
      <c r="C275">
        <v>25.46</v>
      </c>
      <c r="D275">
        <v>0</v>
      </c>
      <c r="E275" t="s">
        <v>10</v>
      </c>
      <c r="F275" t="s">
        <v>14</v>
      </c>
      <c r="G275" s="2">
        <v>4074.4537</v>
      </c>
      <c r="H275" t="str" cm="1">
        <f t="array" ref="H275">_xlfn.IFS(A275&lt;=30, "Youth", A275&lt;=50, "Adult", A275&gt;50, "Older")</f>
        <v>Youth</v>
      </c>
      <c r="I275" t="str" cm="1">
        <f t="array" ref="I275">_xlfn.IFS(A275&lt;=25,"18-25",A275&lt;=35,"26-35",A275&lt;=45,"36-45",A275&lt;=60,"46-60",A275&gt;60,"60+")</f>
        <v>18-25</v>
      </c>
      <c r="J275" t="str" cm="1">
        <f t="array" ref="J275">_xlfn.IFS(C275&lt;18.5,"Underweight",C275&lt;25,"Normal",C275&lt;30,"Overweight",C275&gt;=30,"Obese")</f>
        <v>Overweight</v>
      </c>
      <c r="K275" t="str" cm="1">
        <f t="array" ref="K275">_xlfn.IFS(G275&lt;10000, "Low", G275&lt;=25000, "Medium", G275&gt;25000, "High")</f>
        <v>Low</v>
      </c>
    </row>
    <row r="276" spans="1:11" x14ac:dyDescent="0.3">
      <c r="A276">
        <v>24</v>
      </c>
      <c r="B276" s="1" t="s">
        <v>8</v>
      </c>
      <c r="C276">
        <v>25.46</v>
      </c>
      <c r="D276">
        <v>0</v>
      </c>
      <c r="E276" t="s">
        <v>10</v>
      </c>
      <c r="F276" t="s">
        <v>13</v>
      </c>
      <c r="G276" s="2">
        <v>4076.4969999999998</v>
      </c>
      <c r="H276" t="str" cm="1">
        <f t="array" ref="H276">_xlfn.IFS(A276&lt;=30, "Youth", A276&lt;=50, "Adult", A276&gt;50, "Older")</f>
        <v>Youth</v>
      </c>
      <c r="I276" t="str" cm="1">
        <f t="array" ref="I276">_xlfn.IFS(A276&lt;=25,"18-25",A276&lt;=35,"26-35",A276&lt;=45,"36-45",A276&lt;=60,"46-60",A276&gt;60,"60+")</f>
        <v>18-25</v>
      </c>
      <c r="J276" t="str" cm="1">
        <f t="array" ref="J276">_xlfn.IFS(C276&lt;18.5,"Underweight",C276&lt;25,"Normal",C276&lt;30,"Overweight",C276&gt;=30,"Obese")</f>
        <v>Overweight</v>
      </c>
      <c r="K276" t="str" cm="1">
        <f t="array" ref="K276">_xlfn.IFS(G276&lt;10000, "Low", G276&lt;=25000, "Medium", G276&gt;25000, "High")</f>
        <v>Low</v>
      </c>
    </row>
    <row r="277" spans="1:11" x14ac:dyDescent="0.3">
      <c r="A277">
        <v>24</v>
      </c>
      <c r="B277" s="1" t="s">
        <v>7</v>
      </c>
      <c r="C277">
        <v>25.46</v>
      </c>
      <c r="D277">
        <v>0</v>
      </c>
      <c r="E277" t="s">
        <v>10</v>
      </c>
      <c r="F277" t="s">
        <v>14</v>
      </c>
      <c r="G277" s="2">
        <v>4133.6416499999996</v>
      </c>
      <c r="H277" t="str" cm="1">
        <f t="array" ref="H277">_xlfn.IFS(A277&lt;=30, "Youth", A277&lt;=50, "Adult", A277&gt;50, "Older")</f>
        <v>Youth</v>
      </c>
      <c r="I277" t="str" cm="1">
        <f t="array" ref="I277">_xlfn.IFS(A277&lt;=25,"18-25",A277&lt;=35,"26-35",A277&lt;=45,"36-45",A277&lt;=60,"46-60",A277&gt;60,"60+")</f>
        <v>18-25</v>
      </c>
      <c r="J277" t="str" cm="1">
        <f t="array" ref="J277">_xlfn.IFS(C277&lt;18.5,"Underweight",C277&lt;25,"Normal",C277&lt;30,"Overweight",C277&gt;=30,"Obese")</f>
        <v>Overweight</v>
      </c>
      <c r="K277" t="str" cm="1">
        <f t="array" ref="K277">_xlfn.IFS(G277&lt;10000, "Low", G277&lt;=25000, "Medium", G277&gt;25000, "High")</f>
        <v>Low</v>
      </c>
    </row>
    <row r="278" spans="1:11" x14ac:dyDescent="0.3">
      <c r="A278">
        <v>24</v>
      </c>
      <c r="B278" s="1" t="s">
        <v>8</v>
      </c>
      <c r="C278">
        <v>25.46</v>
      </c>
      <c r="D278">
        <v>0</v>
      </c>
      <c r="E278" t="s">
        <v>10</v>
      </c>
      <c r="F278" t="s">
        <v>13</v>
      </c>
      <c r="G278" s="2">
        <v>4134.0824499999999</v>
      </c>
      <c r="H278" t="str" cm="1">
        <f t="array" ref="H278">_xlfn.IFS(A278&lt;=30, "Youth", A278&lt;=50, "Adult", A278&gt;50, "Older")</f>
        <v>Youth</v>
      </c>
      <c r="I278" t="str" cm="1">
        <f t="array" ref="I278">_xlfn.IFS(A278&lt;=25,"18-25",A278&lt;=35,"26-35",A278&lt;=45,"36-45",A278&lt;=60,"46-60",A278&gt;60,"60+")</f>
        <v>18-25</v>
      </c>
      <c r="J278" t="str" cm="1">
        <f t="array" ref="J278">_xlfn.IFS(C278&lt;18.5,"Underweight",C278&lt;25,"Normal",C278&lt;30,"Overweight",C278&gt;=30,"Obese")</f>
        <v>Overweight</v>
      </c>
      <c r="K278" t="str" cm="1">
        <f t="array" ref="K278">_xlfn.IFS(G278&lt;10000, "Low", G278&lt;=25000, "Medium", G278&gt;25000, "High")</f>
        <v>Low</v>
      </c>
    </row>
    <row r="279" spans="1:11" x14ac:dyDescent="0.3">
      <c r="A279">
        <v>25</v>
      </c>
      <c r="B279" s="1" t="s">
        <v>7</v>
      </c>
      <c r="C279">
        <v>25.46</v>
      </c>
      <c r="D279">
        <v>0</v>
      </c>
      <c r="E279" t="s">
        <v>10</v>
      </c>
      <c r="F279" t="s">
        <v>11</v>
      </c>
      <c r="G279" s="2">
        <v>4137.5227000000004</v>
      </c>
      <c r="H279" t="str" cm="1">
        <f t="array" ref="H279">_xlfn.IFS(A279&lt;=30, "Youth", A279&lt;=50, "Adult", A279&gt;50, "Older")</f>
        <v>Youth</v>
      </c>
      <c r="I279" t="str" cm="1">
        <f t="array" ref="I279">_xlfn.IFS(A279&lt;=25,"18-25",A279&lt;=35,"26-35",A279&lt;=45,"36-45",A279&lt;=60,"46-60",A279&gt;60,"60+")</f>
        <v>18-25</v>
      </c>
      <c r="J279" t="str" cm="1">
        <f t="array" ref="J279">_xlfn.IFS(C279&lt;18.5,"Underweight",C279&lt;25,"Normal",C279&lt;30,"Overweight",C279&gt;=30,"Obese")</f>
        <v>Overweight</v>
      </c>
      <c r="K279" t="str" cm="1">
        <f t="array" ref="K279">_xlfn.IFS(G279&lt;10000, "Low", G279&lt;=25000, "Medium", G279&gt;25000, "High")</f>
        <v>Low</v>
      </c>
    </row>
    <row r="280" spans="1:11" x14ac:dyDescent="0.3">
      <c r="A280">
        <v>25</v>
      </c>
      <c r="B280" s="1" t="s">
        <v>8</v>
      </c>
      <c r="C280">
        <v>25.46</v>
      </c>
      <c r="D280">
        <v>0</v>
      </c>
      <c r="E280" t="s">
        <v>10</v>
      </c>
      <c r="F280" t="s">
        <v>12</v>
      </c>
      <c r="G280" s="2">
        <v>4149.7359999999999</v>
      </c>
      <c r="H280" t="str" cm="1">
        <f t="array" ref="H280">_xlfn.IFS(A280&lt;=30, "Youth", A280&lt;=50, "Adult", A280&gt;50, "Older")</f>
        <v>Youth</v>
      </c>
      <c r="I280" t="str" cm="1">
        <f t="array" ref="I280">_xlfn.IFS(A280&lt;=25,"18-25",A280&lt;=35,"26-35",A280&lt;=45,"36-45",A280&lt;=60,"46-60",A280&gt;60,"60+")</f>
        <v>18-25</v>
      </c>
      <c r="J280" t="str" cm="1">
        <f t="array" ref="J280">_xlfn.IFS(C280&lt;18.5,"Underweight",C280&lt;25,"Normal",C280&lt;30,"Overweight",C280&gt;=30,"Obese")</f>
        <v>Overweight</v>
      </c>
      <c r="K280" t="str" cm="1">
        <f t="array" ref="K280">_xlfn.IFS(G280&lt;10000, "Low", G280&lt;=25000, "Medium", G280&gt;25000, "High")</f>
        <v>Low</v>
      </c>
    </row>
    <row r="281" spans="1:11" x14ac:dyDescent="0.3">
      <c r="A281">
        <v>25</v>
      </c>
      <c r="B281" s="1" t="s">
        <v>7</v>
      </c>
      <c r="C281">
        <v>25.46</v>
      </c>
      <c r="D281">
        <v>0</v>
      </c>
      <c r="E281" t="s">
        <v>10</v>
      </c>
      <c r="F281" t="s">
        <v>12</v>
      </c>
      <c r="G281" s="2">
        <v>4151.0286999999998</v>
      </c>
      <c r="H281" t="str" cm="1">
        <f t="array" ref="H281">_xlfn.IFS(A281&lt;=30, "Youth", A281&lt;=50, "Adult", A281&gt;50, "Older")</f>
        <v>Youth</v>
      </c>
      <c r="I281" t="str" cm="1">
        <f t="array" ref="I281">_xlfn.IFS(A281&lt;=25,"18-25",A281&lt;=35,"26-35",A281&lt;=45,"36-45",A281&lt;=60,"46-60",A281&gt;60,"60+")</f>
        <v>18-25</v>
      </c>
      <c r="J281" t="str" cm="1">
        <f t="array" ref="J281">_xlfn.IFS(C281&lt;18.5,"Underweight",C281&lt;25,"Normal",C281&lt;30,"Overweight",C281&gt;=30,"Obese")</f>
        <v>Overweight</v>
      </c>
      <c r="K281" t="str" cm="1">
        <f t="array" ref="K281">_xlfn.IFS(G281&lt;10000, "Low", G281&lt;=25000, "Medium", G281&gt;25000, "High")</f>
        <v>Low</v>
      </c>
    </row>
    <row r="282" spans="1:11" x14ac:dyDescent="0.3">
      <c r="A282">
        <v>25</v>
      </c>
      <c r="B282" s="1" t="s">
        <v>7</v>
      </c>
      <c r="C282">
        <v>25.52</v>
      </c>
      <c r="D282">
        <v>0</v>
      </c>
      <c r="E282" t="s">
        <v>9</v>
      </c>
      <c r="F282" t="s">
        <v>14</v>
      </c>
      <c r="G282" s="2">
        <v>4185.0978999999998</v>
      </c>
      <c r="H282" t="str" cm="1">
        <f t="array" ref="H282">_xlfn.IFS(A282&lt;=30, "Youth", A282&lt;=50, "Adult", A282&gt;50, "Older")</f>
        <v>Youth</v>
      </c>
      <c r="I282" t="str" cm="1">
        <f t="array" ref="I282">_xlfn.IFS(A282&lt;=25,"18-25",A282&lt;=35,"26-35",A282&lt;=45,"36-45",A282&lt;=60,"46-60",A282&gt;60,"60+")</f>
        <v>18-25</v>
      </c>
      <c r="J282" t="str" cm="1">
        <f t="array" ref="J282">_xlfn.IFS(C282&lt;18.5,"Underweight",C282&lt;25,"Normal",C282&lt;30,"Overweight",C282&gt;=30,"Obese")</f>
        <v>Overweight</v>
      </c>
      <c r="K282" t="str" cm="1">
        <f t="array" ref="K282">_xlfn.IFS(G282&lt;10000, "Low", G282&lt;=25000, "Medium", G282&gt;25000, "High")</f>
        <v>Low</v>
      </c>
    </row>
    <row r="283" spans="1:11" x14ac:dyDescent="0.3">
      <c r="A283">
        <v>25</v>
      </c>
      <c r="B283" s="1" t="s">
        <v>8</v>
      </c>
      <c r="C283">
        <v>25.555</v>
      </c>
      <c r="D283">
        <v>0</v>
      </c>
      <c r="E283" t="s">
        <v>9</v>
      </c>
      <c r="F283" t="s">
        <v>14</v>
      </c>
      <c r="G283" s="2">
        <v>4189.1130999999996</v>
      </c>
      <c r="H283" t="str" cm="1">
        <f t="array" ref="H283">_xlfn.IFS(A283&lt;=30, "Youth", A283&lt;=50, "Adult", A283&gt;50, "Older")</f>
        <v>Youth</v>
      </c>
      <c r="I283" t="str" cm="1">
        <f t="array" ref="I283">_xlfn.IFS(A283&lt;=25,"18-25",A283&lt;=35,"26-35",A283&lt;=45,"36-45",A283&lt;=60,"46-60",A283&gt;60,"60+")</f>
        <v>18-25</v>
      </c>
      <c r="J283" t="str" cm="1">
        <f t="array" ref="J283">_xlfn.IFS(C283&lt;18.5,"Underweight",C283&lt;25,"Normal",C283&lt;30,"Overweight",C283&gt;=30,"Obese")</f>
        <v>Overweight</v>
      </c>
      <c r="K283" t="str" cm="1">
        <f t="array" ref="K283">_xlfn.IFS(G283&lt;10000, "Low", G283&lt;=25000, "Medium", G283&gt;25000, "High")</f>
        <v>Low</v>
      </c>
    </row>
    <row r="284" spans="1:11" x14ac:dyDescent="0.3">
      <c r="A284">
        <v>25</v>
      </c>
      <c r="B284" s="1" t="s">
        <v>8</v>
      </c>
      <c r="C284">
        <v>25.555</v>
      </c>
      <c r="D284">
        <v>0</v>
      </c>
      <c r="E284" t="s">
        <v>10</v>
      </c>
      <c r="F284" t="s">
        <v>14</v>
      </c>
      <c r="G284" s="2">
        <v>4234.9269999999997</v>
      </c>
      <c r="H284" t="str" cm="1">
        <f t="array" ref="H284">_xlfn.IFS(A284&lt;=30, "Youth", A284&lt;=50, "Adult", A284&gt;50, "Older")</f>
        <v>Youth</v>
      </c>
      <c r="I284" t="str" cm="1">
        <f t="array" ref="I284">_xlfn.IFS(A284&lt;=25,"18-25",A284&lt;=35,"26-35",A284&lt;=45,"36-45",A284&lt;=60,"46-60",A284&gt;60,"60+")</f>
        <v>18-25</v>
      </c>
      <c r="J284" t="str" cm="1">
        <f t="array" ref="J284">_xlfn.IFS(C284&lt;18.5,"Underweight",C284&lt;25,"Normal",C284&lt;30,"Overweight",C284&gt;=30,"Obese")</f>
        <v>Overweight</v>
      </c>
      <c r="K284" t="str" cm="1">
        <f t="array" ref="K284">_xlfn.IFS(G284&lt;10000, "Low", G284&lt;=25000, "Medium", G284&gt;25000, "High")</f>
        <v>Low</v>
      </c>
    </row>
    <row r="285" spans="1:11" x14ac:dyDescent="0.3">
      <c r="A285">
        <v>25</v>
      </c>
      <c r="B285" s="1" t="s">
        <v>7</v>
      </c>
      <c r="C285">
        <v>25.555</v>
      </c>
      <c r="D285">
        <v>0</v>
      </c>
      <c r="E285" t="s">
        <v>10</v>
      </c>
      <c r="F285" t="s">
        <v>14</v>
      </c>
      <c r="G285" s="2">
        <v>4237.12655</v>
      </c>
      <c r="H285" t="str" cm="1">
        <f t="array" ref="H285">_xlfn.IFS(A285&lt;=30, "Youth", A285&lt;=50, "Adult", A285&gt;50, "Older")</f>
        <v>Youth</v>
      </c>
      <c r="I285" t="str" cm="1">
        <f t="array" ref="I285">_xlfn.IFS(A285&lt;=25,"18-25",A285&lt;=35,"26-35",A285&lt;=45,"36-45",A285&lt;=60,"46-60",A285&gt;60,"60+")</f>
        <v>18-25</v>
      </c>
      <c r="J285" t="str" cm="1">
        <f t="array" ref="J285">_xlfn.IFS(C285&lt;18.5,"Underweight",C285&lt;25,"Normal",C285&lt;30,"Overweight",C285&gt;=30,"Obese")</f>
        <v>Overweight</v>
      </c>
      <c r="K285" t="str" cm="1">
        <f t="array" ref="K285">_xlfn.IFS(G285&lt;10000, "Low", G285&lt;=25000, "Medium", G285&gt;25000, "High")</f>
        <v>Low</v>
      </c>
    </row>
    <row r="286" spans="1:11" x14ac:dyDescent="0.3">
      <c r="A286">
        <v>25</v>
      </c>
      <c r="B286" s="1" t="s">
        <v>7</v>
      </c>
      <c r="C286">
        <v>25.6</v>
      </c>
      <c r="D286">
        <v>0</v>
      </c>
      <c r="E286" t="s">
        <v>10</v>
      </c>
      <c r="F286" t="s">
        <v>11</v>
      </c>
      <c r="G286" s="2">
        <v>4239.8926499999998</v>
      </c>
      <c r="H286" t="str" cm="1">
        <f t="array" ref="H286">_xlfn.IFS(A286&lt;=30, "Youth", A286&lt;=50, "Adult", A286&gt;50, "Older")</f>
        <v>Youth</v>
      </c>
      <c r="I286" t="str" cm="1">
        <f t="array" ref="I286">_xlfn.IFS(A286&lt;=25,"18-25",A286&lt;=35,"26-35",A286&lt;=45,"36-45",A286&lt;=60,"46-60",A286&gt;60,"60+")</f>
        <v>18-25</v>
      </c>
      <c r="J286" t="str" cm="1">
        <f t="array" ref="J286">_xlfn.IFS(C286&lt;18.5,"Underweight",C286&lt;25,"Normal",C286&lt;30,"Overweight",C286&gt;=30,"Obese")</f>
        <v>Overweight</v>
      </c>
      <c r="K286" t="str" cm="1">
        <f t="array" ref="K286">_xlfn.IFS(G286&lt;10000, "Low", G286&lt;=25000, "Medium", G286&gt;25000, "High")</f>
        <v>Low</v>
      </c>
    </row>
    <row r="287" spans="1:11" x14ac:dyDescent="0.3">
      <c r="A287">
        <v>25</v>
      </c>
      <c r="B287" s="1" t="s">
        <v>8</v>
      </c>
      <c r="C287">
        <v>25.6</v>
      </c>
      <c r="D287">
        <v>0</v>
      </c>
      <c r="E287" t="s">
        <v>10</v>
      </c>
      <c r="F287" t="s">
        <v>12</v>
      </c>
      <c r="G287" s="2">
        <v>4243.5900499999998</v>
      </c>
      <c r="H287" t="str" cm="1">
        <f t="array" ref="H287">_xlfn.IFS(A287&lt;=30, "Youth", A287&lt;=50, "Adult", A287&gt;50, "Older")</f>
        <v>Youth</v>
      </c>
      <c r="I287" t="str" cm="1">
        <f t="array" ref="I287">_xlfn.IFS(A287&lt;=25,"18-25",A287&lt;=35,"26-35",A287&lt;=45,"36-45",A287&lt;=60,"46-60",A287&gt;60,"60+")</f>
        <v>18-25</v>
      </c>
      <c r="J287" t="str" cm="1">
        <f t="array" ref="J287">_xlfn.IFS(C287&lt;18.5,"Underweight",C287&lt;25,"Normal",C287&lt;30,"Overweight",C287&gt;=30,"Obese")</f>
        <v>Overweight</v>
      </c>
      <c r="K287" t="str" cm="1">
        <f t="array" ref="K287">_xlfn.IFS(G287&lt;10000, "Low", G287&lt;=25000, "Medium", G287&gt;25000, "High")</f>
        <v>Low</v>
      </c>
    </row>
    <row r="288" spans="1:11" x14ac:dyDescent="0.3">
      <c r="A288">
        <v>25</v>
      </c>
      <c r="B288" s="1" t="s">
        <v>7</v>
      </c>
      <c r="C288">
        <v>25.6</v>
      </c>
      <c r="D288">
        <v>0</v>
      </c>
      <c r="E288" t="s">
        <v>10</v>
      </c>
      <c r="F288" t="s">
        <v>14</v>
      </c>
      <c r="G288" s="2">
        <v>4260.7439999999997</v>
      </c>
      <c r="H288" t="str" cm="1">
        <f t="array" ref="H288">_xlfn.IFS(A288&lt;=30, "Youth", A288&lt;=50, "Adult", A288&gt;50, "Older")</f>
        <v>Youth</v>
      </c>
      <c r="I288" t="str" cm="1">
        <f t="array" ref="I288">_xlfn.IFS(A288&lt;=25,"18-25",A288&lt;=35,"26-35",A288&lt;=45,"36-45",A288&lt;=60,"46-60",A288&gt;60,"60+")</f>
        <v>18-25</v>
      </c>
      <c r="J288" t="str" cm="1">
        <f t="array" ref="J288">_xlfn.IFS(C288&lt;18.5,"Underweight",C288&lt;25,"Normal",C288&lt;30,"Overweight",C288&gt;=30,"Obese")</f>
        <v>Overweight</v>
      </c>
      <c r="K288" t="str" cm="1">
        <f t="array" ref="K288">_xlfn.IFS(G288&lt;10000, "Low", G288&lt;=25000, "Medium", G288&gt;25000, "High")</f>
        <v>Low</v>
      </c>
    </row>
    <row r="289" spans="1:11" x14ac:dyDescent="0.3">
      <c r="A289">
        <v>25</v>
      </c>
      <c r="B289" s="1" t="s">
        <v>7</v>
      </c>
      <c r="C289">
        <v>25.6</v>
      </c>
      <c r="D289">
        <v>0</v>
      </c>
      <c r="E289" t="s">
        <v>10</v>
      </c>
      <c r="F289" t="s">
        <v>13</v>
      </c>
      <c r="G289" s="2">
        <v>4266.1657999999998</v>
      </c>
      <c r="H289" t="str" cm="1">
        <f t="array" ref="H289">_xlfn.IFS(A289&lt;=30, "Youth", A289&lt;=50, "Adult", A289&gt;50, "Older")</f>
        <v>Youth</v>
      </c>
      <c r="I289" t="str" cm="1">
        <f t="array" ref="I289">_xlfn.IFS(A289&lt;=25,"18-25",A289&lt;=35,"26-35",A289&lt;=45,"36-45",A289&lt;=60,"46-60",A289&gt;60,"60+")</f>
        <v>18-25</v>
      </c>
      <c r="J289" t="str" cm="1">
        <f t="array" ref="J289">_xlfn.IFS(C289&lt;18.5,"Underweight",C289&lt;25,"Normal",C289&lt;30,"Overweight",C289&gt;=30,"Obese")</f>
        <v>Overweight</v>
      </c>
      <c r="K289" t="str" cm="1">
        <f t="array" ref="K289">_xlfn.IFS(G289&lt;10000, "Low", G289&lt;=25000, "Medium", G289&gt;25000, "High")</f>
        <v>Low</v>
      </c>
    </row>
    <row r="290" spans="1:11" x14ac:dyDescent="0.3">
      <c r="A290">
        <v>25</v>
      </c>
      <c r="B290" s="1" t="s">
        <v>7</v>
      </c>
      <c r="C290">
        <v>25.65</v>
      </c>
      <c r="D290">
        <v>0</v>
      </c>
      <c r="E290" t="s">
        <v>9</v>
      </c>
      <c r="F290" t="s">
        <v>14</v>
      </c>
      <c r="G290" s="2">
        <v>4296.2712000000001</v>
      </c>
      <c r="H290" t="str" cm="1">
        <f t="array" ref="H290">_xlfn.IFS(A290&lt;=30, "Youth", A290&lt;=50, "Adult", A290&gt;50, "Older")</f>
        <v>Youth</v>
      </c>
      <c r="I290" t="str" cm="1">
        <f t="array" ref="I290">_xlfn.IFS(A290&lt;=25,"18-25",A290&lt;=35,"26-35",A290&lt;=45,"36-45",A290&lt;=60,"46-60",A290&gt;60,"60+")</f>
        <v>18-25</v>
      </c>
      <c r="J290" t="str" cm="1">
        <f t="array" ref="J290">_xlfn.IFS(C290&lt;18.5,"Underweight",C290&lt;25,"Normal",C290&lt;30,"Overweight",C290&gt;=30,"Obese")</f>
        <v>Overweight</v>
      </c>
      <c r="K290" t="str" cm="1">
        <f t="array" ref="K290">_xlfn.IFS(G290&lt;10000, "Low", G290&lt;=25000, "Medium", G290&gt;25000, "High")</f>
        <v>Low</v>
      </c>
    </row>
    <row r="291" spans="1:11" x14ac:dyDescent="0.3">
      <c r="A291">
        <v>25</v>
      </c>
      <c r="B291" s="1" t="s">
        <v>8</v>
      </c>
      <c r="C291">
        <v>25.7</v>
      </c>
      <c r="D291">
        <v>0</v>
      </c>
      <c r="E291" t="s">
        <v>10</v>
      </c>
      <c r="F291" t="s">
        <v>12</v>
      </c>
      <c r="G291" s="2">
        <v>4320.4108500000002</v>
      </c>
      <c r="H291" t="str" cm="1">
        <f t="array" ref="H291">_xlfn.IFS(A291&lt;=30, "Youth", A291&lt;=50, "Adult", A291&gt;50, "Older")</f>
        <v>Youth</v>
      </c>
      <c r="I291" t="str" cm="1">
        <f t="array" ref="I291">_xlfn.IFS(A291&lt;=25,"18-25",A291&lt;=35,"26-35",A291&lt;=45,"36-45",A291&lt;=60,"46-60",A291&gt;60,"60+")</f>
        <v>18-25</v>
      </c>
      <c r="J291" t="str" cm="1">
        <f t="array" ref="J291">_xlfn.IFS(C291&lt;18.5,"Underweight",C291&lt;25,"Normal",C291&lt;30,"Overweight",C291&gt;=30,"Obese")</f>
        <v>Overweight</v>
      </c>
      <c r="K291" t="str" cm="1">
        <f t="array" ref="K291">_xlfn.IFS(G291&lt;10000, "Low", G291&lt;=25000, "Medium", G291&gt;25000, "High")</f>
        <v>Low</v>
      </c>
    </row>
    <row r="292" spans="1:11" x14ac:dyDescent="0.3">
      <c r="A292">
        <v>25</v>
      </c>
      <c r="B292" s="1" t="s">
        <v>7</v>
      </c>
      <c r="C292">
        <v>25.7</v>
      </c>
      <c r="D292">
        <v>0</v>
      </c>
      <c r="E292" t="s">
        <v>10</v>
      </c>
      <c r="F292" t="s">
        <v>11</v>
      </c>
      <c r="G292" s="2">
        <v>4337.7352000000001</v>
      </c>
      <c r="H292" t="str" cm="1">
        <f t="array" ref="H292">_xlfn.IFS(A292&lt;=30, "Youth", A292&lt;=50, "Adult", A292&gt;50, "Older")</f>
        <v>Youth</v>
      </c>
      <c r="I292" t="str" cm="1">
        <f t="array" ref="I292">_xlfn.IFS(A292&lt;=25,"18-25",A292&lt;=35,"26-35",A292&lt;=45,"36-45",A292&lt;=60,"46-60",A292&gt;60,"60+")</f>
        <v>18-25</v>
      </c>
      <c r="J292" t="str" cm="1">
        <f t="array" ref="J292">_xlfn.IFS(C292&lt;18.5,"Underweight",C292&lt;25,"Normal",C292&lt;30,"Overweight",C292&gt;=30,"Obese")</f>
        <v>Overweight</v>
      </c>
      <c r="K292" t="str" cm="1">
        <f t="array" ref="K292">_xlfn.IFS(G292&lt;10000, "Low", G292&lt;=25000, "Medium", G292&gt;25000, "High")</f>
        <v>Low</v>
      </c>
    </row>
    <row r="293" spans="1:11" x14ac:dyDescent="0.3">
      <c r="A293">
        <v>25</v>
      </c>
      <c r="B293" s="1" t="s">
        <v>8</v>
      </c>
      <c r="C293">
        <v>25.74</v>
      </c>
      <c r="D293">
        <v>0</v>
      </c>
      <c r="E293" t="s">
        <v>10</v>
      </c>
      <c r="F293" t="s">
        <v>14</v>
      </c>
      <c r="G293" s="2">
        <v>4340.4408999999996</v>
      </c>
      <c r="H293" t="str" cm="1">
        <f t="array" ref="H293">_xlfn.IFS(A293&lt;=30, "Youth", A293&lt;=50, "Adult", A293&gt;50, "Older")</f>
        <v>Youth</v>
      </c>
      <c r="I293" t="str" cm="1">
        <f t="array" ref="I293">_xlfn.IFS(A293&lt;=25,"18-25",A293&lt;=35,"26-35",A293&lt;=45,"36-45",A293&lt;=60,"46-60",A293&gt;60,"60+")</f>
        <v>18-25</v>
      </c>
      <c r="J293" t="str" cm="1">
        <f t="array" ref="J293">_xlfn.IFS(C293&lt;18.5,"Underweight",C293&lt;25,"Normal",C293&lt;30,"Overweight",C293&gt;=30,"Obese")</f>
        <v>Overweight</v>
      </c>
      <c r="K293" t="str" cm="1">
        <f t="array" ref="K293">_xlfn.IFS(G293&lt;10000, "Low", G293&lt;=25000, "Medium", G293&gt;25000, "High")</f>
        <v>Low</v>
      </c>
    </row>
    <row r="294" spans="1:11" x14ac:dyDescent="0.3">
      <c r="A294">
        <v>25</v>
      </c>
      <c r="B294" s="1" t="s">
        <v>8</v>
      </c>
      <c r="C294">
        <v>25.74</v>
      </c>
      <c r="D294">
        <v>0</v>
      </c>
      <c r="E294" t="s">
        <v>9</v>
      </c>
      <c r="F294" t="s">
        <v>12</v>
      </c>
      <c r="G294" s="2">
        <v>4347.0233500000004</v>
      </c>
      <c r="H294" t="str" cm="1">
        <f t="array" ref="H294">_xlfn.IFS(A294&lt;=30, "Youth", A294&lt;=50, "Adult", A294&gt;50, "Older")</f>
        <v>Youth</v>
      </c>
      <c r="I294" t="str" cm="1">
        <f t="array" ref="I294">_xlfn.IFS(A294&lt;=25,"18-25",A294&lt;=35,"26-35",A294&lt;=45,"36-45",A294&lt;=60,"46-60",A294&gt;60,"60+")</f>
        <v>18-25</v>
      </c>
      <c r="J294" t="str" cm="1">
        <f t="array" ref="J294">_xlfn.IFS(C294&lt;18.5,"Underweight",C294&lt;25,"Normal",C294&lt;30,"Overweight",C294&gt;=30,"Obese")</f>
        <v>Overweight</v>
      </c>
      <c r="K294" t="str" cm="1">
        <f t="array" ref="K294">_xlfn.IFS(G294&lt;10000, "Low", G294&lt;=25000, "Medium", G294&gt;25000, "High")</f>
        <v>Low</v>
      </c>
    </row>
    <row r="295" spans="1:11" x14ac:dyDescent="0.3">
      <c r="A295">
        <v>25</v>
      </c>
      <c r="B295" s="1" t="s">
        <v>7</v>
      </c>
      <c r="C295">
        <v>25.74</v>
      </c>
      <c r="D295">
        <v>0</v>
      </c>
      <c r="E295" t="s">
        <v>10</v>
      </c>
      <c r="F295" t="s">
        <v>12</v>
      </c>
      <c r="G295" s="2">
        <v>4349.4620000000004</v>
      </c>
      <c r="H295" t="str" cm="1">
        <f t="array" ref="H295">_xlfn.IFS(A295&lt;=30, "Youth", A295&lt;=50, "Adult", A295&gt;50, "Older")</f>
        <v>Youth</v>
      </c>
      <c r="I295" t="str" cm="1">
        <f t="array" ref="I295">_xlfn.IFS(A295&lt;=25,"18-25",A295&lt;=35,"26-35",A295&lt;=45,"36-45",A295&lt;=60,"46-60",A295&gt;60,"60+")</f>
        <v>18-25</v>
      </c>
      <c r="J295" t="str" cm="1">
        <f t="array" ref="J295">_xlfn.IFS(C295&lt;18.5,"Underweight",C295&lt;25,"Normal",C295&lt;30,"Overweight",C295&gt;=30,"Obese")</f>
        <v>Overweight</v>
      </c>
      <c r="K295" t="str" cm="1">
        <f t="array" ref="K295">_xlfn.IFS(G295&lt;10000, "Low", G295&lt;=25000, "Medium", G295&gt;25000, "High")</f>
        <v>Low</v>
      </c>
    </row>
    <row r="296" spans="1:11" x14ac:dyDescent="0.3">
      <c r="A296">
        <v>25</v>
      </c>
      <c r="B296" s="1" t="s">
        <v>8</v>
      </c>
      <c r="C296">
        <v>25.74</v>
      </c>
      <c r="D296">
        <v>0</v>
      </c>
      <c r="E296" t="s">
        <v>10</v>
      </c>
      <c r="F296" t="s">
        <v>11</v>
      </c>
      <c r="G296" s="2">
        <v>4350.5144</v>
      </c>
      <c r="H296" t="str" cm="1">
        <f t="array" ref="H296">_xlfn.IFS(A296&lt;=30, "Youth", A296&lt;=50, "Adult", A296&gt;50, "Older")</f>
        <v>Youth</v>
      </c>
      <c r="I296" t="str" cm="1">
        <f t="array" ref="I296">_xlfn.IFS(A296&lt;=25,"18-25",A296&lt;=35,"26-35",A296&lt;=45,"36-45",A296&lt;=60,"46-60",A296&gt;60,"60+")</f>
        <v>18-25</v>
      </c>
      <c r="J296" t="str" cm="1">
        <f t="array" ref="J296">_xlfn.IFS(C296&lt;18.5,"Underweight",C296&lt;25,"Normal",C296&lt;30,"Overweight",C296&gt;=30,"Obese")</f>
        <v>Overweight</v>
      </c>
      <c r="K296" t="str" cm="1">
        <f t="array" ref="K296">_xlfn.IFS(G296&lt;10000, "Low", G296&lt;=25000, "Medium", G296&gt;25000, "High")</f>
        <v>Low</v>
      </c>
    </row>
    <row r="297" spans="1:11" x14ac:dyDescent="0.3">
      <c r="A297">
        <v>25</v>
      </c>
      <c r="B297" s="1" t="s">
        <v>8</v>
      </c>
      <c r="C297">
        <v>25.745000000000001</v>
      </c>
      <c r="D297">
        <v>0</v>
      </c>
      <c r="E297" t="s">
        <v>10</v>
      </c>
      <c r="F297" t="s">
        <v>14</v>
      </c>
      <c r="G297" s="2">
        <v>4357.0436499999996</v>
      </c>
      <c r="H297" t="str" cm="1">
        <f t="array" ref="H297">_xlfn.IFS(A297&lt;=30, "Youth", A297&lt;=50, "Adult", A297&gt;50, "Older")</f>
        <v>Youth</v>
      </c>
      <c r="I297" t="str" cm="1">
        <f t="array" ref="I297">_xlfn.IFS(A297&lt;=25,"18-25",A297&lt;=35,"26-35",A297&lt;=45,"36-45",A297&lt;=60,"46-60",A297&gt;60,"60+")</f>
        <v>18-25</v>
      </c>
      <c r="J297" t="str" cm="1">
        <f t="array" ref="J297">_xlfn.IFS(C297&lt;18.5,"Underweight",C297&lt;25,"Normal",C297&lt;30,"Overweight",C297&gt;=30,"Obese")</f>
        <v>Overweight</v>
      </c>
      <c r="K297" t="str" cm="1">
        <f t="array" ref="K297">_xlfn.IFS(G297&lt;10000, "Low", G297&lt;=25000, "Medium", G297&gt;25000, "High")</f>
        <v>Low</v>
      </c>
    </row>
    <row r="298" spans="1:11" x14ac:dyDescent="0.3">
      <c r="A298">
        <v>25</v>
      </c>
      <c r="B298" s="1" t="s">
        <v>8</v>
      </c>
      <c r="C298">
        <v>25.745000000000001</v>
      </c>
      <c r="D298">
        <v>0</v>
      </c>
      <c r="E298" t="s">
        <v>9</v>
      </c>
      <c r="F298" t="s">
        <v>11</v>
      </c>
      <c r="G298" s="2">
        <v>4391.652</v>
      </c>
      <c r="H298" t="str" cm="1">
        <f t="array" ref="H298">_xlfn.IFS(A298&lt;=30, "Youth", A298&lt;=50, "Adult", A298&gt;50, "Older")</f>
        <v>Youth</v>
      </c>
      <c r="I298" t="str" cm="1">
        <f t="array" ref="I298">_xlfn.IFS(A298&lt;=25,"18-25",A298&lt;=35,"26-35",A298&lt;=45,"36-45",A298&lt;=60,"46-60",A298&gt;60,"60+")</f>
        <v>18-25</v>
      </c>
      <c r="J298" t="str" cm="1">
        <f t="array" ref="J298">_xlfn.IFS(C298&lt;18.5,"Underweight",C298&lt;25,"Normal",C298&lt;30,"Overweight",C298&gt;=30,"Obese")</f>
        <v>Overweight</v>
      </c>
      <c r="K298" t="str" cm="1">
        <f t="array" ref="K298">_xlfn.IFS(G298&lt;10000, "Low", G298&lt;=25000, "Medium", G298&gt;25000, "High")</f>
        <v>Low</v>
      </c>
    </row>
    <row r="299" spans="1:11" x14ac:dyDescent="0.3">
      <c r="A299">
        <v>25</v>
      </c>
      <c r="B299" s="1" t="s">
        <v>8</v>
      </c>
      <c r="C299">
        <v>25.745000000000001</v>
      </c>
      <c r="D299">
        <v>0</v>
      </c>
      <c r="E299" t="s">
        <v>9</v>
      </c>
      <c r="F299" t="s">
        <v>12</v>
      </c>
      <c r="G299" s="2">
        <v>4399.7309999999998</v>
      </c>
      <c r="H299" t="str" cm="1">
        <f t="array" ref="H299">_xlfn.IFS(A299&lt;=30, "Youth", A299&lt;=50, "Adult", A299&gt;50, "Older")</f>
        <v>Youth</v>
      </c>
      <c r="I299" t="str" cm="1">
        <f t="array" ref="I299">_xlfn.IFS(A299&lt;=25,"18-25",A299&lt;=35,"26-35",A299&lt;=45,"36-45",A299&lt;=60,"46-60",A299&gt;60,"60+")</f>
        <v>18-25</v>
      </c>
      <c r="J299" t="str" cm="1">
        <f t="array" ref="J299">_xlfn.IFS(C299&lt;18.5,"Underweight",C299&lt;25,"Normal",C299&lt;30,"Overweight",C299&gt;=30,"Obese")</f>
        <v>Overweight</v>
      </c>
      <c r="K299" t="str" cm="1">
        <f t="array" ref="K299">_xlfn.IFS(G299&lt;10000, "Low", G299&lt;=25000, "Medium", G299&gt;25000, "High")</f>
        <v>Low</v>
      </c>
    </row>
    <row r="300" spans="1:11" x14ac:dyDescent="0.3">
      <c r="A300">
        <v>25</v>
      </c>
      <c r="B300" s="1" t="s">
        <v>8</v>
      </c>
      <c r="C300">
        <v>25.8</v>
      </c>
      <c r="D300">
        <v>0</v>
      </c>
      <c r="E300" t="s">
        <v>9</v>
      </c>
      <c r="F300" t="s">
        <v>13</v>
      </c>
      <c r="G300" s="2">
        <v>4402.2330000000002</v>
      </c>
      <c r="H300" t="str" cm="1">
        <f t="array" ref="H300">_xlfn.IFS(A300&lt;=30, "Youth", A300&lt;=50, "Adult", A300&gt;50, "Older")</f>
        <v>Youth</v>
      </c>
      <c r="I300" t="str" cm="1">
        <f t="array" ref="I300">_xlfn.IFS(A300&lt;=25,"18-25",A300&lt;=35,"26-35",A300&lt;=45,"36-45",A300&lt;=60,"46-60",A300&gt;60,"60+")</f>
        <v>18-25</v>
      </c>
      <c r="J300" t="str" cm="1">
        <f t="array" ref="J300">_xlfn.IFS(C300&lt;18.5,"Underweight",C300&lt;25,"Normal",C300&lt;30,"Overweight",C300&gt;=30,"Obese")</f>
        <v>Overweight</v>
      </c>
      <c r="K300" t="str" cm="1">
        <f t="array" ref="K300">_xlfn.IFS(G300&lt;10000, "Low", G300&lt;=25000, "Medium", G300&gt;25000, "High")</f>
        <v>Low</v>
      </c>
    </row>
    <row r="301" spans="1:11" x14ac:dyDescent="0.3">
      <c r="A301">
        <v>25</v>
      </c>
      <c r="B301" s="1" t="s">
        <v>7</v>
      </c>
      <c r="C301">
        <v>25.8</v>
      </c>
      <c r="D301">
        <v>0</v>
      </c>
      <c r="E301" t="s">
        <v>10</v>
      </c>
      <c r="F301" t="s">
        <v>13</v>
      </c>
      <c r="G301" s="2">
        <v>4415.1588000000002</v>
      </c>
      <c r="H301" t="str" cm="1">
        <f t="array" ref="H301">_xlfn.IFS(A301&lt;=30, "Youth", A301&lt;=50, "Adult", A301&gt;50, "Older")</f>
        <v>Youth</v>
      </c>
      <c r="I301" t="str" cm="1">
        <f t="array" ref="I301">_xlfn.IFS(A301&lt;=25,"18-25",A301&lt;=35,"26-35",A301&lt;=45,"36-45",A301&lt;=60,"46-60",A301&gt;60,"60+")</f>
        <v>18-25</v>
      </c>
      <c r="J301" t="str" cm="1">
        <f t="array" ref="J301">_xlfn.IFS(C301&lt;18.5,"Underweight",C301&lt;25,"Normal",C301&lt;30,"Overweight",C301&gt;=30,"Obese")</f>
        <v>Overweight</v>
      </c>
      <c r="K301" t="str" cm="1">
        <f t="array" ref="K301">_xlfn.IFS(G301&lt;10000, "Low", G301&lt;=25000, "Medium", G301&gt;25000, "High")</f>
        <v>Low</v>
      </c>
    </row>
    <row r="302" spans="1:11" x14ac:dyDescent="0.3">
      <c r="A302">
        <v>25</v>
      </c>
      <c r="B302" s="1" t="s">
        <v>8</v>
      </c>
      <c r="C302">
        <v>25.8</v>
      </c>
      <c r="D302">
        <v>0</v>
      </c>
      <c r="E302" t="s">
        <v>10</v>
      </c>
      <c r="F302" t="s">
        <v>14</v>
      </c>
      <c r="G302" s="2">
        <v>4428.8878500000001</v>
      </c>
      <c r="H302" t="str" cm="1">
        <f t="array" ref="H302">_xlfn.IFS(A302&lt;=30, "Youth", A302&lt;=50, "Adult", A302&gt;50, "Older")</f>
        <v>Youth</v>
      </c>
      <c r="I302" t="str" cm="1">
        <f t="array" ref="I302">_xlfn.IFS(A302&lt;=25,"18-25",A302&lt;=35,"26-35",A302&lt;=45,"36-45",A302&lt;=60,"46-60",A302&gt;60,"60+")</f>
        <v>18-25</v>
      </c>
      <c r="J302" t="str" cm="1">
        <f t="array" ref="J302">_xlfn.IFS(C302&lt;18.5,"Underweight",C302&lt;25,"Normal",C302&lt;30,"Overweight",C302&gt;=30,"Obese")</f>
        <v>Overweight</v>
      </c>
      <c r="K302" t="str" cm="1">
        <f t="array" ref="K302">_xlfn.IFS(G302&lt;10000, "Low", G302&lt;=25000, "Medium", G302&gt;25000, "High")</f>
        <v>Low</v>
      </c>
    </row>
    <row r="303" spans="1:11" x14ac:dyDescent="0.3">
      <c r="A303">
        <v>25</v>
      </c>
      <c r="B303" s="1" t="s">
        <v>7</v>
      </c>
      <c r="C303">
        <v>25.8</v>
      </c>
      <c r="D303">
        <v>0</v>
      </c>
      <c r="E303" t="s">
        <v>9</v>
      </c>
      <c r="F303" t="s">
        <v>14</v>
      </c>
      <c r="G303" s="2">
        <v>4433.3877000000002</v>
      </c>
      <c r="H303" t="str" cm="1">
        <f t="array" ref="H303">_xlfn.IFS(A303&lt;=30, "Youth", A303&lt;=50, "Adult", A303&gt;50, "Older")</f>
        <v>Youth</v>
      </c>
      <c r="I303" t="str" cm="1">
        <f t="array" ref="I303">_xlfn.IFS(A303&lt;=25,"18-25",A303&lt;=35,"26-35",A303&lt;=45,"36-45",A303&lt;=60,"46-60",A303&gt;60,"60+")</f>
        <v>18-25</v>
      </c>
      <c r="J303" t="str" cm="1">
        <f t="array" ref="J303">_xlfn.IFS(C303&lt;18.5,"Underweight",C303&lt;25,"Normal",C303&lt;30,"Overweight",C303&gt;=30,"Obese")</f>
        <v>Overweight</v>
      </c>
      <c r="K303" t="str" cm="1">
        <f t="array" ref="K303">_xlfn.IFS(G303&lt;10000, "Low", G303&lt;=25000, "Medium", G303&gt;25000, "High")</f>
        <v>Low</v>
      </c>
    </row>
    <row r="304" spans="1:11" x14ac:dyDescent="0.3">
      <c r="A304">
        <v>25</v>
      </c>
      <c r="B304" s="1" t="s">
        <v>7</v>
      </c>
      <c r="C304">
        <v>25.8</v>
      </c>
      <c r="D304">
        <v>0</v>
      </c>
      <c r="E304" t="s">
        <v>10</v>
      </c>
      <c r="F304" t="s">
        <v>12</v>
      </c>
      <c r="G304" s="2">
        <v>4433.9159</v>
      </c>
      <c r="H304" t="str" cm="1">
        <f t="array" ref="H304">_xlfn.IFS(A304&lt;=30, "Youth", A304&lt;=50, "Adult", A304&gt;50, "Older")</f>
        <v>Youth</v>
      </c>
      <c r="I304" t="str" cm="1">
        <f t="array" ref="I304">_xlfn.IFS(A304&lt;=25,"18-25",A304&lt;=35,"26-35",A304&lt;=45,"36-45",A304&lt;=60,"46-60",A304&gt;60,"60+")</f>
        <v>18-25</v>
      </c>
      <c r="J304" t="str" cm="1">
        <f t="array" ref="J304">_xlfn.IFS(C304&lt;18.5,"Underweight",C304&lt;25,"Normal",C304&lt;30,"Overweight",C304&gt;=30,"Obese")</f>
        <v>Overweight</v>
      </c>
      <c r="K304" t="str" cm="1">
        <f t="array" ref="K304">_xlfn.IFS(G304&lt;10000, "Low", G304&lt;=25000, "Medium", G304&gt;25000, "High")</f>
        <v>Low</v>
      </c>
    </row>
    <row r="305" spans="1:11" x14ac:dyDescent="0.3">
      <c r="A305">
        <v>25</v>
      </c>
      <c r="B305" s="1" t="s">
        <v>7</v>
      </c>
      <c r="C305">
        <v>25.8</v>
      </c>
      <c r="D305">
        <v>0</v>
      </c>
      <c r="E305" t="s">
        <v>10</v>
      </c>
      <c r="F305" t="s">
        <v>12</v>
      </c>
      <c r="G305" s="2">
        <v>4435.0941999999995</v>
      </c>
      <c r="H305" t="str" cm="1">
        <f t="array" ref="H305">_xlfn.IFS(A305&lt;=30, "Youth", A305&lt;=50, "Adult", A305&gt;50, "Older")</f>
        <v>Youth</v>
      </c>
      <c r="I305" t="str" cm="1">
        <f t="array" ref="I305">_xlfn.IFS(A305&lt;=25,"18-25",A305&lt;=35,"26-35",A305&lt;=45,"36-45",A305&lt;=60,"46-60",A305&gt;60,"60+")</f>
        <v>18-25</v>
      </c>
      <c r="J305" t="str" cm="1">
        <f t="array" ref="J305">_xlfn.IFS(C305&lt;18.5,"Underweight",C305&lt;25,"Normal",C305&lt;30,"Overweight",C305&gt;=30,"Obese")</f>
        <v>Overweight</v>
      </c>
      <c r="K305" t="str" cm="1">
        <f t="array" ref="K305">_xlfn.IFS(G305&lt;10000, "Low", G305&lt;=25000, "Medium", G305&gt;25000, "High")</f>
        <v>Low</v>
      </c>
    </row>
    <row r="306" spans="1:11" x14ac:dyDescent="0.3">
      <c r="A306">
        <v>25</v>
      </c>
      <c r="B306" s="1" t="s">
        <v>7</v>
      </c>
      <c r="C306">
        <v>25.8</v>
      </c>
      <c r="D306">
        <v>0</v>
      </c>
      <c r="E306" t="s">
        <v>10</v>
      </c>
      <c r="F306" t="s">
        <v>11</v>
      </c>
      <c r="G306" s="2">
        <v>4438.2633999999998</v>
      </c>
      <c r="H306" t="str" cm="1">
        <f t="array" ref="H306">_xlfn.IFS(A306&lt;=30, "Youth", A306&lt;=50, "Adult", A306&gt;50, "Older")</f>
        <v>Youth</v>
      </c>
      <c r="I306" t="str" cm="1">
        <f t="array" ref="I306">_xlfn.IFS(A306&lt;=25,"18-25",A306&lt;=35,"26-35",A306&lt;=45,"36-45",A306&lt;=60,"46-60",A306&gt;60,"60+")</f>
        <v>18-25</v>
      </c>
      <c r="J306" t="str" cm="1">
        <f t="array" ref="J306">_xlfn.IFS(C306&lt;18.5,"Underweight",C306&lt;25,"Normal",C306&lt;30,"Overweight",C306&gt;=30,"Obese")</f>
        <v>Overweight</v>
      </c>
      <c r="K306" t="str" cm="1">
        <f t="array" ref="K306">_xlfn.IFS(G306&lt;10000, "Low", G306&lt;=25000, "Medium", G306&gt;25000, "High")</f>
        <v>Low</v>
      </c>
    </row>
    <row r="307" spans="1:11" x14ac:dyDescent="0.3">
      <c r="A307">
        <v>26</v>
      </c>
      <c r="B307" s="1" t="s">
        <v>8</v>
      </c>
      <c r="C307">
        <v>25.84</v>
      </c>
      <c r="D307">
        <v>0</v>
      </c>
      <c r="E307" t="s">
        <v>10</v>
      </c>
      <c r="F307" t="s">
        <v>13</v>
      </c>
      <c r="G307" s="2">
        <v>4441.2131499999996</v>
      </c>
      <c r="H307" t="str" cm="1">
        <f t="array" ref="H307">_xlfn.IFS(A307&lt;=30, "Youth", A307&lt;=50, "Adult", A307&gt;50, "Older")</f>
        <v>Youth</v>
      </c>
      <c r="I307" t="str" cm="1">
        <f t="array" ref="I307">_xlfn.IFS(A307&lt;=25,"18-25",A307&lt;=35,"26-35",A307&lt;=45,"36-45",A307&lt;=60,"46-60",A307&gt;60,"60+")</f>
        <v>26-35</v>
      </c>
      <c r="J307" t="str" cm="1">
        <f t="array" ref="J307">_xlfn.IFS(C307&lt;18.5,"Underweight",C307&lt;25,"Normal",C307&lt;30,"Overweight",C307&gt;=30,"Obese")</f>
        <v>Overweight</v>
      </c>
      <c r="K307" t="str" cm="1">
        <f t="array" ref="K307">_xlfn.IFS(G307&lt;10000, "Low", G307&lt;=25000, "Medium", G307&gt;25000, "High")</f>
        <v>Low</v>
      </c>
    </row>
    <row r="308" spans="1:11" x14ac:dyDescent="0.3">
      <c r="A308">
        <v>26</v>
      </c>
      <c r="B308" s="1" t="s">
        <v>7</v>
      </c>
      <c r="C308">
        <v>25.84</v>
      </c>
      <c r="D308">
        <v>0</v>
      </c>
      <c r="E308" t="s">
        <v>10</v>
      </c>
      <c r="F308" t="s">
        <v>11</v>
      </c>
      <c r="G308" s="2">
        <v>4449.4620000000004</v>
      </c>
      <c r="H308" t="str" cm="1">
        <f t="array" ref="H308">_xlfn.IFS(A308&lt;=30, "Youth", A308&lt;=50, "Adult", A308&gt;50, "Older")</f>
        <v>Youth</v>
      </c>
      <c r="I308" t="str" cm="1">
        <f t="array" ref="I308">_xlfn.IFS(A308&lt;=25,"18-25",A308&lt;=35,"26-35",A308&lt;=45,"36-45",A308&lt;=60,"46-60",A308&gt;60,"60+")</f>
        <v>26-35</v>
      </c>
      <c r="J308" t="str" cm="1">
        <f t="array" ref="J308">_xlfn.IFS(C308&lt;18.5,"Underweight",C308&lt;25,"Normal",C308&lt;30,"Overweight",C308&gt;=30,"Obese")</f>
        <v>Overweight</v>
      </c>
      <c r="K308" t="str" cm="1">
        <f t="array" ref="K308">_xlfn.IFS(G308&lt;10000, "Low", G308&lt;=25000, "Medium", G308&gt;25000, "High")</f>
        <v>Low</v>
      </c>
    </row>
    <row r="309" spans="1:11" x14ac:dyDescent="0.3">
      <c r="A309">
        <v>26</v>
      </c>
      <c r="B309" s="1" t="s">
        <v>7</v>
      </c>
      <c r="C309">
        <v>25.84</v>
      </c>
      <c r="D309">
        <v>0</v>
      </c>
      <c r="E309" t="s">
        <v>10</v>
      </c>
      <c r="F309" t="s">
        <v>12</v>
      </c>
      <c r="G309" s="2">
        <v>4454.40265</v>
      </c>
      <c r="H309" t="str" cm="1">
        <f t="array" ref="H309">_xlfn.IFS(A309&lt;=30, "Youth", A309&lt;=50, "Adult", A309&gt;50, "Older")</f>
        <v>Youth</v>
      </c>
      <c r="I309" t="str" cm="1">
        <f t="array" ref="I309">_xlfn.IFS(A309&lt;=25,"18-25",A309&lt;=35,"26-35",A309&lt;=45,"36-45",A309&lt;=60,"46-60",A309&gt;60,"60+")</f>
        <v>26-35</v>
      </c>
      <c r="J309" t="str" cm="1">
        <f t="array" ref="J309">_xlfn.IFS(C309&lt;18.5,"Underweight",C309&lt;25,"Normal",C309&lt;30,"Overweight",C309&gt;=30,"Obese")</f>
        <v>Overweight</v>
      </c>
      <c r="K309" t="str" cm="1">
        <f t="array" ref="K309">_xlfn.IFS(G309&lt;10000, "Low", G309&lt;=25000, "Medium", G309&gt;25000, "High")</f>
        <v>Low</v>
      </c>
    </row>
    <row r="310" spans="1:11" x14ac:dyDescent="0.3">
      <c r="A310">
        <v>26</v>
      </c>
      <c r="B310" s="1" t="s">
        <v>8</v>
      </c>
      <c r="C310">
        <v>25.84</v>
      </c>
      <c r="D310">
        <v>0</v>
      </c>
      <c r="E310" t="s">
        <v>10</v>
      </c>
      <c r="F310" t="s">
        <v>14</v>
      </c>
      <c r="G310" s="2">
        <v>4462.7218000000003</v>
      </c>
      <c r="H310" t="str" cm="1">
        <f t="array" ref="H310">_xlfn.IFS(A310&lt;=30, "Youth", A310&lt;=50, "Adult", A310&gt;50, "Older")</f>
        <v>Youth</v>
      </c>
      <c r="I310" t="str" cm="1">
        <f t="array" ref="I310">_xlfn.IFS(A310&lt;=25,"18-25",A310&lt;=35,"26-35",A310&lt;=45,"36-45",A310&lt;=60,"46-60",A310&gt;60,"60+")</f>
        <v>26-35</v>
      </c>
      <c r="J310" t="str" cm="1">
        <f t="array" ref="J310">_xlfn.IFS(C310&lt;18.5,"Underweight",C310&lt;25,"Normal",C310&lt;30,"Overweight",C310&gt;=30,"Obese")</f>
        <v>Overweight</v>
      </c>
      <c r="K310" t="str" cm="1">
        <f t="array" ref="K310">_xlfn.IFS(G310&lt;10000, "Low", G310&lt;=25000, "Medium", G310&gt;25000, "High")</f>
        <v>Low</v>
      </c>
    </row>
    <row r="311" spans="1:11" x14ac:dyDescent="0.3">
      <c r="A311">
        <v>26</v>
      </c>
      <c r="B311" s="1" t="s">
        <v>7</v>
      </c>
      <c r="C311">
        <v>25.84</v>
      </c>
      <c r="D311">
        <v>0</v>
      </c>
      <c r="E311" t="s">
        <v>10</v>
      </c>
      <c r="F311" t="s">
        <v>13</v>
      </c>
      <c r="G311" s="2">
        <v>4463.2051000000001</v>
      </c>
      <c r="H311" t="str" cm="1">
        <f t="array" ref="H311">_xlfn.IFS(A311&lt;=30, "Youth", A311&lt;=50, "Adult", A311&gt;50, "Older")</f>
        <v>Youth</v>
      </c>
      <c r="I311" t="str" cm="1">
        <f t="array" ref="I311">_xlfn.IFS(A311&lt;=25,"18-25",A311&lt;=35,"26-35",A311&lt;=45,"36-45",A311&lt;=60,"46-60",A311&gt;60,"60+")</f>
        <v>26-35</v>
      </c>
      <c r="J311" t="str" cm="1">
        <f t="array" ref="J311">_xlfn.IFS(C311&lt;18.5,"Underweight",C311&lt;25,"Normal",C311&lt;30,"Overweight",C311&gt;=30,"Obese")</f>
        <v>Overweight</v>
      </c>
      <c r="K311" t="str" cm="1">
        <f t="array" ref="K311">_xlfn.IFS(G311&lt;10000, "Low", G311&lt;=25000, "Medium", G311&gt;25000, "High")</f>
        <v>Low</v>
      </c>
    </row>
    <row r="312" spans="1:11" x14ac:dyDescent="0.3">
      <c r="A312">
        <v>26</v>
      </c>
      <c r="B312" s="1" t="s">
        <v>8</v>
      </c>
      <c r="C312">
        <v>25.85</v>
      </c>
      <c r="D312">
        <v>0</v>
      </c>
      <c r="E312" t="s">
        <v>10</v>
      </c>
      <c r="F312" t="s">
        <v>11</v>
      </c>
      <c r="G312" s="2">
        <v>4466.6214</v>
      </c>
      <c r="H312" t="str" cm="1">
        <f t="array" ref="H312">_xlfn.IFS(A312&lt;=30, "Youth", A312&lt;=50, "Adult", A312&gt;50, "Older")</f>
        <v>Youth</v>
      </c>
      <c r="I312" t="str" cm="1">
        <f t="array" ref="I312">_xlfn.IFS(A312&lt;=25,"18-25",A312&lt;=35,"26-35",A312&lt;=45,"36-45",A312&lt;=60,"46-60",A312&gt;60,"60+")</f>
        <v>26-35</v>
      </c>
      <c r="J312" t="str" cm="1">
        <f t="array" ref="J312">_xlfn.IFS(C312&lt;18.5,"Underweight",C312&lt;25,"Normal",C312&lt;30,"Overweight",C312&gt;=30,"Obese")</f>
        <v>Overweight</v>
      </c>
      <c r="K312" t="str" cm="1">
        <f t="array" ref="K312">_xlfn.IFS(G312&lt;10000, "Low", G312&lt;=25000, "Medium", G312&gt;25000, "High")</f>
        <v>Low</v>
      </c>
    </row>
    <row r="313" spans="1:11" x14ac:dyDescent="0.3">
      <c r="A313">
        <v>26</v>
      </c>
      <c r="B313" s="1" t="s">
        <v>7</v>
      </c>
      <c r="C313">
        <v>25.9</v>
      </c>
      <c r="D313">
        <v>0</v>
      </c>
      <c r="E313" t="s">
        <v>10</v>
      </c>
      <c r="F313" t="s">
        <v>11</v>
      </c>
      <c r="G313" s="2">
        <v>4500.33925</v>
      </c>
      <c r="H313" t="str" cm="1">
        <f t="array" ref="H313">_xlfn.IFS(A313&lt;=30, "Youth", A313&lt;=50, "Adult", A313&gt;50, "Older")</f>
        <v>Youth</v>
      </c>
      <c r="I313" t="str" cm="1">
        <f t="array" ref="I313">_xlfn.IFS(A313&lt;=25,"18-25",A313&lt;=35,"26-35",A313&lt;=45,"36-45",A313&lt;=60,"46-60",A313&gt;60,"60+")</f>
        <v>26-35</v>
      </c>
      <c r="J313" t="str" cm="1">
        <f t="array" ref="J313">_xlfn.IFS(C313&lt;18.5,"Underweight",C313&lt;25,"Normal",C313&lt;30,"Overweight",C313&gt;=30,"Obese")</f>
        <v>Overweight</v>
      </c>
      <c r="K313" t="str" cm="1">
        <f t="array" ref="K313">_xlfn.IFS(G313&lt;10000, "Low", G313&lt;=25000, "Medium", G313&gt;25000, "High")</f>
        <v>Low</v>
      </c>
    </row>
    <row r="314" spans="1:11" x14ac:dyDescent="0.3">
      <c r="A314">
        <v>26</v>
      </c>
      <c r="B314" s="1" t="s">
        <v>8</v>
      </c>
      <c r="C314">
        <v>25.9</v>
      </c>
      <c r="D314">
        <v>0</v>
      </c>
      <c r="E314" t="s">
        <v>9</v>
      </c>
      <c r="F314" t="s">
        <v>12</v>
      </c>
      <c r="G314" s="2">
        <v>4504.6624000000002</v>
      </c>
      <c r="H314" t="str" cm="1">
        <f t="array" ref="H314">_xlfn.IFS(A314&lt;=30, "Youth", A314&lt;=50, "Adult", A314&gt;50, "Older")</f>
        <v>Youth</v>
      </c>
      <c r="I314" t="str" cm="1">
        <f t="array" ref="I314">_xlfn.IFS(A314&lt;=25,"18-25",A314&lt;=35,"26-35",A314&lt;=45,"36-45",A314&lt;=60,"46-60",A314&gt;60,"60+")</f>
        <v>26-35</v>
      </c>
      <c r="J314" t="str" cm="1">
        <f t="array" ref="J314">_xlfn.IFS(C314&lt;18.5,"Underweight",C314&lt;25,"Normal",C314&lt;30,"Overweight",C314&gt;=30,"Obese")</f>
        <v>Overweight</v>
      </c>
      <c r="K314" t="str" cm="1">
        <f t="array" ref="K314">_xlfn.IFS(G314&lt;10000, "Low", G314&lt;=25000, "Medium", G314&gt;25000, "High")</f>
        <v>Low</v>
      </c>
    </row>
    <row r="315" spans="1:11" x14ac:dyDescent="0.3">
      <c r="A315">
        <v>26</v>
      </c>
      <c r="B315" s="1" t="s">
        <v>8</v>
      </c>
      <c r="C315">
        <v>25.9</v>
      </c>
      <c r="D315">
        <v>0</v>
      </c>
      <c r="E315" t="s">
        <v>10</v>
      </c>
      <c r="F315" t="s">
        <v>12</v>
      </c>
      <c r="G315" s="2">
        <v>4518.8262500000001</v>
      </c>
      <c r="H315" t="str" cm="1">
        <f t="array" ref="H315">_xlfn.IFS(A315&lt;=30, "Youth", A315&lt;=50, "Adult", A315&gt;50, "Older")</f>
        <v>Youth</v>
      </c>
      <c r="I315" t="str" cm="1">
        <f t="array" ref="I315">_xlfn.IFS(A315&lt;=25,"18-25",A315&lt;=35,"26-35",A315&lt;=45,"36-45",A315&lt;=60,"46-60",A315&gt;60,"60+")</f>
        <v>26-35</v>
      </c>
      <c r="J315" t="str" cm="1">
        <f t="array" ref="J315">_xlfn.IFS(C315&lt;18.5,"Underweight",C315&lt;25,"Normal",C315&lt;30,"Overweight",C315&gt;=30,"Obese")</f>
        <v>Overweight</v>
      </c>
      <c r="K315" t="str" cm="1">
        <f t="array" ref="K315">_xlfn.IFS(G315&lt;10000, "Low", G315&lt;=25000, "Medium", G315&gt;25000, "High")</f>
        <v>Low</v>
      </c>
    </row>
    <row r="316" spans="1:11" x14ac:dyDescent="0.3">
      <c r="A316">
        <v>26</v>
      </c>
      <c r="B316" s="1" t="s">
        <v>7</v>
      </c>
      <c r="C316">
        <v>25.934999999999999</v>
      </c>
      <c r="D316">
        <v>0</v>
      </c>
      <c r="E316" t="s">
        <v>9</v>
      </c>
      <c r="F316" t="s">
        <v>11</v>
      </c>
      <c r="G316" s="2">
        <v>4527.1829500000003</v>
      </c>
      <c r="H316" t="str" cm="1">
        <f t="array" ref="H316">_xlfn.IFS(A316&lt;=30, "Youth", A316&lt;=50, "Adult", A316&gt;50, "Older")</f>
        <v>Youth</v>
      </c>
      <c r="I316" t="str" cm="1">
        <f t="array" ref="I316">_xlfn.IFS(A316&lt;=25,"18-25",A316&lt;=35,"26-35",A316&lt;=45,"36-45",A316&lt;=60,"46-60",A316&gt;60,"60+")</f>
        <v>26-35</v>
      </c>
      <c r="J316" t="str" cm="1">
        <f t="array" ref="J316">_xlfn.IFS(C316&lt;18.5,"Underweight",C316&lt;25,"Normal",C316&lt;30,"Overweight",C316&gt;=30,"Obese")</f>
        <v>Overweight</v>
      </c>
      <c r="K316" t="str" cm="1">
        <f t="array" ref="K316">_xlfn.IFS(G316&lt;10000, "Low", G316&lt;=25000, "Medium", G316&gt;25000, "High")</f>
        <v>Low</v>
      </c>
    </row>
    <row r="317" spans="1:11" x14ac:dyDescent="0.3">
      <c r="A317">
        <v>26</v>
      </c>
      <c r="B317" s="1" t="s">
        <v>8</v>
      </c>
      <c r="C317">
        <v>25.934999999999999</v>
      </c>
      <c r="D317">
        <v>0</v>
      </c>
      <c r="E317" t="s">
        <v>10</v>
      </c>
      <c r="F317" t="s">
        <v>14</v>
      </c>
      <c r="G317" s="2">
        <v>4529.4769999999999</v>
      </c>
      <c r="H317" t="str" cm="1">
        <f t="array" ref="H317">_xlfn.IFS(A317&lt;=30, "Youth", A317&lt;=50, "Adult", A317&gt;50, "Older")</f>
        <v>Youth</v>
      </c>
      <c r="I317" t="str" cm="1">
        <f t="array" ref="I317">_xlfn.IFS(A317&lt;=25,"18-25",A317&lt;=35,"26-35",A317&lt;=45,"36-45",A317&lt;=60,"46-60",A317&gt;60,"60+")</f>
        <v>26-35</v>
      </c>
      <c r="J317" t="str" cm="1">
        <f t="array" ref="J317">_xlfn.IFS(C317&lt;18.5,"Underweight",C317&lt;25,"Normal",C317&lt;30,"Overweight",C317&gt;=30,"Obese")</f>
        <v>Overweight</v>
      </c>
      <c r="K317" t="str" cm="1">
        <f t="array" ref="K317">_xlfn.IFS(G317&lt;10000, "Low", G317&lt;=25000, "Medium", G317&gt;25000, "High")</f>
        <v>Low</v>
      </c>
    </row>
    <row r="318" spans="1:11" x14ac:dyDescent="0.3">
      <c r="A318">
        <v>26</v>
      </c>
      <c r="B318" s="1" t="s">
        <v>8</v>
      </c>
      <c r="C318">
        <v>25.934999999999999</v>
      </c>
      <c r="D318">
        <v>0</v>
      </c>
      <c r="E318" t="s">
        <v>10</v>
      </c>
      <c r="F318" t="s">
        <v>13</v>
      </c>
      <c r="G318" s="2">
        <v>4536.259</v>
      </c>
      <c r="H318" t="str" cm="1">
        <f t="array" ref="H318">_xlfn.IFS(A318&lt;=30, "Youth", A318&lt;=50, "Adult", A318&gt;50, "Older")</f>
        <v>Youth</v>
      </c>
      <c r="I318" t="str" cm="1">
        <f t="array" ref="I318">_xlfn.IFS(A318&lt;=25,"18-25",A318&lt;=35,"26-35",A318&lt;=45,"36-45",A318&lt;=60,"46-60",A318&gt;60,"60+")</f>
        <v>26-35</v>
      </c>
      <c r="J318" t="str" cm="1">
        <f t="array" ref="J318">_xlfn.IFS(C318&lt;18.5,"Underweight",C318&lt;25,"Normal",C318&lt;30,"Overweight",C318&gt;=30,"Obese")</f>
        <v>Overweight</v>
      </c>
      <c r="K318" t="str" cm="1">
        <f t="array" ref="K318">_xlfn.IFS(G318&lt;10000, "Low", G318&lt;=25000, "Medium", G318&gt;25000, "High")</f>
        <v>Low</v>
      </c>
    </row>
    <row r="319" spans="1:11" x14ac:dyDescent="0.3">
      <c r="A319">
        <v>26</v>
      </c>
      <c r="B319" s="1" t="s">
        <v>8</v>
      </c>
      <c r="C319">
        <v>26.03</v>
      </c>
      <c r="D319">
        <v>0</v>
      </c>
      <c r="E319" t="s">
        <v>10</v>
      </c>
      <c r="F319" t="s">
        <v>14</v>
      </c>
      <c r="G319" s="2">
        <v>4544.2348000000002</v>
      </c>
      <c r="H319" t="str" cm="1">
        <f t="array" ref="H319">_xlfn.IFS(A319&lt;=30, "Youth", A319&lt;=50, "Adult", A319&gt;50, "Older")</f>
        <v>Youth</v>
      </c>
      <c r="I319" t="str" cm="1">
        <f t="array" ref="I319">_xlfn.IFS(A319&lt;=25,"18-25",A319&lt;=35,"26-35",A319&lt;=45,"36-45",A319&lt;=60,"46-60",A319&gt;60,"60+")</f>
        <v>26-35</v>
      </c>
      <c r="J319" t="str" cm="1">
        <f t="array" ref="J319">_xlfn.IFS(C319&lt;18.5,"Underweight",C319&lt;25,"Normal",C319&lt;30,"Overweight",C319&gt;=30,"Obese")</f>
        <v>Overweight</v>
      </c>
      <c r="K319" t="str" cm="1">
        <f t="array" ref="K319">_xlfn.IFS(G319&lt;10000, "Low", G319&lt;=25000, "Medium", G319&gt;25000, "High")</f>
        <v>Low</v>
      </c>
    </row>
    <row r="320" spans="1:11" x14ac:dyDescent="0.3">
      <c r="A320">
        <v>26</v>
      </c>
      <c r="B320" s="1" t="s">
        <v>7</v>
      </c>
      <c r="C320">
        <v>26.03</v>
      </c>
      <c r="D320">
        <v>0</v>
      </c>
      <c r="E320" t="s">
        <v>10</v>
      </c>
      <c r="F320" t="s">
        <v>13</v>
      </c>
      <c r="G320" s="2">
        <v>4561.1885000000002</v>
      </c>
      <c r="H320" t="str" cm="1">
        <f t="array" ref="H320">_xlfn.IFS(A320&lt;=30, "Youth", A320&lt;=50, "Adult", A320&gt;50, "Older")</f>
        <v>Youth</v>
      </c>
      <c r="I320" t="str" cm="1">
        <f t="array" ref="I320">_xlfn.IFS(A320&lt;=25,"18-25",A320&lt;=35,"26-35",A320&lt;=45,"36-45",A320&lt;=60,"46-60",A320&gt;60,"60+")</f>
        <v>26-35</v>
      </c>
      <c r="J320" t="str" cm="1">
        <f t="array" ref="J320">_xlfn.IFS(C320&lt;18.5,"Underweight",C320&lt;25,"Normal",C320&lt;30,"Overweight",C320&gt;=30,"Obese")</f>
        <v>Overweight</v>
      </c>
      <c r="K320" t="str" cm="1">
        <f t="array" ref="K320">_xlfn.IFS(G320&lt;10000, "Low", G320&lt;=25000, "Medium", G320&gt;25000, "High")</f>
        <v>Low</v>
      </c>
    </row>
    <row r="321" spans="1:11" x14ac:dyDescent="0.3">
      <c r="A321">
        <v>26</v>
      </c>
      <c r="B321" s="1" t="s">
        <v>8</v>
      </c>
      <c r="C321">
        <v>26.03</v>
      </c>
      <c r="D321">
        <v>0</v>
      </c>
      <c r="E321" t="s">
        <v>10</v>
      </c>
      <c r="F321" t="s">
        <v>14</v>
      </c>
      <c r="G321" s="2">
        <v>4562.8420999999998</v>
      </c>
      <c r="H321" t="str" cm="1">
        <f t="array" ref="H321">_xlfn.IFS(A321&lt;=30, "Youth", A321&lt;=50, "Adult", A321&gt;50, "Older")</f>
        <v>Youth</v>
      </c>
      <c r="I321" t="str" cm="1">
        <f t="array" ref="I321">_xlfn.IFS(A321&lt;=25,"18-25",A321&lt;=35,"26-35",A321&lt;=45,"36-45",A321&lt;=60,"46-60",A321&gt;60,"60+")</f>
        <v>26-35</v>
      </c>
      <c r="J321" t="str" cm="1">
        <f t="array" ref="J321">_xlfn.IFS(C321&lt;18.5,"Underweight",C321&lt;25,"Normal",C321&lt;30,"Overweight",C321&gt;=30,"Obese")</f>
        <v>Overweight</v>
      </c>
      <c r="K321" t="str" cm="1">
        <f t="array" ref="K321">_xlfn.IFS(G321&lt;10000, "Low", G321&lt;=25000, "Medium", G321&gt;25000, "High")</f>
        <v>Low</v>
      </c>
    </row>
    <row r="322" spans="1:11" x14ac:dyDescent="0.3">
      <c r="A322">
        <v>26</v>
      </c>
      <c r="B322" s="1" t="s">
        <v>8</v>
      </c>
      <c r="C322">
        <v>26.03</v>
      </c>
      <c r="D322">
        <v>0</v>
      </c>
      <c r="E322" t="s">
        <v>10</v>
      </c>
      <c r="F322" t="s">
        <v>13</v>
      </c>
      <c r="G322" s="2">
        <v>4564.1914500000003</v>
      </c>
      <c r="H322" t="str" cm="1">
        <f t="array" ref="H322">_xlfn.IFS(A322&lt;=30, "Youth", A322&lt;=50, "Adult", A322&gt;50, "Older")</f>
        <v>Youth</v>
      </c>
      <c r="I322" t="str" cm="1">
        <f t="array" ref="I322">_xlfn.IFS(A322&lt;=25,"18-25",A322&lt;=35,"26-35",A322&lt;=45,"36-45",A322&lt;=60,"46-60",A322&gt;60,"60+")</f>
        <v>26-35</v>
      </c>
      <c r="J322" t="str" cm="1">
        <f t="array" ref="J322">_xlfn.IFS(C322&lt;18.5,"Underweight",C322&lt;25,"Normal",C322&lt;30,"Overweight",C322&gt;=30,"Obese")</f>
        <v>Overweight</v>
      </c>
      <c r="K322" t="str" cm="1">
        <f t="array" ref="K322">_xlfn.IFS(G322&lt;10000, "Low", G322&lt;=25000, "Medium", G322&gt;25000, "High")</f>
        <v>Low</v>
      </c>
    </row>
    <row r="323" spans="1:11" x14ac:dyDescent="0.3">
      <c r="A323">
        <v>26</v>
      </c>
      <c r="B323" s="1" t="s">
        <v>7</v>
      </c>
      <c r="C323">
        <v>26.03</v>
      </c>
      <c r="D323">
        <v>0</v>
      </c>
      <c r="E323" t="s">
        <v>10</v>
      </c>
      <c r="F323" t="s">
        <v>14</v>
      </c>
      <c r="G323" s="2">
        <v>4571.4130500000001</v>
      </c>
      <c r="H323" t="str" cm="1">
        <f t="array" ref="H323">_xlfn.IFS(A323&lt;=30, "Youth", A323&lt;=50, "Adult", A323&gt;50, "Older")</f>
        <v>Youth</v>
      </c>
      <c r="I323" t="str" cm="1">
        <f t="array" ref="I323">_xlfn.IFS(A323&lt;=25,"18-25",A323&lt;=35,"26-35",A323&lt;=45,"36-45",A323&lt;=60,"46-60",A323&gt;60,"60+")</f>
        <v>26-35</v>
      </c>
      <c r="J323" t="str" cm="1">
        <f t="array" ref="J323">_xlfn.IFS(C323&lt;18.5,"Underweight",C323&lt;25,"Normal",C323&lt;30,"Overweight",C323&gt;=30,"Obese")</f>
        <v>Overweight</v>
      </c>
      <c r="K323" t="str" cm="1">
        <f t="array" ref="K323">_xlfn.IFS(G323&lt;10000, "Low", G323&lt;=25000, "Medium", G323&gt;25000, "High")</f>
        <v>Low</v>
      </c>
    </row>
    <row r="324" spans="1:11" x14ac:dyDescent="0.3">
      <c r="A324">
        <v>26</v>
      </c>
      <c r="B324" s="1" t="s">
        <v>8</v>
      </c>
      <c r="C324">
        <v>26.07</v>
      </c>
      <c r="D324">
        <v>0</v>
      </c>
      <c r="E324" t="s">
        <v>9</v>
      </c>
      <c r="F324" t="s">
        <v>11</v>
      </c>
      <c r="G324" s="2">
        <v>4618.0798999999997</v>
      </c>
      <c r="H324" t="str" cm="1">
        <f t="array" ref="H324">_xlfn.IFS(A324&lt;=30, "Youth", A324&lt;=50, "Adult", A324&gt;50, "Older")</f>
        <v>Youth</v>
      </c>
      <c r="I324" t="str" cm="1">
        <f t="array" ref="I324">_xlfn.IFS(A324&lt;=25,"18-25",A324&lt;=35,"26-35",A324&lt;=45,"36-45",A324&lt;=60,"46-60",A324&gt;60,"60+")</f>
        <v>26-35</v>
      </c>
      <c r="J324" t="str" cm="1">
        <f t="array" ref="J324">_xlfn.IFS(C324&lt;18.5,"Underweight",C324&lt;25,"Normal",C324&lt;30,"Overweight",C324&gt;=30,"Obese")</f>
        <v>Overweight</v>
      </c>
      <c r="K324" t="str" cm="1">
        <f t="array" ref="K324">_xlfn.IFS(G324&lt;10000, "Low", G324&lt;=25000, "Medium", G324&gt;25000, "High")</f>
        <v>Low</v>
      </c>
    </row>
    <row r="325" spans="1:11" x14ac:dyDescent="0.3">
      <c r="A325">
        <v>26</v>
      </c>
      <c r="B325" s="1" t="s">
        <v>8</v>
      </c>
      <c r="C325">
        <v>26.125</v>
      </c>
      <c r="D325">
        <v>0</v>
      </c>
      <c r="E325" t="s">
        <v>10</v>
      </c>
      <c r="F325" t="s">
        <v>14</v>
      </c>
      <c r="G325" s="2">
        <v>4646.759</v>
      </c>
      <c r="H325" t="str" cm="1">
        <f t="array" ref="H325">_xlfn.IFS(A325&lt;=30, "Youth", A325&lt;=50, "Adult", A325&gt;50, "Older")</f>
        <v>Youth</v>
      </c>
      <c r="I325" t="str" cm="1">
        <f t="array" ref="I325">_xlfn.IFS(A325&lt;=25,"18-25",A325&lt;=35,"26-35",A325&lt;=45,"36-45",A325&lt;=60,"46-60",A325&gt;60,"60+")</f>
        <v>26-35</v>
      </c>
      <c r="J325" t="str" cm="1">
        <f t="array" ref="J325">_xlfn.IFS(C325&lt;18.5,"Underweight",C325&lt;25,"Normal",C325&lt;30,"Overweight",C325&gt;=30,"Obese")</f>
        <v>Overweight</v>
      </c>
      <c r="K325" t="str" cm="1">
        <f t="array" ref="K325">_xlfn.IFS(G325&lt;10000, "Low", G325&lt;=25000, "Medium", G325&gt;25000, "High")</f>
        <v>Low</v>
      </c>
    </row>
    <row r="326" spans="1:11" x14ac:dyDescent="0.3">
      <c r="A326">
        <v>26</v>
      </c>
      <c r="B326" s="1" t="s">
        <v>8</v>
      </c>
      <c r="C326">
        <v>26.125</v>
      </c>
      <c r="D326">
        <v>0</v>
      </c>
      <c r="E326" t="s">
        <v>10</v>
      </c>
      <c r="F326" t="s">
        <v>11</v>
      </c>
      <c r="G326" s="2">
        <v>4661.2863500000003</v>
      </c>
      <c r="H326" t="str" cm="1">
        <f t="array" ref="H326">_xlfn.IFS(A326&lt;=30, "Youth", A326&lt;=50, "Adult", A326&gt;50, "Older")</f>
        <v>Youth</v>
      </c>
      <c r="I326" t="str" cm="1">
        <f t="array" ref="I326">_xlfn.IFS(A326&lt;=25,"18-25",A326&lt;=35,"26-35",A326&lt;=45,"36-45",A326&lt;=60,"46-60",A326&gt;60,"60+")</f>
        <v>26-35</v>
      </c>
      <c r="J326" t="str" cm="1">
        <f t="array" ref="J326">_xlfn.IFS(C326&lt;18.5,"Underweight",C326&lt;25,"Normal",C326&lt;30,"Overweight",C326&gt;=30,"Obese")</f>
        <v>Overweight</v>
      </c>
      <c r="K326" t="str" cm="1">
        <f t="array" ref="K326">_xlfn.IFS(G326&lt;10000, "Low", G326&lt;=25000, "Medium", G326&gt;25000, "High")</f>
        <v>Low</v>
      </c>
    </row>
    <row r="327" spans="1:11" x14ac:dyDescent="0.3">
      <c r="A327">
        <v>26</v>
      </c>
      <c r="B327" s="1" t="s">
        <v>8</v>
      </c>
      <c r="C327">
        <v>26.125</v>
      </c>
      <c r="D327">
        <v>0</v>
      </c>
      <c r="E327" t="s">
        <v>10</v>
      </c>
      <c r="F327" t="s">
        <v>14</v>
      </c>
      <c r="G327" s="2">
        <v>4667.6076499999999</v>
      </c>
      <c r="H327" t="str" cm="1">
        <f t="array" ref="H327">_xlfn.IFS(A327&lt;=30, "Youth", A327&lt;=50, "Adult", A327&gt;50, "Older")</f>
        <v>Youth</v>
      </c>
      <c r="I327" t="str" cm="1">
        <f t="array" ref="I327">_xlfn.IFS(A327&lt;=25,"18-25",A327&lt;=35,"26-35",A327&lt;=45,"36-45",A327&lt;=60,"46-60",A327&gt;60,"60+")</f>
        <v>26-35</v>
      </c>
      <c r="J327" t="str" cm="1">
        <f t="array" ref="J327">_xlfn.IFS(C327&lt;18.5,"Underweight",C327&lt;25,"Normal",C327&lt;30,"Overweight",C327&gt;=30,"Obese")</f>
        <v>Overweight</v>
      </c>
      <c r="K327" t="str" cm="1">
        <f t="array" ref="K327">_xlfn.IFS(G327&lt;10000, "Low", G327&lt;=25000, "Medium", G327&gt;25000, "High")</f>
        <v>Low</v>
      </c>
    </row>
    <row r="328" spans="1:11" x14ac:dyDescent="0.3">
      <c r="A328">
        <v>26</v>
      </c>
      <c r="B328" s="1" t="s">
        <v>7</v>
      </c>
      <c r="C328">
        <v>26.125</v>
      </c>
      <c r="D328">
        <v>0</v>
      </c>
      <c r="E328" t="s">
        <v>10</v>
      </c>
      <c r="F328" t="s">
        <v>12</v>
      </c>
      <c r="G328" s="2">
        <v>4670.6400000000003</v>
      </c>
      <c r="H328" t="str" cm="1">
        <f t="array" ref="H328">_xlfn.IFS(A328&lt;=30, "Youth", A328&lt;=50, "Adult", A328&gt;50, "Older")</f>
        <v>Youth</v>
      </c>
      <c r="I328" t="str" cm="1">
        <f t="array" ref="I328">_xlfn.IFS(A328&lt;=25,"18-25",A328&lt;=35,"26-35",A328&lt;=45,"36-45",A328&lt;=60,"46-60",A328&gt;60,"60+")</f>
        <v>26-35</v>
      </c>
      <c r="J328" t="str" cm="1">
        <f t="array" ref="J328">_xlfn.IFS(C328&lt;18.5,"Underweight",C328&lt;25,"Normal",C328&lt;30,"Overweight",C328&gt;=30,"Obese")</f>
        <v>Overweight</v>
      </c>
      <c r="K328" t="str" cm="1">
        <f t="array" ref="K328">_xlfn.IFS(G328&lt;10000, "Low", G328&lt;=25000, "Medium", G328&gt;25000, "High")</f>
        <v>Low</v>
      </c>
    </row>
    <row r="329" spans="1:11" x14ac:dyDescent="0.3">
      <c r="A329">
        <v>26</v>
      </c>
      <c r="B329" s="1" t="s">
        <v>8</v>
      </c>
      <c r="C329">
        <v>26.18</v>
      </c>
      <c r="D329">
        <v>0</v>
      </c>
      <c r="E329" t="s">
        <v>9</v>
      </c>
      <c r="F329" t="s">
        <v>13</v>
      </c>
      <c r="G329" s="2">
        <v>4673.3922000000002</v>
      </c>
      <c r="H329" t="str" cm="1">
        <f t="array" ref="H329">_xlfn.IFS(A329&lt;=30, "Youth", A329&lt;=50, "Adult", A329&gt;50, "Older")</f>
        <v>Youth</v>
      </c>
      <c r="I329" t="str" cm="1">
        <f t="array" ref="I329">_xlfn.IFS(A329&lt;=25,"18-25",A329&lt;=35,"26-35",A329&lt;=45,"36-45",A329&lt;=60,"46-60",A329&gt;60,"60+")</f>
        <v>26-35</v>
      </c>
      <c r="J329" t="str" cm="1">
        <f t="array" ref="J329">_xlfn.IFS(C329&lt;18.5,"Underweight",C329&lt;25,"Normal",C329&lt;30,"Overweight",C329&gt;=30,"Obese")</f>
        <v>Overweight</v>
      </c>
      <c r="K329" t="str" cm="1">
        <f t="array" ref="K329">_xlfn.IFS(G329&lt;10000, "Low", G329&lt;=25000, "Medium", G329&gt;25000, "High")</f>
        <v>Low</v>
      </c>
    </row>
    <row r="330" spans="1:11" x14ac:dyDescent="0.3">
      <c r="A330">
        <v>26</v>
      </c>
      <c r="B330" s="1" t="s">
        <v>7</v>
      </c>
      <c r="C330">
        <v>26.18</v>
      </c>
      <c r="D330">
        <v>0</v>
      </c>
      <c r="E330" t="s">
        <v>9</v>
      </c>
      <c r="F330" t="s">
        <v>11</v>
      </c>
      <c r="G330" s="2">
        <v>4686.3887000000004</v>
      </c>
      <c r="H330" t="str" cm="1">
        <f t="array" ref="H330">_xlfn.IFS(A330&lt;=30, "Youth", A330&lt;=50, "Adult", A330&gt;50, "Older")</f>
        <v>Youth</v>
      </c>
      <c r="I330" t="str" cm="1">
        <f t="array" ref="I330">_xlfn.IFS(A330&lt;=25,"18-25",A330&lt;=35,"26-35",A330&lt;=45,"36-45",A330&lt;=60,"46-60",A330&gt;60,"60+")</f>
        <v>26-35</v>
      </c>
      <c r="J330" t="str" cm="1">
        <f t="array" ref="J330">_xlfn.IFS(C330&lt;18.5,"Underweight",C330&lt;25,"Normal",C330&lt;30,"Overweight",C330&gt;=30,"Obese")</f>
        <v>Overweight</v>
      </c>
      <c r="K330" t="str" cm="1">
        <f t="array" ref="K330">_xlfn.IFS(G330&lt;10000, "Low", G330&lt;=25000, "Medium", G330&gt;25000, "High")</f>
        <v>Low</v>
      </c>
    </row>
    <row r="331" spans="1:11" x14ac:dyDescent="0.3">
      <c r="A331">
        <v>26</v>
      </c>
      <c r="B331" s="1" t="s">
        <v>8</v>
      </c>
      <c r="C331">
        <v>26.2</v>
      </c>
      <c r="D331">
        <v>0</v>
      </c>
      <c r="E331" t="s">
        <v>10</v>
      </c>
      <c r="F331" t="s">
        <v>11</v>
      </c>
      <c r="G331" s="2">
        <v>4687.7969999999996</v>
      </c>
      <c r="H331" t="str" cm="1">
        <f t="array" ref="H331">_xlfn.IFS(A331&lt;=30, "Youth", A331&lt;=50, "Adult", A331&gt;50, "Older")</f>
        <v>Youth</v>
      </c>
      <c r="I331" t="str" cm="1">
        <f t="array" ref="I331">_xlfn.IFS(A331&lt;=25,"18-25",A331&lt;=35,"26-35",A331&lt;=45,"36-45",A331&lt;=60,"46-60",A331&gt;60,"60+")</f>
        <v>26-35</v>
      </c>
      <c r="J331" t="str" cm="1">
        <f t="array" ref="J331">_xlfn.IFS(C331&lt;18.5,"Underweight",C331&lt;25,"Normal",C331&lt;30,"Overweight",C331&gt;=30,"Obese")</f>
        <v>Overweight</v>
      </c>
      <c r="K331" t="str" cm="1">
        <f t="array" ref="K331">_xlfn.IFS(G331&lt;10000, "Low", G331&lt;=25000, "Medium", G331&gt;25000, "High")</f>
        <v>Low</v>
      </c>
    </row>
    <row r="332" spans="1:11" x14ac:dyDescent="0.3">
      <c r="A332">
        <v>26</v>
      </c>
      <c r="B332" s="1" t="s">
        <v>7</v>
      </c>
      <c r="C332">
        <v>26.22</v>
      </c>
      <c r="D332">
        <v>0</v>
      </c>
      <c r="E332" t="s">
        <v>9</v>
      </c>
      <c r="F332" t="s">
        <v>14</v>
      </c>
      <c r="G332" s="2">
        <v>4718.2035500000002</v>
      </c>
      <c r="H332" t="str" cm="1">
        <f t="array" ref="H332">_xlfn.IFS(A332&lt;=30, "Youth", A332&lt;=50, "Adult", A332&gt;50, "Older")</f>
        <v>Youth</v>
      </c>
      <c r="I332" t="str" cm="1">
        <f t="array" ref="I332">_xlfn.IFS(A332&lt;=25,"18-25",A332&lt;=35,"26-35",A332&lt;=45,"36-45",A332&lt;=60,"46-60",A332&gt;60,"60+")</f>
        <v>26-35</v>
      </c>
      <c r="J332" t="str" cm="1">
        <f t="array" ref="J332">_xlfn.IFS(C332&lt;18.5,"Underweight",C332&lt;25,"Normal",C332&lt;30,"Overweight",C332&gt;=30,"Obese")</f>
        <v>Overweight</v>
      </c>
      <c r="K332" t="str" cm="1">
        <f t="array" ref="K332">_xlfn.IFS(G332&lt;10000, "Low", G332&lt;=25000, "Medium", G332&gt;25000, "High")</f>
        <v>Low</v>
      </c>
    </row>
    <row r="333" spans="1:11" x14ac:dyDescent="0.3">
      <c r="A333">
        <v>26</v>
      </c>
      <c r="B333" s="1" t="s">
        <v>8</v>
      </c>
      <c r="C333">
        <v>26.22</v>
      </c>
      <c r="D333">
        <v>0</v>
      </c>
      <c r="E333" t="s">
        <v>9</v>
      </c>
      <c r="F333" t="s">
        <v>13</v>
      </c>
      <c r="G333" s="2">
        <v>4719.52405</v>
      </c>
      <c r="H333" t="str" cm="1">
        <f t="array" ref="H333">_xlfn.IFS(A333&lt;=30, "Youth", A333&lt;=50, "Adult", A333&gt;50, "Older")</f>
        <v>Youth</v>
      </c>
      <c r="I333" t="str" cm="1">
        <f t="array" ref="I333">_xlfn.IFS(A333&lt;=25,"18-25",A333&lt;=35,"26-35",A333&lt;=45,"36-45",A333&lt;=60,"46-60",A333&gt;60,"60+")</f>
        <v>26-35</v>
      </c>
      <c r="J333" t="str" cm="1">
        <f t="array" ref="J333">_xlfn.IFS(C333&lt;18.5,"Underweight",C333&lt;25,"Normal",C333&lt;30,"Overweight",C333&gt;=30,"Obese")</f>
        <v>Overweight</v>
      </c>
      <c r="K333" t="str" cm="1">
        <f t="array" ref="K333">_xlfn.IFS(G333&lt;10000, "Low", G333&lt;=25000, "Medium", G333&gt;25000, "High")</f>
        <v>Low</v>
      </c>
    </row>
    <row r="334" spans="1:11" x14ac:dyDescent="0.3">
      <c r="A334">
        <v>26</v>
      </c>
      <c r="B334" s="1" t="s">
        <v>7</v>
      </c>
      <c r="C334">
        <v>26.22</v>
      </c>
      <c r="D334">
        <v>0</v>
      </c>
      <c r="E334" t="s">
        <v>10</v>
      </c>
      <c r="F334" t="s">
        <v>13</v>
      </c>
      <c r="G334" s="2">
        <v>4719.7365499999996</v>
      </c>
      <c r="H334" t="str" cm="1">
        <f t="array" ref="H334">_xlfn.IFS(A334&lt;=30, "Youth", A334&lt;=50, "Adult", A334&gt;50, "Older")</f>
        <v>Youth</v>
      </c>
      <c r="I334" t="str" cm="1">
        <f t="array" ref="I334">_xlfn.IFS(A334&lt;=25,"18-25",A334&lt;=35,"26-35",A334&lt;=45,"36-45",A334&lt;=60,"46-60",A334&gt;60,"60+")</f>
        <v>26-35</v>
      </c>
      <c r="J334" t="str" cm="1">
        <f t="array" ref="J334">_xlfn.IFS(C334&lt;18.5,"Underweight",C334&lt;25,"Normal",C334&lt;30,"Overweight",C334&gt;=30,"Obese")</f>
        <v>Overweight</v>
      </c>
      <c r="K334" t="str" cm="1">
        <f t="array" ref="K334">_xlfn.IFS(G334&lt;10000, "Low", G334&lt;=25000, "Medium", G334&gt;25000, "High")</f>
        <v>Low</v>
      </c>
    </row>
    <row r="335" spans="1:11" x14ac:dyDescent="0.3">
      <c r="A335">
        <v>27</v>
      </c>
      <c r="B335" s="1" t="s">
        <v>7</v>
      </c>
      <c r="C335">
        <v>26.22</v>
      </c>
      <c r="D335">
        <v>0</v>
      </c>
      <c r="E335" t="s">
        <v>10</v>
      </c>
      <c r="F335" t="s">
        <v>14</v>
      </c>
      <c r="G335" s="2">
        <v>4738.2682000000004</v>
      </c>
      <c r="H335" t="str" cm="1">
        <f t="array" ref="H335">_xlfn.IFS(A335&lt;=30, "Youth", A335&lt;=50, "Adult", A335&gt;50, "Older")</f>
        <v>Youth</v>
      </c>
      <c r="I335" t="str" cm="1">
        <f t="array" ref="I335">_xlfn.IFS(A335&lt;=25,"18-25",A335&lt;=35,"26-35",A335&lt;=45,"36-45",A335&lt;=60,"46-60",A335&gt;60,"60+")</f>
        <v>26-35</v>
      </c>
      <c r="J335" t="str" cm="1">
        <f t="array" ref="J335">_xlfn.IFS(C335&lt;18.5,"Underweight",C335&lt;25,"Normal",C335&lt;30,"Overweight",C335&gt;=30,"Obese")</f>
        <v>Overweight</v>
      </c>
      <c r="K335" t="str" cm="1">
        <f t="array" ref="K335">_xlfn.IFS(G335&lt;10000, "Low", G335&lt;=25000, "Medium", G335&gt;25000, "High")</f>
        <v>Low</v>
      </c>
    </row>
    <row r="336" spans="1:11" x14ac:dyDescent="0.3">
      <c r="A336">
        <v>27</v>
      </c>
      <c r="B336" s="1" t="s">
        <v>7</v>
      </c>
      <c r="C336">
        <v>26.29</v>
      </c>
      <c r="D336">
        <v>0</v>
      </c>
      <c r="E336" t="s">
        <v>10</v>
      </c>
      <c r="F336" t="s">
        <v>14</v>
      </c>
      <c r="G336" s="2">
        <v>4746.3440000000001</v>
      </c>
      <c r="H336" t="str" cm="1">
        <f t="array" ref="H336">_xlfn.IFS(A336&lt;=30, "Youth", A336&lt;=50, "Adult", A336&gt;50, "Older")</f>
        <v>Youth</v>
      </c>
      <c r="I336" t="str" cm="1">
        <f t="array" ref="I336">_xlfn.IFS(A336&lt;=25,"18-25",A336&lt;=35,"26-35",A336&lt;=45,"36-45",A336&lt;=60,"46-60",A336&gt;60,"60+")</f>
        <v>26-35</v>
      </c>
      <c r="J336" t="str" cm="1">
        <f t="array" ref="J336">_xlfn.IFS(C336&lt;18.5,"Underweight",C336&lt;25,"Normal",C336&lt;30,"Overweight",C336&gt;=30,"Obese")</f>
        <v>Overweight</v>
      </c>
      <c r="K336" t="str" cm="1">
        <f t="array" ref="K336">_xlfn.IFS(G336&lt;10000, "Low", G336&lt;=25000, "Medium", G336&gt;25000, "High")</f>
        <v>Low</v>
      </c>
    </row>
    <row r="337" spans="1:11" x14ac:dyDescent="0.3">
      <c r="A337">
        <v>27</v>
      </c>
      <c r="B337" s="1" t="s">
        <v>8</v>
      </c>
      <c r="C337">
        <v>26.315000000000001</v>
      </c>
      <c r="D337">
        <v>0</v>
      </c>
      <c r="E337" t="s">
        <v>10</v>
      </c>
      <c r="F337" t="s">
        <v>11</v>
      </c>
      <c r="G337" s="2">
        <v>4747.0528999999997</v>
      </c>
      <c r="H337" t="str" cm="1">
        <f t="array" ref="H337">_xlfn.IFS(A337&lt;=30, "Youth", A337&lt;=50, "Adult", A337&gt;50, "Older")</f>
        <v>Youth</v>
      </c>
      <c r="I337" t="str" cm="1">
        <f t="array" ref="I337">_xlfn.IFS(A337&lt;=25,"18-25",A337&lt;=35,"26-35",A337&lt;=45,"36-45",A337&lt;=60,"46-60",A337&gt;60,"60+")</f>
        <v>26-35</v>
      </c>
      <c r="J337" t="str" cm="1">
        <f t="array" ref="J337">_xlfn.IFS(C337&lt;18.5,"Underweight",C337&lt;25,"Normal",C337&lt;30,"Overweight",C337&gt;=30,"Obese")</f>
        <v>Overweight</v>
      </c>
      <c r="K337" t="str" cm="1">
        <f t="array" ref="K337">_xlfn.IFS(G337&lt;10000, "Low", G337&lt;=25000, "Medium", G337&gt;25000, "High")</f>
        <v>Low</v>
      </c>
    </row>
    <row r="338" spans="1:11" x14ac:dyDescent="0.3">
      <c r="A338">
        <v>27</v>
      </c>
      <c r="B338" s="1" t="s">
        <v>8</v>
      </c>
      <c r="C338">
        <v>26.315000000000001</v>
      </c>
      <c r="D338">
        <v>0</v>
      </c>
      <c r="E338" t="s">
        <v>10</v>
      </c>
      <c r="F338" t="s">
        <v>12</v>
      </c>
      <c r="G338" s="2">
        <v>4751.07</v>
      </c>
      <c r="H338" t="str" cm="1">
        <f t="array" ref="H338">_xlfn.IFS(A338&lt;=30, "Youth", A338&lt;=50, "Adult", A338&gt;50, "Older")</f>
        <v>Youth</v>
      </c>
      <c r="I338" t="str" cm="1">
        <f t="array" ref="I338">_xlfn.IFS(A338&lt;=25,"18-25",A338&lt;=35,"26-35",A338&lt;=45,"36-45",A338&lt;=60,"46-60",A338&gt;60,"60+")</f>
        <v>26-35</v>
      </c>
      <c r="J338" t="str" cm="1">
        <f t="array" ref="J338">_xlfn.IFS(C338&lt;18.5,"Underweight",C338&lt;25,"Normal",C338&lt;30,"Overweight",C338&gt;=30,"Obese")</f>
        <v>Overweight</v>
      </c>
      <c r="K338" t="str" cm="1">
        <f t="array" ref="K338">_xlfn.IFS(G338&lt;10000, "Low", G338&lt;=25000, "Medium", G338&gt;25000, "High")</f>
        <v>Low</v>
      </c>
    </row>
    <row r="339" spans="1:11" x14ac:dyDescent="0.3">
      <c r="A339">
        <v>27</v>
      </c>
      <c r="B339" s="1" t="s">
        <v>8</v>
      </c>
      <c r="C339">
        <v>26.315000000000001</v>
      </c>
      <c r="D339">
        <v>0</v>
      </c>
      <c r="E339" t="s">
        <v>10</v>
      </c>
      <c r="F339" t="s">
        <v>13</v>
      </c>
      <c r="G339" s="2">
        <v>4753.6368000000002</v>
      </c>
      <c r="H339" t="str" cm="1">
        <f t="array" ref="H339">_xlfn.IFS(A339&lt;=30, "Youth", A339&lt;=50, "Adult", A339&gt;50, "Older")</f>
        <v>Youth</v>
      </c>
      <c r="I339" t="str" cm="1">
        <f t="array" ref="I339">_xlfn.IFS(A339&lt;=25,"18-25",A339&lt;=35,"26-35",A339&lt;=45,"36-45",A339&lt;=60,"46-60",A339&gt;60,"60+")</f>
        <v>26-35</v>
      </c>
      <c r="J339" t="str" cm="1">
        <f t="array" ref="J339">_xlfn.IFS(C339&lt;18.5,"Underweight",C339&lt;25,"Normal",C339&lt;30,"Overweight",C339&gt;=30,"Obese")</f>
        <v>Overweight</v>
      </c>
      <c r="K339" t="str" cm="1">
        <f t="array" ref="K339">_xlfn.IFS(G339&lt;10000, "Low", G339&lt;=25000, "Medium", G339&gt;25000, "High")</f>
        <v>Low</v>
      </c>
    </row>
    <row r="340" spans="1:11" x14ac:dyDescent="0.3">
      <c r="A340">
        <v>27</v>
      </c>
      <c r="B340" s="1" t="s">
        <v>8</v>
      </c>
      <c r="C340">
        <v>26.315000000000001</v>
      </c>
      <c r="D340">
        <v>0</v>
      </c>
      <c r="E340" t="s">
        <v>9</v>
      </c>
      <c r="F340" t="s">
        <v>14</v>
      </c>
      <c r="G340" s="2">
        <v>4762.3289999999997</v>
      </c>
      <c r="H340" t="str" cm="1">
        <f t="array" ref="H340">_xlfn.IFS(A340&lt;=30, "Youth", A340&lt;=50, "Adult", A340&gt;50, "Older")</f>
        <v>Youth</v>
      </c>
      <c r="I340" t="str" cm="1">
        <f t="array" ref="I340">_xlfn.IFS(A340&lt;=25,"18-25",A340&lt;=35,"26-35",A340&lt;=45,"36-45",A340&lt;=60,"46-60",A340&gt;60,"60+")</f>
        <v>26-35</v>
      </c>
      <c r="J340" t="str" cm="1">
        <f t="array" ref="J340">_xlfn.IFS(C340&lt;18.5,"Underweight",C340&lt;25,"Normal",C340&lt;30,"Overweight",C340&gt;=30,"Obese")</f>
        <v>Overweight</v>
      </c>
      <c r="K340" t="str" cm="1">
        <f t="array" ref="K340">_xlfn.IFS(G340&lt;10000, "Low", G340&lt;=25000, "Medium", G340&gt;25000, "High")</f>
        <v>Low</v>
      </c>
    </row>
    <row r="341" spans="1:11" x14ac:dyDescent="0.3">
      <c r="A341">
        <v>27</v>
      </c>
      <c r="B341" s="1" t="s">
        <v>7</v>
      </c>
      <c r="C341">
        <v>26.315000000000001</v>
      </c>
      <c r="D341">
        <v>0</v>
      </c>
      <c r="E341" t="s">
        <v>10</v>
      </c>
      <c r="F341" t="s">
        <v>12</v>
      </c>
      <c r="G341" s="2">
        <v>4766.0219999999999</v>
      </c>
      <c r="H341" t="str" cm="1">
        <f t="array" ref="H341">_xlfn.IFS(A341&lt;=30, "Youth", A341&lt;=50, "Adult", A341&gt;50, "Older")</f>
        <v>Youth</v>
      </c>
      <c r="I341" t="str" cm="1">
        <f t="array" ref="I341">_xlfn.IFS(A341&lt;=25,"18-25",A341&lt;=35,"26-35",A341&lt;=45,"36-45",A341&lt;=60,"46-60",A341&gt;60,"60+")</f>
        <v>26-35</v>
      </c>
      <c r="J341" t="str" cm="1">
        <f t="array" ref="J341">_xlfn.IFS(C341&lt;18.5,"Underweight",C341&lt;25,"Normal",C341&lt;30,"Overweight",C341&gt;=30,"Obese")</f>
        <v>Overweight</v>
      </c>
      <c r="K341" t="str" cm="1">
        <f t="array" ref="K341">_xlfn.IFS(G341&lt;10000, "Low", G341&lt;=25000, "Medium", G341&gt;25000, "High")</f>
        <v>Low</v>
      </c>
    </row>
    <row r="342" spans="1:11" x14ac:dyDescent="0.3">
      <c r="A342">
        <v>27</v>
      </c>
      <c r="B342" s="1" t="s">
        <v>7</v>
      </c>
      <c r="C342">
        <v>26.4</v>
      </c>
      <c r="D342">
        <v>0</v>
      </c>
      <c r="E342" t="s">
        <v>10</v>
      </c>
      <c r="F342" t="s">
        <v>11</v>
      </c>
      <c r="G342" s="2">
        <v>4779.6022999999996</v>
      </c>
      <c r="H342" t="str" cm="1">
        <f t="array" ref="H342">_xlfn.IFS(A342&lt;=30, "Youth", A342&lt;=50, "Adult", A342&gt;50, "Older")</f>
        <v>Youth</v>
      </c>
      <c r="I342" t="str" cm="1">
        <f t="array" ref="I342">_xlfn.IFS(A342&lt;=25,"18-25",A342&lt;=35,"26-35",A342&lt;=45,"36-45",A342&lt;=60,"46-60",A342&gt;60,"60+")</f>
        <v>26-35</v>
      </c>
      <c r="J342" t="str" cm="1">
        <f t="array" ref="J342">_xlfn.IFS(C342&lt;18.5,"Underweight",C342&lt;25,"Normal",C342&lt;30,"Overweight",C342&gt;=30,"Obese")</f>
        <v>Overweight</v>
      </c>
      <c r="K342" t="str" cm="1">
        <f t="array" ref="K342">_xlfn.IFS(G342&lt;10000, "Low", G342&lt;=25000, "Medium", G342&gt;25000, "High")</f>
        <v>Low</v>
      </c>
    </row>
    <row r="343" spans="1:11" x14ac:dyDescent="0.3">
      <c r="A343">
        <v>27</v>
      </c>
      <c r="B343" s="1" t="s">
        <v>8</v>
      </c>
      <c r="C343">
        <v>26.4</v>
      </c>
      <c r="D343">
        <v>0</v>
      </c>
      <c r="E343" t="s">
        <v>10</v>
      </c>
      <c r="F343" t="s">
        <v>13</v>
      </c>
      <c r="G343" s="2">
        <v>4795.6567999999997</v>
      </c>
      <c r="H343" t="str" cm="1">
        <f t="array" ref="H343">_xlfn.IFS(A343&lt;=30, "Youth", A343&lt;=50, "Adult", A343&gt;50, "Older")</f>
        <v>Youth</v>
      </c>
      <c r="I343" t="str" cm="1">
        <f t="array" ref="I343">_xlfn.IFS(A343&lt;=25,"18-25",A343&lt;=35,"26-35",A343&lt;=45,"36-45",A343&lt;=60,"46-60",A343&gt;60,"60+")</f>
        <v>26-35</v>
      </c>
      <c r="J343" t="str" cm="1">
        <f t="array" ref="J343">_xlfn.IFS(C343&lt;18.5,"Underweight",C343&lt;25,"Normal",C343&lt;30,"Overweight",C343&gt;=30,"Obese")</f>
        <v>Overweight</v>
      </c>
      <c r="K343" t="str" cm="1">
        <f t="array" ref="K343">_xlfn.IFS(G343&lt;10000, "Low", G343&lt;=25000, "Medium", G343&gt;25000, "High")</f>
        <v>Low</v>
      </c>
    </row>
    <row r="344" spans="1:11" x14ac:dyDescent="0.3">
      <c r="A344">
        <v>27</v>
      </c>
      <c r="B344" s="1" t="s">
        <v>7</v>
      </c>
      <c r="C344">
        <v>26.4</v>
      </c>
      <c r="D344">
        <v>0</v>
      </c>
      <c r="E344" t="s">
        <v>10</v>
      </c>
      <c r="F344" t="s">
        <v>14</v>
      </c>
      <c r="G344" s="2">
        <v>4827.9049500000001</v>
      </c>
      <c r="H344" t="str" cm="1">
        <f t="array" ref="H344">_xlfn.IFS(A344&lt;=30, "Youth", A344&lt;=50, "Adult", A344&gt;50, "Older")</f>
        <v>Youth</v>
      </c>
      <c r="I344" t="str" cm="1">
        <f t="array" ref="I344">_xlfn.IFS(A344&lt;=25,"18-25",A344&lt;=35,"26-35",A344&lt;=45,"36-45",A344&lt;=60,"46-60",A344&gt;60,"60+")</f>
        <v>26-35</v>
      </c>
      <c r="J344" t="str" cm="1">
        <f t="array" ref="J344">_xlfn.IFS(C344&lt;18.5,"Underweight",C344&lt;25,"Normal",C344&lt;30,"Overweight",C344&gt;=30,"Obese")</f>
        <v>Overweight</v>
      </c>
      <c r="K344" t="str" cm="1">
        <f t="array" ref="K344">_xlfn.IFS(G344&lt;10000, "Low", G344&lt;=25000, "Medium", G344&gt;25000, "High")</f>
        <v>Low</v>
      </c>
    </row>
    <row r="345" spans="1:11" x14ac:dyDescent="0.3">
      <c r="A345">
        <v>27</v>
      </c>
      <c r="B345" s="1" t="s">
        <v>8</v>
      </c>
      <c r="C345">
        <v>26.4</v>
      </c>
      <c r="D345">
        <v>0</v>
      </c>
      <c r="E345" t="s">
        <v>10</v>
      </c>
      <c r="F345" t="s">
        <v>14</v>
      </c>
      <c r="G345" s="2">
        <v>4830.63</v>
      </c>
      <c r="H345" t="str" cm="1">
        <f t="array" ref="H345">_xlfn.IFS(A345&lt;=30, "Youth", A345&lt;=50, "Adult", A345&gt;50, "Older")</f>
        <v>Youth</v>
      </c>
      <c r="I345" t="str" cm="1">
        <f t="array" ref="I345">_xlfn.IFS(A345&lt;=25,"18-25",A345&lt;=35,"26-35",A345&lt;=45,"36-45",A345&lt;=60,"46-60",A345&gt;60,"60+")</f>
        <v>26-35</v>
      </c>
      <c r="J345" t="str" cm="1">
        <f t="array" ref="J345">_xlfn.IFS(C345&lt;18.5,"Underweight",C345&lt;25,"Normal",C345&lt;30,"Overweight",C345&gt;=30,"Obese")</f>
        <v>Overweight</v>
      </c>
      <c r="K345" t="str" cm="1">
        <f t="array" ref="K345">_xlfn.IFS(G345&lt;10000, "Low", G345&lt;=25000, "Medium", G345&gt;25000, "High")</f>
        <v>Low</v>
      </c>
    </row>
    <row r="346" spans="1:11" x14ac:dyDescent="0.3">
      <c r="A346">
        <v>27</v>
      </c>
      <c r="B346" s="1" t="s">
        <v>7</v>
      </c>
      <c r="C346">
        <v>26.41</v>
      </c>
      <c r="D346">
        <v>0</v>
      </c>
      <c r="E346" t="s">
        <v>10</v>
      </c>
      <c r="F346" t="s">
        <v>12</v>
      </c>
      <c r="G346" s="2">
        <v>4837.5823</v>
      </c>
      <c r="H346" t="str" cm="1">
        <f t="array" ref="H346">_xlfn.IFS(A346&lt;=30, "Youth", A346&lt;=50, "Adult", A346&gt;50, "Older")</f>
        <v>Youth</v>
      </c>
      <c r="I346" t="str" cm="1">
        <f t="array" ref="I346">_xlfn.IFS(A346&lt;=25,"18-25",A346&lt;=35,"26-35",A346&lt;=45,"36-45",A346&lt;=60,"46-60",A346&gt;60,"60+")</f>
        <v>26-35</v>
      </c>
      <c r="J346" t="str" cm="1">
        <f t="array" ref="J346">_xlfn.IFS(C346&lt;18.5,"Underweight",C346&lt;25,"Normal",C346&lt;30,"Overweight",C346&gt;=30,"Obese")</f>
        <v>Overweight</v>
      </c>
      <c r="K346" t="str" cm="1">
        <f t="array" ref="K346">_xlfn.IFS(G346&lt;10000, "Low", G346&lt;=25000, "Medium", G346&gt;25000, "High")</f>
        <v>Low</v>
      </c>
    </row>
    <row r="347" spans="1:11" x14ac:dyDescent="0.3">
      <c r="A347">
        <v>27</v>
      </c>
      <c r="B347" s="1" t="s">
        <v>7</v>
      </c>
      <c r="C347">
        <v>26.41</v>
      </c>
      <c r="D347">
        <v>0</v>
      </c>
      <c r="E347" t="s">
        <v>10</v>
      </c>
      <c r="F347" t="s">
        <v>12</v>
      </c>
      <c r="G347" s="2">
        <v>4846.9201499999999</v>
      </c>
      <c r="H347" t="str" cm="1">
        <f t="array" ref="H347">_xlfn.IFS(A347&lt;=30, "Youth", A347&lt;=50, "Adult", A347&gt;50, "Older")</f>
        <v>Youth</v>
      </c>
      <c r="I347" t="str" cm="1">
        <f t="array" ref="I347">_xlfn.IFS(A347&lt;=25,"18-25",A347&lt;=35,"26-35",A347&lt;=45,"36-45",A347&lt;=60,"46-60",A347&gt;60,"60+")</f>
        <v>26-35</v>
      </c>
      <c r="J347" t="str" cm="1">
        <f t="array" ref="J347">_xlfn.IFS(C347&lt;18.5,"Underweight",C347&lt;25,"Normal",C347&lt;30,"Overweight",C347&gt;=30,"Obese")</f>
        <v>Overweight</v>
      </c>
      <c r="K347" t="str" cm="1">
        <f t="array" ref="K347">_xlfn.IFS(G347&lt;10000, "Low", G347&lt;=25000, "Medium", G347&gt;25000, "High")</f>
        <v>Low</v>
      </c>
    </row>
    <row r="348" spans="1:11" x14ac:dyDescent="0.3">
      <c r="A348">
        <v>27</v>
      </c>
      <c r="B348" s="1" t="s">
        <v>8</v>
      </c>
      <c r="C348">
        <v>26.41</v>
      </c>
      <c r="D348">
        <v>0</v>
      </c>
      <c r="E348" t="s">
        <v>10</v>
      </c>
      <c r="F348" t="s">
        <v>12</v>
      </c>
      <c r="G348" s="2">
        <v>4877.9810500000003</v>
      </c>
      <c r="H348" t="str" cm="1">
        <f t="array" ref="H348">_xlfn.IFS(A348&lt;=30, "Youth", A348&lt;=50, "Adult", A348&gt;50, "Older")</f>
        <v>Youth</v>
      </c>
      <c r="I348" t="str" cm="1">
        <f t="array" ref="I348">_xlfn.IFS(A348&lt;=25,"18-25",A348&lt;=35,"26-35",A348&lt;=45,"36-45",A348&lt;=60,"46-60",A348&gt;60,"60+")</f>
        <v>26-35</v>
      </c>
      <c r="J348" t="str" cm="1">
        <f t="array" ref="J348">_xlfn.IFS(C348&lt;18.5,"Underweight",C348&lt;25,"Normal",C348&lt;30,"Overweight",C348&gt;=30,"Obese")</f>
        <v>Overweight</v>
      </c>
      <c r="K348" t="str" cm="1">
        <f t="array" ref="K348">_xlfn.IFS(G348&lt;10000, "Low", G348&lt;=25000, "Medium", G348&gt;25000, "High")</f>
        <v>Low</v>
      </c>
    </row>
    <row r="349" spans="1:11" x14ac:dyDescent="0.3">
      <c r="A349">
        <v>27</v>
      </c>
      <c r="B349" s="1" t="s">
        <v>8</v>
      </c>
      <c r="C349">
        <v>26.41</v>
      </c>
      <c r="D349">
        <v>0</v>
      </c>
      <c r="E349" t="s">
        <v>10</v>
      </c>
      <c r="F349" t="s">
        <v>14</v>
      </c>
      <c r="G349" s="2">
        <v>4883.866</v>
      </c>
      <c r="H349" t="str" cm="1">
        <f t="array" ref="H349">_xlfn.IFS(A349&lt;=30, "Youth", A349&lt;=50, "Adult", A349&gt;50, "Older")</f>
        <v>Youth</v>
      </c>
      <c r="I349" t="str" cm="1">
        <f t="array" ref="I349">_xlfn.IFS(A349&lt;=25,"18-25",A349&lt;=35,"26-35",A349&lt;=45,"36-45",A349&lt;=60,"46-60",A349&gt;60,"60+")</f>
        <v>26-35</v>
      </c>
      <c r="J349" t="str" cm="1">
        <f t="array" ref="J349">_xlfn.IFS(C349&lt;18.5,"Underweight",C349&lt;25,"Normal",C349&lt;30,"Overweight",C349&gt;=30,"Obese")</f>
        <v>Overweight</v>
      </c>
      <c r="K349" t="str" cm="1">
        <f t="array" ref="K349">_xlfn.IFS(G349&lt;10000, "Low", G349&lt;=25000, "Medium", G349&gt;25000, "High")</f>
        <v>Low</v>
      </c>
    </row>
    <row r="350" spans="1:11" x14ac:dyDescent="0.3">
      <c r="A350">
        <v>27</v>
      </c>
      <c r="B350" s="1" t="s">
        <v>7</v>
      </c>
      <c r="C350">
        <v>26.41</v>
      </c>
      <c r="D350">
        <v>0</v>
      </c>
      <c r="E350" t="s">
        <v>10</v>
      </c>
      <c r="F350" t="s">
        <v>12</v>
      </c>
      <c r="G350" s="2">
        <v>4889.0367999999999</v>
      </c>
      <c r="H350" t="str" cm="1">
        <f t="array" ref="H350">_xlfn.IFS(A350&lt;=30, "Youth", A350&lt;=50, "Adult", A350&gt;50, "Older")</f>
        <v>Youth</v>
      </c>
      <c r="I350" t="str" cm="1">
        <f t="array" ref="I350">_xlfn.IFS(A350&lt;=25,"18-25",A350&lt;=35,"26-35",A350&lt;=45,"36-45",A350&lt;=60,"46-60",A350&gt;60,"60+")</f>
        <v>26-35</v>
      </c>
      <c r="J350" t="str" cm="1">
        <f t="array" ref="J350">_xlfn.IFS(C350&lt;18.5,"Underweight",C350&lt;25,"Normal",C350&lt;30,"Overweight",C350&gt;=30,"Obese")</f>
        <v>Overweight</v>
      </c>
      <c r="K350" t="str" cm="1">
        <f t="array" ref="K350">_xlfn.IFS(G350&lt;10000, "Low", G350&lt;=25000, "Medium", G350&gt;25000, "High")</f>
        <v>Low</v>
      </c>
    </row>
    <row r="351" spans="1:11" x14ac:dyDescent="0.3">
      <c r="A351">
        <v>27</v>
      </c>
      <c r="B351" s="1" t="s">
        <v>8</v>
      </c>
      <c r="C351">
        <v>26.41</v>
      </c>
      <c r="D351">
        <v>0</v>
      </c>
      <c r="E351" t="s">
        <v>10</v>
      </c>
      <c r="F351" t="s">
        <v>13</v>
      </c>
      <c r="G351" s="2">
        <v>4889.9994999999999</v>
      </c>
      <c r="H351" t="str" cm="1">
        <f t="array" ref="H351">_xlfn.IFS(A351&lt;=30, "Youth", A351&lt;=50, "Adult", A351&gt;50, "Older")</f>
        <v>Youth</v>
      </c>
      <c r="I351" t="str" cm="1">
        <f t="array" ref="I351">_xlfn.IFS(A351&lt;=25,"18-25",A351&lt;=35,"26-35",A351&lt;=45,"36-45",A351&lt;=60,"46-60",A351&gt;60,"60+")</f>
        <v>26-35</v>
      </c>
      <c r="J351" t="str" cm="1">
        <f t="array" ref="J351">_xlfn.IFS(C351&lt;18.5,"Underweight",C351&lt;25,"Normal",C351&lt;30,"Overweight",C351&gt;=30,"Obese")</f>
        <v>Overweight</v>
      </c>
      <c r="K351" t="str" cm="1">
        <f t="array" ref="K351">_xlfn.IFS(G351&lt;10000, "Low", G351&lt;=25000, "Medium", G351&gt;25000, "High")</f>
        <v>Low</v>
      </c>
    </row>
    <row r="352" spans="1:11" x14ac:dyDescent="0.3">
      <c r="A352">
        <v>27</v>
      </c>
      <c r="B352" s="1" t="s">
        <v>7</v>
      </c>
      <c r="C352">
        <v>26.504999999999999</v>
      </c>
      <c r="D352">
        <v>0</v>
      </c>
      <c r="E352" t="s">
        <v>10</v>
      </c>
      <c r="F352" t="s">
        <v>13</v>
      </c>
      <c r="G352" s="2">
        <v>4894.7533000000003</v>
      </c>
      <c r="H352" t="str" cm="1">
        <f t="array" ref="H352">_xlfn.IFS(A352&lt;=30, "Youth", A352&lt;=50, "Adult", A352&gt;50, "Older")</f>
        <v>Youth</v>
      </c>
      <c r="I352" t="str" cm="1">
        <f t="array" ref="I352">_xlfn.IFS(A352&lt;=25,"18-25",A352&lt;=35,"26-35",A352&lt;=45,"36-45",A352&lt;=60,"46-60",A352&gt;60,"60+")</f>
        <v>26-35</v>
      </c>
      <c r="J352" t="str" cm="1">
        <f t="array" ref="J352">_xlfn.IFS(C352&lt;18.5,"Underweight",C352&lt;25,"Normal",C352&lt;30,"Overweight",C352&gt;=30,"Obese")</f>
        <v>Overweight</v>
      </c>
      <c r="K352" t="str" cm="1">
        <f t="array" ref="K352">_xlfn.IFS(G352&lt;10000, "Low", G352&lt;=25000, "Medium", G352&gt;25000, "High")</f>
        <v>Low</v>
      </c>
    </row>
    <row r="353" spans="1:11" x14ac:dyDescent="0.3">
      <c r="A353">
        <v>27</v>
      </c>
      <c r="B353" s="1" t="s">
        <v>7</v>
      </c>
      <c r="C353">
        <v>26.51</v>
      </c>
      <c r="D353">
        <v>0</v>
      </c>
      <c r="E353" t="s">
        <v>10</v>
      </c>
      <c r="F353" t="s">
        <v>11</v>
      </c>
      <c r="G353" s="2">
        <v>4906.4096499999996</v>
      </c>
      <c r="H353" t="str" cm="1">
        <f t="array" ref="H353">_xlfn.IFS(A353&lt;=30, "Youth", A353&lt;=50, "Adult", A353&gt;50, "Older")</f>
        <v>Youth</v>
      </c>
      <c r="I353" t="str" cm="1">
        <f t="array" ref="I353">_xlfn.IFS(A353&lt;=25,"18-25",A353&lt;=35,"26-35",A353&lt;=45,"36-45",A353&lt;=60,"46-60",A353&gt;60,"60+")</f>
        <v>26-35</v>
      </c>
      <c r="J353" t="str" cm="1">
        <f t="array" ref="J353">_xlfn.IFS(C353&lt;18.5,"Underweight",C353&lt;25,"Normal",C353&lt;30,"Overweight",C353&gt;=30,"Obese")</f>
        <v>Overweight</v>
      </c>
      <c r="K353" t="str" cm="1">
        <f t="array" ref="K353">_xlfn.IFS(G353&lt;10000, "Low", G353&lt;=25000, "Medium", G353&gt;25000, "High")</f>
        <v>Low</v>
      </c>
    </row>
    <row r="354" spans="1:11" x14ac:dyDescent="0.3">
      <c r="A354">
        <v>27</v>
      </c>
      <c r="B354" s="1" t="s">
        <v>7</v>
      </c>
      <c r="C354">
        <v>26.51</v>
      </c>
      <c r="D354">
        <v>0</v>
      </c>
      <c r="E354" t="s">
        <v>10</v>
      </c>
      <c r="F354" t="s">
        <v>11</v>
      </c>
      <c r="G354" s="2">
        <v>4915.0598499999996</v>
      </c>
      <c r="H354" t="str" cm="1">
        <f t="array" ref="H354">_xlfn.IFS(A354&lt;=30, "Youth", A354&lt;=50, "Adult", A354&gt;50, "Older")</f>
        <v>Youth</v>
      </c>
      <c r="I354" t="str" cm="1">
        <f t="array" ref="I354">_xlfn.IFS(A354&lt;=25,"18-25",A354&lt;=35,"26-35",A354&lt;=45,"36-45",A354&lt;=60,"46-60",A354&gt;60,"60+")</f>
        <v>26-35</v>
      </c>
      <c r="J354" t="str" cm="1">
        <f t="array" ref="J354">_xlfn.IFS(C354&lt;18.5,"Underweight",C354&lt;25,"Normal",C354&lt;30,"Overweight",C354&gt;=30,"Obese")</f>
        <v>Overweight</v>
      </c>
      <c r="K354" t="str" cm="1">
        <f t="array" ref="K354">_xlfn.IFS(G354&lt;10000, "Low", G354&lt;=25000, "Medium", G354&gt;25000, "High")</f>
        <v>Low</v>
      </c>
    </row>
    <row r="355" spans="1:11" x14ac:dyDescent="0.3">
      <c r="A355">
        <v>27</v>
      </c>
      <c r="B355" s="1" t="s">
        <v>8</v>
      </c>
      <c r="C355">
        <v>26.6</v>
      </c>
      <c r="D355">
        <v>0</v>
      </c>
      <c r="E355" t="s">
        <v>10</v>
      </c>
      <c r="F355" t="s">
        <v>14</v>
      </c>
      <c r="G355" s="2">
        <v>4922.9159</v>
      </c>
      <c r="H355" t="str" cm="1">
        <f t="array" ref="H355">_xlfn.IFS(A355&lt;=30, "Youth", A355&lt;=50, "Adult", A355&gt;50, "Older")</f>
        <v>Youth</v>
      </c>
      <c r="I355" t="str" cm="1">
        <f t="array" ref="I355">_xlfn.IFS(A355&lt;=25,"18-25",A355&lt;=35,"26-35",A355&lt;=45,"36-45",A355&lt;=60,"46-60",A355&gt;60,"60+")</f>
        <v>26-35</v>
      </c>
      <c r="J355" t="str" cm="1">
        <f t="array" ref="J355">_xlfn.IFS(C355&lt;18.5,"Underweight",C355&lt;25,"Normal",C355&lt;30,"Overweight",C355&gt;=30,"Obese")</f>
        <v>Overweight</v>
      </c>
      <c r="K355" t="str" cm="1">
        <f t="array" ref="K355">_xlfn.IFS(G355&lt;10000, "Low", G355&lt;=25000, "Medium", G355&gt;25000, "High")</f>
        <v>Low</v>
      </c>
    </row>
    <row r="356" spans="1:11" x14ac:dyDescent="0.3">
      <c r="A356">
        <v>27</v>
      </c>
      <c r="B356" s="1" t="s">
        <v>7</v>
      </c>
      <c r="C356">
        <v>26.6</v>
      </c>
      <c r="D356">
        <v>0</v>
      </c>
      <c r="E356" t="s">
        <v>10</v>
      </c>
      <c r="F356" t="s">
        <v>12</v>
      </c>
      <c r="G356" s="2">
        <v>4931.6469999999999</v>
      </c>
      <c r="H356" t="str" cm="1">
        <f t="array" ref="H356">_xlfn.IFS(A356&lt;=30, "Youth", A356&lt;=50, "Adult", A356&gt;50, "Older")</f>
        <v>Youth</v>
      </c>
      <c r="I356" t="str" cm="1">
        <f t="array" ref="I356">_xlfn.IFS(A356&lt;=25,"18-25",A356&lt;=35,"26-35",A356&lt;=45,"36-45",A356&lt;=60,"46-60",A356&gt;60,"60+")</f>
        <v>26-35</v>
      </c>
      <c r="J356" t="str" cm="1">
        <f t="array" ref="J356">_xlfn.IFS(C356&lt;18.5,"Underweight",C356&lt;25,"Normal",C356&lt;30,"Overweight",C356&gt;=30,"Obese")</f>
        <v>Overweight</v>
      </c>
      <c r="K356" t="str" cm="1">
        <f t="array" ref="K356">_xlfn.IFS(G356&lt;10000, "Low", G356&lt;=25000, "Medium", G356&gt;25000, "High")</f>
        <v>Low</v>
      </c>
    </row>
    <row r="357" spans="1:11" x14ac:dyDescent="0.3">
      <c r="A357">
        <v>27</v>
      </c>
      <c r="B357" s="1" t="s">
        <v>8</v>
      </c>
      <c r="C357">
        <v>26.6</v>
      </c>
      <c r="D357">
        <v>0</v>
      </c>
      <c r="E357" t="s">
        <v>10</v>
      </c>
      <c r="F357" t="s">
        <v>11</v>
      </c>
      <c r="G357" s="2">
        <v>4934.7049999999999</v>
      </c>
      <c r="H357" t="str" cm="1">
        <f t="array" ref="H357">_xlfn.IFS(A357&lt;=30, "Youth", A357&lt;=50, "Adult", A357&gt;50, "Older")</f>
        <v>Youth</v>
      </c>
      <c r="I357" t="str" cm="1">
        <f t="array" ref="I357">_xlfn.IFS(A357&lt;=25,"18-25",A357&lt;=35,"26-35",A357&lt;=45,"36-45",A357&lt;=60,"46-60",A357&gt;60,"60+")</f>
        <v>26-35</v>
      </c>
      <c r="J357" t="str" cm="1">
        <f t="array" ref="J357">_xlfn.IFS(C357&lt;18.5,"Underweight",C357&lt;25,"Normal",C357&lt;30,"Overweight",C357&gt;=30,"Obese")</f>
        <v>Overweight</v>
      </c>
      <c r="K357" t="str" cm="1">
        <f t="array" ref="K357">_xlfn.IFS(G357&lt;10000, "Low", G357&lt;=25000, "Medium", G357&gt;25000, "High")</f>
        <v>Low</v>
      </c>
    </row>
    <row r="358" spans="1:11" x14ac:dyDescent="0.3">
      <c r="A358">
        <v>27</v>
      </c>
      <c r="B358" s="1" t="s">
        <v>8</v>
      </c>
      <c r="C358">
        <v>26.6</v>
      </c>
      <c r="D358">
        <v>0</v>
      </c>
      <c r="E358" t="s">
        <v>10</v>
      </c>
      <c r="F358" t="s">
        <v>12</v>
      </c>
      <c r="G358" s="2">
        <v>4949.7587000000003</v>
      </c>
      <c r="H358" t="str" cm="1">
        <f t="array" ref="H358">_xlfn.IFS(A358&lt;=30, "Youth", A358&lt;=50, "Adult", A358&gt;50, "Older")</f>
        <v>Youth</v>
      </c>
      <c r="I358" t="str" cm="1">
        <f t="array" ref="I358">_xlfn.IFS(A358&lt;=25,"18-25",A358&lt;=35,"26-35",A358&lt;=45,"36-45",A358&lt;=60,"46-60",A358&gt;60,"60+")</f>
        <v>26-35</v>
      </c>
      <c r="J358" t="str" cm="1">
        <f t="array" ref="J358">_xlfn.IFS(C358&lt;18.5,"Underweight",C358&lt;25,"Normal",C358&lt;30,"Overweight",C358&gt;=30,"Obese")</f>
        <v>Overweight</v>
      </c>
      <c r="K358" t="str" cm="1">
        <f t="array" ref="K358">_xlfn.IFS(G358&lt;10000, "Low", G358&lt;=25000, "Medium", G358&gt;25000, "High")</f>
        <v>Low</v>
      </c>
    </row>
    <row r="359" spans="1:11" x14ac:dyDescent="0.3">
      <c r="A359">
        <v>27</v>
      </c>
      <c r="B359" s="1" t="s">
        <v>8</v>
      </c>
      <c r="C359">
        <v>26.6</v>
      </c>
      <c r="D359">
        <v>0</v>
      </c>
      <c r="E359" t="s">
        <v>10</v>
      </c>
      <c r="F359" t="s">
        <v>13</v>
      </c>
      <c r="G359" s="2">
        <v>4992.3764000000001</v>
      </c>
      <c r="H359" t="str" cm="1">
        <f t="array" ref="H359">_xlfn.IFS(A359&lt;=30, "Youth", A359&lt;=50, "Adult", A359&gt;50, "Older")</f>
        <v>Youth</v>
      </c>
      <c r="I359" t="str" cm="1">
        <f t="array" ref="I359">_xlfn.IFS(A359&lt;=25,"18-25",A359&lt;=35,"26-35",A359&lt;=45,"36-45",A359&lt;=60,"46-60",A359&gt;60,"60+")</f>
        <v>26-35</v>
      </c>
      <c r="J359" t="str" cm="1">
        <f t="array" ref="J359">_xlfn.IFS(C359&lt;18.5,"Underweight",C359&lt;25,"Normal",C359&lt;30,"Overweight",C359&gt;=30,"Obese")</f>
        <v>Overweight</v>
      </c>
      <c r="K359" t="str" cm="1">
        <f t="array" ref="K359">_xlfn.IFS(G359&lt;10000, "Low", G359&lt;=25000, "Medium", G359&gt;25000, "High")</f>
        <v>Low</v>
      </c>
    </row>
    <row r="360" spans="1:11" x14ac:dyDescent="0.3">
      <c r="A360">
        <v>27</v>
      </c>
      <c r="B360" s="1" t="s">
        <v>8</v>
      </c>
      <c r="C360">
        <v>26.6</v>
      </c>
      <c r="D360">
        <v>0</v>
      </c>
      <c r="E360" t="s">
        <v>10</v>
      </c>
      <c r="F360" t="s">
        <v>12</v>
      </c>
      <c r="G360" s="2">
        <v>5002.7826999999997</v>
      </c>
      <c r="H360" t="str" cm="1">
        <f t="array" ref="H360">_xlfn.IFS(A360&lt;=30, "Youth", A360&lt;=50, "Adult", A360&gt;50, "Older")</f>
        <v>Youth</v>
      </c>
      <c r="I360" t="str" cm="1">
        <f t="array" ref="I360">_xlfn.IFS(A360&lt;=25,"18-25",A360&lt;=35,"26-35",A360&lt;=45,"36-45",A360&lt;=60,"46-60",A360&gt;60,"60+")</f>
        <v>26-35</v>
      </c>
      <c r="J360" t="str" cm="1">
        <f t="array" ref="J360">_xlfn.IFS(C360&lt;18.5,"Underweight",C360&lt;25,"Normal",C360&lt;30,"Overweight",C360&gt;=30,"Obese")</f>
        <v>Overweight</v>
      </c>
      <c r="K360" t="str" cm="1">
        <f t="array" ref="K360">_xlfn.IFS(G360&lt;10000, "Low", G360&lt;=25000, "Medium", G360&gt;25000, "High")</f>
        <v>Low</v>
      </c>
    </row>
    <row r="361" spans="1:11" x14ac:dyDescent="0.3">
      <c r="A361">
        <v>27</v>
      </c>
      <c r="B361" s="1" t="s">
        <v>7</v>
      </c>
      <c r="C361">
        <v>26.62</v>
      </c>
      <c r="D361">
        <v>0</v>
      </c>
      <c r="E361" t="s">
        <v>10</v>
      </c>
      <c r="F361" t="s">
        <v>12</v>
      </c>
      <c r="G361" s="2">
        <v>5003.8530000000001</v>
      </c>
      <c r="H361" t="str" cm="1">
        <f t="array" ref="H361">_xlfn.IFS(A361&lt;=30, "Youth", A361&lt;=50, "Adult", A361&gt;50, "Older")</f>
        <v>Youth</v>
      </c>
      <c r="I361" t="str" cm="1">
        <f t="array" ref="I361">_xlfn.IFS(A361&lt;=25,"18-25",A361&lt;=35,"26-35",A361&lt;=45,"36-45",A361&lt;=60,"46-60",A361&gt;60,"60+")</f>
        <v>26-35</v>
      </c>
      <c r="J361" t="str" cm="1">
        <f t="array" ref="J361">_xlfn.IFS(C361&lt;18.5,"Underweight",C361&lt;25,"Normal",C361&lt;30,"Overweight",C361&gt;=30,"Obese")</f>
        <v>Overweight</v>
      </c>
      <c r="K361" t="str" cm="1">
        <f t="array" ref="K361">_xlfn.IFS(G361&lt;10000, "Low", G361&lt;=25000, "Medium", G361&gt;25000, "High")</f>
        <v>Low</v>
      </c>
    </row>
    <row r="362" spans="1:11" x14ac:dyDescent="0.3">
      <c r="A362">
        <v>27</v>
      </c>
      <c r="B362" s="1" t="s">
        <v>7</v>
      </c>
      <c r="C362">
        <v>26.62</v>
      </c>
      <c r="D362">
        <v>0</v>
      </c>
      <c r="E362" t="s">
        <v>10</v>
      </c>
      <c r="F362" t="s">
        <v>14</v>
      </c>
      <c r="G362" s="2">
        <v>5012.4709999999995</v>
      </c>
      <c r="H362" t="str" cm="1">
        <f t="array" ref="H362">_xlfn.IFS(A362&lt;=30, "Youth", A362&lt;=50, "Adult", A362&gt;50, "Older")</f>
        <v>Youth</v>
      </c>
      <c r="I362" t="str" cm="1">
        <f t="array" ref="I362">_xlfn.IFS(A362&lt;=25,"18-25",A362&lt;=35,"26-35",A362&lt;=45,"36-45",A362&lt;=60,"46-60",A362&gt;60,"60+")</f>
        <v>26-35</v>
      </c>
      <c r="J362" t="str" cm="1">
        <f t="array" ref="J362">_xlfn.IFS(C362&lt;18.5,"Underweight",C362&lt;25,"Normal",C362&lt;30,"Overweight",C362&gt;=30,"Obese")</f>
        <v>Overweight</v>
      </c>
      <c r="K362" t="str" cm="1">
        <f t="array" ref="K362">_xlfn.IFS(G362&lt;10000, "Low", G362&lt;=25000, "Medium", G362&gt;25000, "High")</f>
        <v>Low</v>
      </c>
    </row>
    <row r="363" spans="1:11" x14ac:dyDescent="0.3">
      <c r="A363">
        <v>28</v>
      </c>
      <c r="B363" s="1" t="s">
        <v>8</v>
      </c>
      <c r="C363">
        <v>26.695</v>
      </c>
      <c r="D363">
        <v>0</v>
      </c>
      <c r="E363" t="s">
        <v>10</v>
      </c>
      <c r="F363" t="s">
        <v>11</v>
      </c>
      <c r="G363" s="2">
        <v>5028.1466</v>
      </c>
      <c r="H363" t="str" cm="1">
        <f t="array" ref="H363">_xlfn.IFS(A363&lt;=30, "Youth", A363&lt;=50, "Adult", A363&gt;50, "Older")</f>
        <v>Youth</v>
      </c>
      <c r="I363" t="str" cm="1">
        <f t="array" ref="I363">_xlfn.IFS(A363&lt;=25,"18-25",A363&lt;=35,"26-35",A363&lt;=45,"36-45",A363&lt;=60,"46-60",A363&gt;60,"60+")</f>
        <v>26-35</v>
      </c>
      <c r="J363" t="str" cm="1">
        <f t="array" ref="J363">_xlfn.IFS(C363&lt;18.5,"Underweight",C363&lt;25,"Normal",C363&lt;30,"Overweight",C363&gt;=30,"Obese")</f>
        <v>Overweight</v>
      </c>
      <c r="K363" t="str" cm="1">
        <f t="array" ref="K363">_xlfn.IFS(G363&lt;10000, "Low", G363&lt;=25000, "Medium", G363&gt;25000, "High")</f>
        <v>Low</v>
      </c>
    </row>
    <row r="364" spans="1:11" x14ac:dyDescent="0.3">
      <c r="A364">
        <v>28</v>
      </c>
      <c r="B364" s="1" t="s">
        <v>7</v>
      </c>
      <c r="C364">
        <v>26.695</v>
      </c>
      <c r="D364">
        <v>0</v>
      </c>
      <c r="E364" t="s">
        <v>9</v>
      </c>
      <c r="F364" t="s">
        <v>11</v>
      </c>
      <c r="G364" s="2">
        <v>5031.26955</v>
      </c>
      <c r="H364" t="str" cm="1">
        <f t="array" ref="H364">_xlfn.IFS(A364&lt;=30, "Youth", A364&lt;=50, "Adult", A364&gt;50, "Older")</f>
        <v>Youth</v>
      </c>
      <c r="I364" t="str" cm="1">
        <f t="array" ref="I364">_xlfn.IFS(A364&lt;=25,"18-25",A364&lt;=35,"26-35",A364&lt;=45,"36-45",A364&lt;=60,"46-60",A364&gt;60,"60+")</f>
        <v>26-35</v>
      </c>
      <c r="J364" t="str" cm="1">
        <f t="array" ref="J364">_xlfn.IFS(C364&lt;18.5,"Underweight",C364&lt;25,"Normal",C364&lt;30,"Overweight",C364&gt;=30,"Obese")</f>
        <v>Overweight</v>
      </c>
      <c r="K364" t="str" cm="1">
        <f t="array" ref="K364">_xlfn.IFS(G364&lt;10000, "Low", G364&lt;=25000, "Medium", G364&gt;25000, "High")</f>
        <v>Low</v>
      </c>
    </row>
    <row r="365" spans="1:11" x14ac:dyDescent="0.3">
      <c r="A365">
        <v>28</v>
      </c>
      <c r="B365" s="1" t="s">
        <v>7</v>
      </c>
      <c r="C365">
        <v>26.695</v>
      </c>
      <c r="D365">
        <v>0</v>
      </c>
      <c r="E365" t="s">
        <v>10</v>
      </c>
      <c r="F365" t="s">
        <v>11</v>
      </c>
      <c r="G365" s="2">
        <v>5080.0959999999995</v>
      </c>
      <c r="H365" t="str" cm="1">
        <f t="array" ref="H365">_xlfn.IFS(A365&lt;=30, "Youth", A365&lt;=50, "Adult", A365&gt;50, "Older")</f>
        <v>Youth</v>
      </c>
      <c r="I365" t="str" cm="1">
        <f t="array" ref="I365">_xlfn.IFS(A365&lt;=25,"18-25",A365&lt;=35,"26-35",A365&lt;=45,"36-45",A365&lt;=60,"46-60",A365&gt;60,"60+")</f>
        <v>26-35</v>
      </c>
      <c r="J365" t="str" cm="1">
        <f t="array" ref="J365">_xlfn.IFS(C365&lt;18.5,"Underweight",C365&lt;25,"Normal",C365&lt;30,"Overweight",C365&gt;=30,"Obese")</f>
        <v>Overweight</v>
      </c>
      <c r="K365" t="str" cm="1">
        <f t="array" ref="K365">_xlfn.IFS(G365&lt;10000, "Low", G365&lt;=25000, "Medium", G365&gt;25000, "High")</f>
        <v>Low</v>
      </c>
    </row>
    <row r="366" spans="1:11" x14ac:dyDescent="0.3">
      <c r="A366">
        <v>28</v>
      </c>
      <c r="B366" s="1" t="s">
        <v>7</v>
      </c>
      <c r="C366">
        <v>26.695</v>
      </c>
      <c r="D366">
        <v>0</v>
      </c>
      <c r="E366" t="s">
        <v>10</v>
      </c>
      <c r="F366" t="s">
        <v>12</v>
      </c>
      <c r="G366" s="2">
        <v>5116.5003999999999</v>
      </c>
      <c r="H366" t="str" cm="1">
        <f t="array" ref="H366">_xlfn.IFS(A366&lt;=30, "Youth", A366&lt;=50, "Adult", A366&gt;50, "Older")</f>
        <v>Youth</v>
      </c>
      <c r="I366" t="str" cm="1">
        <f t="array" ref="I366">_xlfn.IFS(A366&lt;=25,"18-25",A366&lt;=35,"26-35",A366&lt;=45,"36-45",A366&lt;=60,"46-60",A366&gt;60,"60+")</f>
        <v>26-35</v>
      </c>
      <c r="J366" t="str" cm="1">
        <f t="array" ref="J366">_xlfn.IFS(C366&lt;18.5,"Underweight",C366&lt;25,"Normal",C366&lt;30,"Overweight",C366&gt;=30,"Obese")</f>
        <v>Overweight</v>
      </c>
      <c r="K366" t="str" cm="1">
        <f t="array" ref="K366">_xlfn.IFS(G366&lt;10000, "Low", G366&lt;=25000, "Medium", G366&gt;25000, "High")</f>
        <v>Low</v>
      </c>
    </row>
    <row r="367" spans="1:11" x14ac:dyDescent="0.3">
      <c r="A367">
        <v>28</v>
      </c>
      <c r="B367" s="1" t="s">
        <v>7</v>
      </c>
      <c r="C367">
        <v>26.695</v>
      </c>
      <c r="D367">
        <v>0</v>
      </c>
      <c r="E367" t="s">
        <v>10</v>
      </c>
      <c r="F367" t="s">
        <v>14</v>
      </c>
      <c r="G367" s="2">
        <v>5124.1886999999997</v>
      </c>
      <c r="H367" t="str" cm="1">
        <f t="array" ref="H367">_xlfn.IFS(A367&lt;=30, "Youth", A367&lt;=50, "Adult", A367&gt;50, "Older")</f>
        <v>Youth</v>
      </c>
      <c r="I367" t="str" cm="1">
        <f t="array" ref="I367">_xlfn.IFS(A367&lt;=25,"18-25",A367&lt;=35,"26-35",A367&lt;=45,"36-45",A367&lt;=60,"46-60",A367&gt;60,"60+")</f>
        <v>26-35</v>
      </c>
      <c r="J367" t="str" cm="1">
        <f t="array" ref="J367">_xlfn.IFS(C367&lt;18.5,"Underweight",C367&lt;25,"Normal",C367&lt;30,"Overweight",C367&gt;=30,"Obese")</f>
        <v>Overweight</v>
      </c>
      <c r="K367" t="str" cm="1">
        <f t="array" ref="K367">_xlfn.IFS(G367&lt;10000, "Low", G367&lt;=25000, "Medium", G367&gt;25000, "High")</f>
        <v>Low</v>
      </c>
    </row>
    <row r="368" spans="1:11" x14ac:dyDescent="0.3">
      <c r="A368">
        <v>28</v>
      </c>
      <c r="B368" s="1" t="s">
        <v>7</v>
      </c>
      <c r="C368">
        <v>26.7</v>
      </c>
      <c r="D368">
        <v>0</v>
      </c>
      <c r="E368" t="s">
        <v>10</v>
      </c>
      <c r="F368" t="s">
        <v>14</v>
      </c>
      <c r="G368" s="2">
        <v>5125.2156999999997</v>
      </c>
      <c r="H368" t="str" cm="1">
        <f t="array" ref="H368">_xlfn.IFS(A368&lt;=30, "Youth", A368&lt;=50, "Adult", A368&gt;50, "Older")</f>
        <v>Youth</v>
      </c>
      <c r="I368" t="str" cm="1">
        <f t="array" ref="I368">_xlfn.IFS(A368&lt;=25,"18-25",A368&lt;=35,"26-35",A368&lt;=45,"36-45",A368&lt;=60,"46-60",A368&gt;60,"60+")</f>
        <v>26-35</v>
      </c>
      <c r="J368" t="str" cm="1">
        <f t="array" ref="J368">_xlfn.IFS(C368&lt;18.5,"Underweight",C368&lt;25,"Normal",C368&lt;30,"Overweight",C368&gt;=30,"Obese")</f>
        <v>Overweight</v>
      </c>
      <c r="K368" t="str" cm="1">
        <f t="array" ref="K368">_xlfn.IFS(G368&lt;10000, "Low", G368&lt;=25000, "Medium", G368&gt;25000, "High")</f>
        <v>Low</v>
      </c>
    </row>
    <row r="369" spans="1:11" x14ac:dyDescent="0.3">
      <c r="A369">
        <v>28</v>
      </c>
      <c r="B369" s="1" t="s">
        <v>7</v>
      </c>
      <c r="C369">
        <v>26.7</v>
      </c>
      <c r="D369">
        <v>0</v>
      </c>
      <c r="E369" t="s">
        <v>10</v>
      </c>
      <c r="F369" t="s">
        <v>13</v>
      </c>
      <c r="G369" s="2">
        <v>5138.2566999999999</v>
      </c>
      <c r="H369" t="str" cm="1">
        <f t="array" ref="H369">_xlfn.IFS(A369&lt;=30, "Youth", A369&lt;=50, "Adult", A369&gt;50, "Older")</f>
        <v>Youth</v>
      </c>
      <c r="I369" t="str" cm="1">
        <f t="array" ref="I369">_xlfn.IFS(A369&lt;=25,"18-25",A369&lt;=35,"26-35",A369&lt;=45,"36-45",A369&lt;=60,"46-60",A369&gt;60,"60+")</f>
        <v>26-35</v>
      </c>
      <c r="J369" t="str" cm="1">
        <f t="array" ref="J369">_xlfn.IFS(C369&lt;18.5,"Underweight",C369&lt;25,"Normal",C369&lt;30,"Overweight",C369&gt;=30,"Obese")</f>
        <v>Overweight</v>
      </c>
      <c r="K369" t="str" cm="1">
        <f t="array" ref="K369">_xlfn.IFS(G369&lt;10000, "Low", G369&lt;=25000, "Medium", G369&gt;25000, "High")</f>
        <v>Low</v>
      </c>
    </row>
    <row r="370" spans="1:11" x14ac:dyDescent="0.3">
      <c r="A370">
        <v>28</v>
      </c>
      <c r="B370" s="1" t="s">
        <v>8</v>
      </c>
      <c r="C370">
        <v>26.73</v>
      </c>
      <c r="D370">
        <v>0</v>
      </c>
      <c r="E370" t="s">
        <v>10</v>
      </c>
      <c r="F370" t="s">
        <v>13</v>
      </c>
      <c r="G370" s="2">
        <v>5148.5526</v>
      </c>
      <c r="H370" t="str" cm="1">
        <f t="array" ref="H370">_xlfn.IFS(A370&lt;=30, "Youth", A370&lt;=50, "Adult", A370&gt;50, "Older")</f>
        <v>Youth</v>
      </c>
      <c r="I370" t="str" cm="1">
        <f t="array" ref="I370">_xlfn.IFS(A370&lt;=25,"18-25",A370&lt;=35,"26-35",A370&lt;=45,"36-45",A370&lt;=60,"46-60",A370&gt;60,"60+")</f>
        <v>26-35</v>
      </c>
      <c r="J370" t="str" cm="1">
        <f t="array" ref="J370">_xlfn.IFS(C370&lt;18.5,"Underweight",C370&lt;25,"Normal",C370&lt;30,"Overweight",C370&gt;=30,"Obese")</f>
        <v>Overweight</v>
      </c>
      <c r="K370" t="str" cm="1">
        <f t="array" ref="K370">_xlfn.IFS(G370&lt;10000, "Low", G370&lt;=25000, "Medium", G370&gt;25000, "High")</f>
        <v>Low</v>
      </c>
    </row>
    <row r="371" spans="1:11" x14ac:dyDescent="0.3">
      <c r="A371">
        <v>28</v>
      </c>
      <c r="B371" s="1" t="s">
        <v>8</v>
      </c>
      <c r="C371">
        <v>26.73</v>
      </c>
      <c r="D371">
        <v>0</v>
      </c>
      <c r="E371" t="s">
        <v>10</v>
      </c>
      <c r="F371" t="s">
        <v>14</v>
      </c>
      <c r="G371" s="2">
        <v>5152.134</v>
      </c>
      <c r="H371" t="str" cm="1">
        <f t="array" ref="H371">_xlfn.IFS(A371&lt;=30, "Youth", A371&lt;=50, "Adult", A371&gt;50, "Older")</f>
        <v>Youth</v>
      </c>
      <c r="I371" t="str" cm="1">
        <f t="array" ref="I371">_xlfn.IFS(A371&lt;=25,"18-25",A371&lt;=35,"26-35",A371&lt;=45,"36-45",A371&lt;=60,"46-60",A371&gt;60,"60+")</f>
        <v>26-35</v>
      </c>
      <c r="J371" t="str" cm="1">
        <f t="array" ref="J371">_xlfn.IFS(C371&lt;18.5,"Underweight",C371&lt;25,"Normal",C371&lt;30,"Overweight",C371&gt;=30,"Obese")</f>
        <v>Overweight</v>
      </c>
      <c r="K371" t="str" cm="1">
        <f t="array" ref="K371">_xlfn.IFS(G371&lt;10000, "Low", G371&lt;=25000, "Medium", G371&gt;25000, "High")</f>
        <v>Low</v>
      </c>
    </row>
    <row r="372" spans="1:11" x14ac:dyDescent="0.3">
      <c r="A372">
        <v>28</v>
      </c>
      <c r="B372" s="1" t="s">
        <v>7</v>
      </c>
      <c r="C372">
        <v>26.79</v>
      </c>
      <c r="D372">
        <v>0</v>
      </c>
      <c r="E372" t="s">
        <v>10</v>
      </c>
      <c r="F372" t="s">
        <v>13</v>
      </c>
      <c r="G372" s="2">
        <v>5209.5788499999999</v>
      </c>
      <c r="H372" t="str" cm="1">
        <f t="array" ref="H372">_xlfn.IFS(A372&lt;=30, "Youth", A372&lt;=50, "Adult", A372&gt;50, "Older")</f>
        <v>Youth</v>
      </c>
      <c r="I372" t="str" cm="1">
        <f t="array" ref="I372">_xlfn.IFS(A372&lt;=25,"18-25",A372&lt;=35,"26-35",A372&lt;=45,"36-45",A372&lt;=60,"46-60",A372&gt;60,"60+")</f>
        <v>26-35</v>
      </c>
      <c r="J372" t="str" cm="1">
        <f t="array" ref="J372">_xlfn.IFS(C372&lt;18.5,"Underweight",C372&lt;25,"Normal",C372&lt;30,"Overweight",C372&gt;=30,"Obese")</f>
        <v>Overweight</v>
      </c>
      <c r="K372" t="str" cm="1">
        <f t="array" ref="K372">_xlfn.IFS(G372&lt;10000, "Low", G372&lt;=25000, "Medium", G372&gt;25000, "High")</f>
        <v>Low</v>
      </c>
    </row>
    <row r="373" spans="1:11" x14ac:dyDescent="0.3">
      <c r="A373">
        <v>28</v>
      </c>
      <c r="B373" s="1" t="s">
        <v>7</v>
      </c>
      <c r="C373">
        <v>26.79</v>
      </c>
      <c r="D373">
        <v>0</v>
      </c>
      <c r="E373" t="s">
        <v>10</v>
      </c>
      <c r="F373" t="s">
        <v>14</v>
      </c>
      <c r="G373" s="2">
        <v>5227.9887500000004</v>
      </c>
      <c r="H373" t="str" cm="1">
        <f t="array" ref="H373">_xlfn.IFS(A373&lt;=30, "Youth", A373&lt;=50, "Adult", A373&gt;50, "Older")</f>
        <v>Youth</v>
      </c>
      <c r="I373" t="str" cm="1">
        <f t="array" ref="I373">_xlfn.IFS(A373&lt;=25,"18-25",A373&lt;=35,"26-35",A373&lt;=45,"36-45",A373&lt;=60,"46-60",A373&gt;60,"60+")</f>
        <v>26-35</v>
      </c>
      <c r="J373" t="str" cm="1">
        <f t="array" ref="J373">_xlfn.IFS(C373&lt;18.5,"Underweight",C373&lt;25,"Normal",C373&lt;30,"Overweight",C373&gt;=30,"Obese")</f>
        <v>Overweight</v>
      </c>
      <c r="K373" t="str" cm="1">
        <f t="array" ref="K373">_xlfn.IFS(G373&lt;10000, "Low", G373&lt;=25000, "Medium", G373&gt;25000, "High")</f>
        <v>Low</v>
      </c>
    </row>
    <row r="374" spans="1:11" x14ac:dyDescent="0.3">
      <c r="A374">
        <v>28</v>
      </c>
      <c r="B374" s="1" t="s">
        <v>7</v>
      </c>
      <c r="C374">
        <v>26.8</v>
      </c>
      <c r="D374">
        <v>0</v>
      </c>
      <c r="E374" t="s">
        <v>10</v>
      </c>
      <c r="F374" t="s">
        <v>14</v>
      </c>
      <c r="G374" s="2">
        <v>5240.7650000000003</v>
      </c>
      <c r="H374" t="str" cm="1">
        <f t="array" ref="H374">_xlfn.IFS(A374&lt;=30, "Youth", A374&lt;=50, "Adult", A374&gt;50, "Older")</f>
        <v>Youth</v>
      </c>
      <c r="I374" t="str" cm="1">
        <f t="array" ref="I374">_xlfn.IFS(A374&lt;=25,"18-25",A374&lt;=35,"26-35",A374&lt;=45,"36-45",A374&lt;=60,"46-60",A374&gt;60,"60+")</f>
        <v>26-35</v>
      </c>
      <c r="J374" t="str" cm="1">
        <f t="array" ref="J374">_xlfn.IFS(C374&lt;18.5,"Underweight",C374&lt;25,"Normal",C374&lt;30,"Overweight",C374&gt;=30,"Obese")</f>
        <v>Overweight</v>
      </c>
      <c r="K374" t="str" cm="1">
        <f t="array" ref="K374">_xlfn.IFS(G374&lt;10000, "Low", G374&lt;=25000, "Medium", G374&gt;25000, "High")</f>
        <v>Low</v>
      </c>
    </row>
    <row r="375" spans="1:11" x14ac:dyDescent="0.3">
      <c r="A375">
        <v>28</v>
      </c>
      <c r="B375" s="1" t="s">
        <v>8</v>
      </c>
      <c r="C375">
        <v>26.8</v>
      </c>
      <c r="D375">
        <v>0</v>
      </c>
      <c r="E375" t="s">
        <v>9</v>
      </c>
      <c r="F375" t="s">
        <v>11</v>
      </c>
      <c r="G375" s="2">
        <v>5245.2268999999997</v>
      </c>
      <c r="H375" t="str" cm="1">
        <f t="array" ref="H375">_xlfn.IFS(A375&lt;=30, "Youth", A375&lt;=50, "Adult", A375&gt;50, "Older")</f>
        <v>Youth</v>
      </c>
      <c r="I375" t="str" cm="1">
        <f t="array" ref="I375">_xlfn.IFS(A375&lt;=25,"18-25",A375&lt;=35,"26-35",A375&lt;=45,"36-45",A375&lt;=60,"46-60",A375&gt;60,"60+")</f>
        <v>26-35</v>
      </c>
      <c r="J375" t="str" cm="1">
        <f t="array" ref="J375">_xlfn.IFS(C375&lt;18.5,"Underweight",C375&lt;25,"Normal",C375&lt;30,"Overweight",C375&gt;=30,"Obese")</f>
        <v>Overweight</v>
      </c>
      <c r="K375" t="str" cm="1">
        <f t="array" ref="K375">_xlfn.IFS(G375&lt;10000, "Low", G375&lt;=25000, "Medium", G375&gt;25000, "High")</f>
        <v>Low</v>
      </c>
    </row>
    <row r="376" spans="1:11" x14ac:dyDescent="0.3">
      <c r="A376">
        <v>28</v>
      </c>
      <c r="B376" s="1" t="s">
        <v>8</v>
      </c>
      <c r="C376">
        <v>26.84</v>
      </c>
      <c r="D376">
        <v>0</v>
      </c>
      <c r="E376" t="s">
        <v>10</v>
      </c>
      <c r="F376" t="s">
        <v>12</v>
      </c>
      <c r="G376" s="2">
        <v>5246.0469999999996</v>
      </c>
      <c r="H376" t="str" cm="1">
        <f t="array" ref="H376">_xlfn.IFS(A376&lt;=30, "Youth", A376&lt;=50, "Adult", A376&gt;50, "Older")</f>
        <v>Youth</v>
      </c>
      <c r="I376" t="str" cm="1">
        <f t="array" ref="I376">_xlfn.IFS(A376&lt;=25,"18-25",A376&lt;=35,"26-35",A376&lt;=45,"36-45",A376&lt;=60,"46-60",A376&gt;60,"60+")</f>
        <v>26-35</v>
      </c>
      <c r="J376" t="str" cm="1">
        <f t="array" ref="J376">_xlfn.IFS(C376&lt;18.5,"Underweight",C376&lt;25,"Normal",C376&lt;30,"Overweight",C376&gt;=30,"Obese")</f>
        <v>Overweight</v>
      </c>
      <c r="K376" t="str" cm="1">
        <f t="array" ref="K376">_xlfn.IFS(G376&lt;10000, "Low", G376&lt;=25000, "Medium", G376&gt;25000, "High")</f>
        <v>Low</v>
      </c>
    </row>
    <row r="377" spans="1:11" x14ac:dyDescent="0.3">
      <c r="A377">
        <v>28</v>
      </c>
      <c r="B377" s="1" t="s">
        <v>7</v>
      </c>
      <c r="C377">
        <v>26.84</v>
      </c>
      <c r="D377">
        <v>0</v>
      </c>
      <c r="E377" t="s">
        <v>9</v>
      </c>
      <c r="F377" t="s">
        <v>13</v>
      </c>
      <c r="G377" s="2">
        <v>5253.5240000000003</v>
      </c>
      <c r="H377" t="str" cm="1">
        <f t="array" ref="H377">_xlfn.IFS(A377&lt;=30, "Youth", A377&lt;=50, "Adult", A377&gt;50, "Older")</f>
        <v>Youth</v>
      </c>
      <c r="I377" t="str" cm="1">
        <f t="array" ref="I377">_xlfn.IFS(A377&lt;=25,"18-25",A377&lt;=35,"26-35",A377&lt;=45,"36-45",A377&lt;=60,"46-60",A377&gt;60,"60+")</f>
        <v>26-35</v>
      </c>
      <c r="J377" t="str" cm="1">
        <f t="array" ref="J377">_xlfn.IFS(C377&lt;18.5,"Underweight",C377&lt;25,"Normal",C377&lt;30,"Overweight",C377&gt;=30,"Obese")</f>
        <v>Overweight</v>
      </c>
      <c r="K377" t="str" cm="1">
        <f t="array" ref="K377">_xlfn.IFS(G377&lt;10000, "Low", G377&lt;=25000, "Medium", G377&gt;25000, "High")</f>
        <v>Low</v>
      </c>
    </row>
    <row r="378" spans="1:11" x14ac:dyDescent="0.3">
      <c r="A378">
        <v>28</v>
      </c>
      <c r="B378" s="1" t="s">
        <v>7</v>
      </c>
      <c r="C378">
        <v>26.885000000000002</v>
      </c>
      <c r="D378">
        <v>0</v>
      </c>
      <c r="E378" t="s">
        <v>9</v>
      </c>
      <c r="F378" t="s">
        <v>14</v>
      </c>
      <c r="G378" s="2">
        <v>5257.5079500000002</v>
      </c>
      <c r="H378" t="str" cm="1">
        <f t="array" ref="H378">_xlfn.IFS(A378&lt;=30, "Youth", A378&lt;=50, "Adult", A378&gt;50, "Older")</f>
        <v>Youth</v>
      </c>
      <c r="I378" t="str" cm="1">
        <f t="array" ref="I378">_xlfn.IFS(A378&lt;=25,"18-25",A378&lt;=35,"26-35",A378&lt;=45,"36-45",A378&lt;=60,"46-60",A378&gt;60,"60+")</f>
        <v>26-35</v>
      </c>
      <c r="J378" t="str" cm="1">
        <f t="array" ref="J378">_xlfn.IFS(C378&lt;18.5,"Underweight",C378&lt;25,"Normal",C378&lt;30,"Overweight",C378&gt;=30,"Obese")</f>
        <v>Overweight</v>
      </c>
      <c r="K378" t="str" cm="1">
        <f t="array" ref="K378">_xlfn.IFS(G378&lt;10000, "Low", G378&lt;=25000, "Medium", G378&gt;25000, "High")</f>
        <v>Low</v>
      </c>
    </row>
    <row r="379" spans="1:11" x14ac:dyDescent="0.3">
      <c r="A379">
        <v>28</v>
      </c>
      <c r="B379" s="1" t="s">
        <v>8</v>
      </c>
      <c r="C379">
        <v>26.885000000000002</v>
      </c>
      <c r="D379">
        <v>0</v>
      </c>
      <c r="E379" t="s">
        <v>9</v>
      </c>
      <c r="F379" t="s">
        <v>12</v>
      </c>
      <c r="G379" s="2">
        <v>5261.4694499999996</v>
      </c>
      <c r="H379" t="str" cm="1">
        <f t="array" ref="H379">_xlfn.IFS(A379&lt;=30, "Youth", A379&lt;=50, "Adult", A379&gt;50, "Older")</f>
        <v>Youth</v>
      </c>
      <c r="I379" t="str" cm="1">
        <f t="array" ref="I379">_xlfn.IFS(A379&lt;=25,"18-25",A379&lt;=35,"26-35",A379&lt;=45,"36-45",A379&lt;=60,"46-60",A379&gt;60,"60+")</f>
        <v>26-35</v>
      </c>
      <c r="J379" t="str" cm="1">
        <f t="array" ref="J379">_xlfn.IFS(C379&lt;18.5,"Underweight",C379&lt;25,"Normal",C379&lt;30,"Overweight",C379&gt;=30,"Obese")</f>
        <v>Overweight</v>
      </c>
      <c r="K379" t="str" cm="1">
        <f t="array" ref="K379">_xlfn.IFS(G379&lt;10000, "Low", G379&lt;=25000, "Medium", G379&gt;25000, "High")</f>
        <v>Low</v>
      </c>
    </row>
    <row r="380" spans="1:11" x14ac:dyDescent="0.3">
      <c r="A380">
        <v>28</v>
      </c>
      <c r="B380" s="1" t="s">
        <v>7</v>
      </c>
      <c r="C380">
        <v>26.885000000000002</v>
      </c>
      <c r="D380">
        <v>0</v>
      </c>
      <c r="E380" t="s">
        <v>10</v>
      </c>
      <c r="F380" t="s">
        <v>13</v>
      </c>
      <c r="G380" s="2">
        <v>5266.3656000000001</v>
      </c>
      <c r="H380" t="str" cm="1">
        <f t="array" ref="H380">_xlfn.IFS(A380&lt;=30, "Youth", A380&lt;=50, "Adult", A380&gt;50, "Older")</f>
        <v>Youth</v>
      </c>
      <c r="I380" t="str" cm="1">
        <f t="array" ref="I380">_xlfn.IFS(A380&lt;=25,"18-25",A380&lt;=35,"26-35",A380&lt;=45,"36-45",A380&lt;=60,"46-60",A380&gt;60,"60+")</f>
        <v>26-35</v>
      </c>
      <c r="J380" t="str" cm="1">
        <f t="array" ref="J380">_xlfn.IFS(C380&lt;18.5,"Underweight",C380&lt;25,"Normal",C380&lt;30,"Overweight",C380&gt;=30,"Obese")</f>
        <v>Overweight</v>
      </c>
      <c r="K380" t="str" cm="1">
        <f t="array" ref="K380">_xlfn.IFS(G380&lt;10000, "Low", G380&lt;=25000, "Medium", G380&gt;25000, "High")</f>
        <v>Low</v>
      </c>
    </row>
    <row r="381" spans="1:11" x14ac:dyDescent="0.3">
      <c r="A381">
        <v>28</v>
      </c>
      <c r="B381" s="1" t="s">
        <v>8</v>
      </c>
      <c r="C381">
        <v>26.885000000000002</v>
      </c>
      <c r="D381">
        <v>0</v>
      </c>
      <c r="E381" t="s">
        <v>10</v>
      </c>
      <c r="F381" t="s">
        <v>12</v>
      </c>
      <c r="G381" s="2">
        <v>5267.8181500000001</v>
      </c>
      <c r="H381" t="str" cm="1">
        <f t="array" ref="H381">_xlfn.IFS(A381&lt;=30, "Youth", A381&lt;=50, "Adult", A381&gt;50, "Older")</f>
        <v>Youth</v>
      </c>
      <c r="I381" t="str" cm="1">
        <f t="array" ref="I381">_xlfn.IFS(A381&lt;=25,"18-25",A381&lt;=35,"26-35",A381&lt;=45,"36-45",A381&lt;=60,"46-60",A381&gt;60,"60+")</f>
        <v>26-35</v>
      </c>
      <c r="J381" t="str" cm="1">
        <f t="array" ref="J381">_xlfn.IFS(C381&lt;18.5,"Underweight",C381&lt;25,"Normal",C381&lt;30,"Overweight",C381&gt;=30,"Obese")</f>
        <v>Overweight</v>
      </c>
      <c r="K381" t="str" cm="1">
        <f t="array" ref="K381">_xlfn.IFS(G381&lt;10000, "Low", G381&lt;=25000, "Medium", G381&gt;25000, "High")</f>
        <v>Low</v>
      </c>
    </row>
    <row r="382" spans="1:11" x14ac:dyDescent="0.3">
      <c r="A382">
        <v>28</v>
      </c>
      <c r="B382" s="1" t="s">
        <v>7</v>
      </c>
      <c r="C382">
        <v>26.9</v>
      </c>
      <c r="D382">
        <v>0</v>
      </c>
      <c r="E382" t="s">
        <v>9</v>
      </c>
      <c r="F382" t="s">
        <v>14</v>
      </c>
      <c r="G382" s="2">
        <v>5272.1758</v>
      </c>
      <c r="H382" t="str" cm="1">
        <f t="array" ref="H382">_xlfn.IFS(A382&lt;=30, "Youth", A382&lt;=50, "Adult", A382&gt;50, "Older")</f>
        <v>Youth</v>
      </c>
      <c r="I382" t="str" cm="1">
        <f t="array" ref="I382">_xlfn.IFS(A382&lt;=25,"18-25",A382&lt;=35,"26-35",A382&lt;=45,"36-45",A382&lt;=60,"46-60",A382&gt;60,"60+")</f>
        <v>26-35</v>
      </c>
      <c r="J382" t="str" cm="1">
        <f t="array" ref="J382">_xlfn.IFS(C382&lt;18.5,"Underweight",C382&lt;25,"Normal",C382&lt;30,"Overweight",C382&gt;=30,"Obese")</f>
        <v>Overweight</v>
      </c>
      <c r="K382" t="str" cm="1">
        <f t="array" ref="K382">_xlfn.IFS(G382&lt;10000, "Low", G382&lt;=25000, "Medium", G382&gt;25000, "High")</f>
        <v>Low</v>
      </c>
    </row>
    <row r="383" spans="1:11" x14ac:dyDescent="0.3">
      <c r="A383">
        <v>28</v>
      </c>
      <c r="B383" s="1" t="s">
        <v>8</v>
      </c>
      <c r="C383">
        <v>26.98</v>
      </c>
      <c r="D383">
        <v>0</v>
      </c>
      <c r="E383" t="s">
        <v>9</v>
      </c>
      <c r="F383" t="s">
        <v>14</v>
      </c>
      <c r="G383" s="2">
        <v>5312.1698500000002</v>
      </c>
      <c r="H383" t="str" cm="1">
        <f t="array" ref="H383">_xlfn.IFS(A383&lt;=30, "Youth", A383&lt;=50, "Adult", A383&gt;50, "Older")</f>
        <v>Youth</v>
      </c>
      <c r="I383" t="str" cm="1">
        <f t="array" ref="I383">_xlfn.IFS(A383&lt;=25,"18-25",A383&lt;=35,"26-35",A383&lt;=45,"36-45",A383&lt;=60,"46-60",A383&gt;60,"60+")</f>
        <v>26-35</v>
      </c>
      <c r="J383" t="str" cm="1">
        <f t="array" ref="J383">_xlfn.IFS(C383&lt;18.5,"Underweight",C383&lt;25,"Normal",C383&lt;30,"Overweight",C383&gt;=30,"Obese")</f>
        <v>Overweight</v>
      </c>
      <c r="K383" t="str" cm="1">
        <f t="array" ref="K383">_xlfn.IFS(G383&lt;10000, "Low", G383&lt;=25000, "Medium", G383&gt;25000, "High")</f>
        <v>Low</v>
      </c>
    </row>
    <row r="384" spans="1:11" x14ac:dyDescent="0.3">
      <c r="A384">
        <v>28</v>
      </c>
      <c r="B384" s="1" t="s">
        <v>8</v>
      </c>
      <c r="C384">
        <v>26.98</v>
      </c>
      <c r="D384">
        <v>0</v>
      </c>
      <c r="E384" t="s">
        <v>10</v>
      </c>
      <c r="F384" t="s">
        <v>12</v>
      </c>
      <c r="G384" s="2">
        <v>5325.6509999999998</v>
      </c>
      <c r="H384" t="str" cm="1">
        <f t="array" ref="H384">_xlfn.IFS(A384&lt;=30, "Youth", A384&lt;=50, "Adult", A384&gt;50, "Older")</f>
        <v>Youth</v>
      </c>
      <c r="I384" t="str" cm="1">
        <f t="array" ref="I384">_xlfn.IFS(A384&lt;=25,"18-25",A384&lt;=35,"26-35",A384&lt;=45,"36-45",A384&lt;=60,"46-60",A384&gt;60,"60+")</f>
        <v>26-35</v>
      </c>
      <c r="J384" t="str" cm="1">
        <f t="array" ref="J384">_xlfn.IFS(C384&lt;18.5,"Underweight",C384&lt;25,"Normal",C384&lt;30,"Overweight",C384&gt;=30,"Obese")</f>
        <v>Overweight</v>
      </c>
      <c r="K384" t="str" cm="1">
        <f t="array" ref="K384">_xlfn.IFS(G384&lt;10000, "Low", G384&lt;=25000, "Medium", G384&gt;25000, "High")</f>
        <v>Low</v>
      </c>
    </row>
    <row r="385" spans="1:11" x14ac:dyDescent="0.3">
      <c r="A385">
        <v>28</v>
      </c>
      <c r="B385" s="1" t="s">
        <v>7</v>
      </c>
      <c r="C385">
        <v>26.98</v>
      </c>
      <c r="D385">
        <v>0</v>
      </c>
      <c r="E385" t="s">
        <v>10</v>
      </c>
      <c r="F385" t="s">
        <v>12</v>
      </c>
      <c r="G385" s="2">
        <v>5327.4002499999997</v>
      </c>
      <c r="H385" t="str" cm="1">
        <f t="array" ref="H385">_xlfn.IFS(A385&lt;=30, "Youth", A385&lt;=50, "Adult", A385&gt;50, "Older")</f>
        <v>Youth</v>
      </c>
      <c r="I385" t="str" cm="1">
        <f t="array" ref="I385">_xlfn.IFS(A385&lt;=25,"18-25",A385&lt;=35,"26-35",A385&lt;=45,"36-45",A385&lt;=60,"46-60",A385&gt;60,"60+")</f>
        <v>26-35</v>
      </c>
      <c r="J385" t="str" cm="1">
        <f t="array" ref="J385">_xlfn.IFS(C385&lt;18.5,"Underweight",C385&lt;25,"Normal",C385&lt;30,"Overweight",C385&gt;=30,"Obese")</f>
        <v>Overweight</v>
      </c>
      <c r="K385" t="str" cm="1">
        <f t="array" ref="K385">_xlfn.IFS(G385&lt;10000, "Low", G385&lt;=25000, "Medium", G385&gt;25000, "High")</f>
        <v>Low</v>
      </c>
    </row>
    <row r="386" spans="1:11" x14ac:dyDescent="0.3">
      <c r="A386">
        <v>28</v>
      </c>
      <c r="B386" s="1" t="s">
        <v>8</v>
      </c>
      <c r="C386">
        <v>27</v>
      </c>
      <c r="D386">
        <v>0</v>
      </c>
      <c r="E386" t="s">
        <v>10</v>
      </c>
      <c r="F386" t="s">
        <v>14</v>
      </c>
      <c r="G386" s="2">
        <v>5354.0746499999996</v>
      </c>
      <c r="H386" t="str" cm="1">
        <f t="array" ref="H386">_xlfn.IFS(A386&lt;=30, "Youth", A386&lt;=50, "Adult", A386&gt;50, "Older")</f>
        <v>Youth</v>
      </c>
      <c r="I386" t="str" cm="1">
        <f t="array" ref="I386">_xlfn.IFS(A386&lt;=25,"18-25",A386&lt;=35,"26-35",A386&lt;=45,"36-45",A386&lt;=60,"46-60",A386&gt;60,"60+")</f>
        <v>26-35</v>
      </c>
      <c r="J386" t="str" cm="1">
        <f t="array" ref="J386">_xlfn.IFS(C386&lt;18.5,"Underweight",C386&lt;25,"Normal",C386&lt;30,"Overweight",C386&gt;=30,"Obese")</f>
        <v>Overweight</v>
      </c>
      <c r="K386" t="str" cm="1">
        <f t="array" ref="K386">_xlfn.IFS(G386&lt;10000, "Low", G386&lt;=25000, "Medium", G386&gt;25000, "High")</f>
        <v>Low</v>
      </c>
    </row>
    <row r="387" spans="1:11" x14ac:dyDescent="0.3">
      <c r="A387">
        <v>28</v>
      </c>
      <c r="B387" s="1" t="s">
        <v>8</v>
      </c>
      <c r="C387">
        <v>27.06</v>
      </c>
      <c r="D387">
        <v>0</v>
      </c>
      <c r="E387" t="s">
        <v>10</v>
      </c>
      <c r="F387" t="s">
        <v>11</v>
      </c>
      <c r="G387" s="2">
        <v>5373.3642499999996</v>
      </c>
      <c r="H387" t="str" cm="1">
        <f t="array" ref="H387">_xlfn.IFS(A387&lt;=30, "Youth", A387&lt;=50, "Adult", A387&gt;50, "Older")</f>
        <v>Youth</v>
      </c>
      <c r="I387" t="str" cm="1">
        <f t="array" ref="I387">_xlfn.IFS(A387&lt;=25,"18-25",A387&lt;=35,"26-35",A387&lt;=45,"36-45",A387&lt;=60,"46-60",A387&gt;60,"60+")</f>
        <v>26-35</v>
      </c>
      <c r="J387" t="str" cm="1">
        <f t="array" ref="J387">_xlfn.IFS(C387&lt;18.5,"Underweight",C387&lt;25,"Normal",C387&lt;30,"Overweight",C387&gt;=30,"Obese")</f>
        <v>Overweight</v>
      </c>
      <c r="K387" t="str" cm="1">
        <f t="array" ref="K387">_xlfn.IFS(G387&lt;10000, "Low", G387&lt;=25000, "Medium", G387&gt;25000, "High")</f>
        <v>Low</v>
      </c>
    </row>
    <row r="388" spans="1:11" x14ac:dyDescent="0.3">
      <c r="A388">
        <v>28</v>
      </c>
      <c r="B388" s="1" t="s">
        <v>7</v>
      </c>
      <c r="C388">
        <v>27.074999999999999</v>
      </c>
      <c r="D388">
        <v>0</v>
      </c>
      <c r="E388" t="s">
        <v>10</v>
      </c>
      <c r="F388" t="s">
        <v>12</v>
      </c>
      <c r="G388" s="2">
        <v>5375.0379999999996</v>
      </c>
      <c r="H388" t="str" cm="1">
        <f t="array" ref="H388">_xlfn.IFS(A388&lt;=30, "Youth", A388&lt;=50, "Adult", A388&gt;50, "Older")</f>
        <v>Youth</v>
      </c>
      <c r="I388" t="str" cm="1">
        <f t="array" ref="I388">_xlfn.IFS(A388&lt;=25,"18-25",A388&lt;=35,"26-35",A388&lt;=45,"36-45",A388&lt;=60,"46-60",A388&gt;60,"60+")</f>
        <v>26-35</v>
      </c>
      <c r="J388" t="str" cm="1">
        <f t="array" ref="J388">_xlfn.IFS(C388&lt;18.5,"Underweight",C388&lt;25,"Normal",C388&lt;30,"Overweight",C388&gt;=30,"Obese")</f>
        <v>Overweight</v>
      </c>
      <c r="K388" t="str" cm="1">
        <f t="array" ref="K388">_xlfn.IFS(G388&lt;10000, "Low", G388&lt;=25000, "Medium", G388&gt;25000, "High")</f>
        <v>Low</v>
      </c>
    </row>
    <row r="389" spans="1:11" x14ac:dyDescent="0.3">
      <c r="A389">
        <v>28</v>
      </c>
      <c r="B389" s="1" t="s">
        <v>8</v>
      </c>
      <c r="C389">
        <v>27.1</v>
      </c>
      <c r="D389">
        <v>0</v>
      </c>
      <c r="E389" t="s">
        <v>10</v>
      </c>
      <c r="F389" t="s">
        <v>13</v>
      </c>
      <c r="G389" s="2">
        <v>5377.4578000000001</v>
      </c>
      <c r="H389" t="str" cm="1">
        <f t="array" ref="H389">_xlfn.IFS(A389&lt;=30, "Youth", A389&lt;=50, "Adult", A389&gt;50, "Older")</f>
        <v>Youth</v>
      </c>
      <c r="I389" t="str" cm="1">
        <f t="array" ref="I389">_xlfn.IFS(A389&lt;=25,"18-25",A389&lt;=35,"26-35",A389&lt;=45,"36-45",A389&lt;=60,"46-60",A389&gt;60,"60+")</f>
        <v>26-35</v>
      </c>
      <c r="J389" t="str" cm="1">
        <f t="array" ref="J389">_xlfn.IFS(C389&lt;18.5,"Underweight",C389&lt;25,"Normal",C389&lt;30,"Overweight",C389&gt;=30,"Obese")</f>
        <v>Overweight</v>
      </c>
      <c r="K389" t="str" cm="1">
        <f t="array" ref="K389">_xlfn.IFS(G389&lt;10000, "Low", G389&lt;=25000, "Medium", G389&gt;25000, "High")</f>
        <v>Low</v>
      </c>
    </row>
    <row r="390" spans="1:11" x14ac:dyDescent="0.3">
      <c r="A390">
        <v>28</v>
      </c>
      <c r="B390" s="1" t="s">
        <v>7</v>
      </c>
      <c r="C390">
        <v>27.1</v>
      </c>
      <c r="D390">
        <v>0</v>
      </c>
      <c r="E390" t="s">
        <v>10</v>
      </c>
      <c r="F390" t="s">
        <v>13</v>
      </c>
      <c r="G390" s="2">
        <v>5383.5360000000001</v>
      </c>
      <c r="H390" t="str" cm="1">
        <f t="array" ref="H390">_xlfn.IFS(A390&lt;=30, "Youth", A390&lt;=50, "Adult", A390&gt;50, "Older")</f>
        <v>Youth</v>
      </c>
      <c r="I390" t="str" cm="1">
        <f t="array" ref="I390">_xlfn.IFS(A390&lt;=25,"18-25",A390&lt;=35,"26-35",A390&lt;=45,"36-45",A390&lt;=60,"46-60",A390&gt;60,"60+")</f>
        <v>26-35</v>
      </c>
      <c r="J390" t="str" cm="1">
        <f t="array" ref="J390">_xlfn.IFS(C390&lt;18.5,"Underweight",C390&lt;25,"Normal",C390&lt;30,"Overweight",C390&gt;=30,"Obese")</f>
        <v>Overweight</v>
      </c>
      <c r="K390" t="str" cm="1">
        <f t="array" ref="K390">_xlfn.IFS(G390&lt;10000, "Low", G390&lt;=25000, "Medium", G390&gt;25000, "High")</f>
        <v>Low</v>
      </c>
    </row>
    <row r="391" spans="1:11" x14ac:dyDescent="0.3">
      <c r="A391">
        <v>29</v>
      </c>
      <c r="B391" s="1" t="s">
        <v>7</v>
      </c>
      <c r="C391">
        <v>27.1</v>
      </c>
      <c r="D391">
        <v>0</v>
      </c>
      <c r="E391" t="s">
        <v>10</v>
      </c>
      <c r="F391" t="s">
        <v>13</v>
      </c>
      <c r="G391" s="2">
        <v>5385.3379000000004</v>
      </c>
      <c r="H391" t="str" cm="1">
        <f t="array" ref="H391">_xlfn.IFS(A391&lt;=30, "Youth", A391&lt;=50, "Adult", A391&gt;50, "Older")</f>
        <v>Youth</v>
      </c>
      <c r="I391" t="str" cm="1">
        <f t="array" ref="I391">_xlfn.IFS(A391&lt;=25,"18-25",A391&lt;=35,"26-35",A391&lt;=45,"36-45",A391&lt;=60,"46-60",A391&gt;60,"60+")</f>
        <v>26-35</v>
      </c>
      <c r="J391" t="str" cm="1">
        <f t="array" ref="J391">_xlfn.IFS(C391&lt;18.5,"Underweight",C391&lt;25,"Normal",C391&lt;30,"Overweight",C391&gt;=30,"Obese")</f>
        <v>Overweight</v>
      </c>
      <c r="K391" t="str" cm="1">
        <f t="array" ref="K391">_xlfn.IFS(G391&lt;10000, "Low", G391&lt;=25000, "Medium", G391&gt;25000, "High")</f>
        <v>Low</v>
      </c>
    </row>
    <row r="392" spans="1:11" x14ac:dyDescent="0.3">
      <c r="A392">
        <v>29</v>
      </c>
      <c r="B392" s="1" t="s">
        <v>8</v>
      </c>
      <c r="C392">
        <v>27.1</v>
      </c>
      <c r="D392">
        <v>0</v>
      </c>
      <c r="E392" t="s">
        <v>10</v>
      </c>
      <c r="F392" t="s">
        <v>14</v>
      </c>
      <c r="G392" s="2">
        <v>5397.6166999999996</v>
      </c>
      <c r="H392" t="str" cm="1">
        <f t="array" ref="H392">_xlfn.IFS(A392&lt;=30, "Youth", A392&lt;=50, "Adult", A392&gt;50, "Older")</f>
        <v>Youth</v>
      </c>
      <c r="I392" t="str" cm="1">
        <f t="array" ref="I392">_xlfn.IFS(A392&lt;=25,"18-25",A392&lt;=35,"26-35",A392&lt;=45,"36-45",A392&lt;=60,"46-60",A392&gt;60,"60+")</f>
        <v>26-35</v>
      </c>
      <c r="J392" t="str" cm="1">
        <f t="array" ref="J392">_xlfn.IFS(C392&lt;18.5,"Underweight",C392&lt;25,"Normal",C392&lt;30,"Overweight",C392&gt;=30,"Obese")</f>
        <v>Overweight</v>
      </c>
      <c r="K392" t="str" cm="1">
        <f t="array" ref="K392">_xlfn.IFS(G392&lt;10000, "Low", G392&lt;=25000, "Medium", G392&gt;25000, "High")</f>
        <v>Low</v>
      </c>
    </row>
    <row r="393" spans="1:11" x14ac:dyDescent="0.3">
      <c r="A393">
        <v>29</v>
      </c>
      <c r="B393" s="1" t="s">
        <v>7</v>
      </c>
      <c r="C393">
        <v>27.17</v>
      </c>
      <c r="D393">
        <v>0</v>
      </c>
      <c r="E393" t="s">
        <v>10</v>
      </c>
      <c r="F393" t="s">
        <v>13</v>
      </c>
      <c r="G393" s="2">
        <v>5400.9804999999997</v>
      </c>
      <c r="H393" t="str" cm="1">
        <f t="array" ref="H393">_xlfn.IFS(A393&lt;=30, "Youth", A393&lt;=50, "Adult", A393&gt;50, "Older")</f>
        <v>Youth</v>
      </c>
      <c r="I393" t="str" cm="1">
        <f t="array" ref="I393">_xlfn.IFS(A393&lt;=25,"18-25",A393&lt;=35,"26-35",A393&lt;=45,"36-45",A393&lt;=60,"46-60",A393&gt;60,"60+")</f>
        <v>26-35</v>
      </c>
      <c r="J393" t="str" cm="1">
        <f t="array" ref="J393">_xlfn.IFS(C393&lt;18.5,"Underweight",C393&lt;25,"Normal",C393&lt;30,"Overweight",C393&gt;=30,"Obese")</f>
        <v>Overweight</v>
      </c>
      <c r="K393" t="str" cm="1">
        <f t="array" ref="K393">_xlfn.IFS(G393&lt;10000, "Low", G393&lt;=25000, "Medium", G393&gt;25000, "High")</f>
        <v>Low</v>
      </c>
    </row>
    <row r="394" spans="1:11" x14ac:dyDescent="0.3">
      <c r="A394">
        <v>29</v>
      </c>
      <c r="B394" s="1" t="s">
        <v>8</v>
      </c>
      <c r="C394">
        <v>27.17</v>
      </c>
      <c r="D394">
        <v>0</v>
      </c>
      <c r="E394" t="s">
        <v>10</v>
      </c>
      <c r="F394" t="s">
        <v>14</v>
      </c>
      <c r="G394" s="2">
        <v>5415.6611999999996</v>
      </c>
      <c r="H394" t="str" cm="1">
        <f t="array" ref="H394">_xlfn.IFS(A394&lt;=30, "Youth", A394&lt;=50, "Adult", A394&gt;50, "Older")</f>
        <v>Youth</v>
      </c>
      <c r="I394" t="str" cm="1">
        <f t="array" ref="I394">_xlfn.IFS(A394&lt;=25,"18-25",A394&lt;=35,"26-35",A394&lt;=45,"36-45",A394&lt;=60,"46-60",A394&gt;60,"60+")</f>
        <v>26-35</v>
      </c>
      <c r="J394" t="str" cm="1">
        <f t="array" ref="J394">_xlfn.IFS(C394&lt;18.5,"Underweight",C394&lt;25,"Normal",C394&lt;30,"Overweight",C394&gt;=30,"Obese")</f>
        <v>Overweight</v>
      </c>
      <c r="K394" t="str" cm="1">
        <f t="array" ref="K394">_xlfn.IFS(G394&lt;10000, "Low", G394&lt;=25000, "Medium", G394&gt;25000, "High")</f>
        <v>Low</v>
      </c>
    </row>
    <row r="395" spans="1:11" x14ac:dyDescent="0.3">
      <c r="A395">
        <v>29</v>
      </c>
      <c r="B395" s="1" t="s">
        <v>8</v>
      </c>
      <c r="C395">
        <v>27.2</v>
      </c>
      <c r="D395">
        <v>0</v>
      </c>
      <c r="E395" t="s">
        <v>10</v>
      </c>
      <c r="F395" t="s">
        <v>14</v>
      </c>
      <c r="G395" s="2">
        <v>5425.0233500000004</v>
      </c>
      <c r="H395" t="str" cm="1">
        <f t="array" ref="H395">_xlfn.IFS(A395&lt;=30, "Youth", A395&lt;=50, "Adult", A395&gt;50, "Older")</f>
        <v>Youth</v>
      </c>
      <c r="I395" t="str" cm="1">
        <f t="array" ref="I395">_xlfn.IFS(A395&lt;=25,"18-25",A395&lt;=35,"26-35",A395&lt;=45,"36-45",A395&lt;=60,"46-60",A395&gt;60,"60+")</f>
        <v>26-35</v>
      </c>
      <c r="J395" t="str" cm="1">
        <f t="array" ref="J395">_xlfn.IFS(C395&lt;18.5,"Underweight",C395&lt;25,"Normal",C395&lt;30,"Overweight",C395&gt;=30,"Obese")</f>
        <v>Overweight</v>
      </c>
      <c r="K395" t="str" cm="1">
        <f t="array" ref="K395">_xlfn.IFS(G395&lt;10000, "Low", G395&lt;=25000, "Medium", G395&gt;25000, "High")</f>
        <v>Low</v>
      </c>
    </row>
    <row r="396" spans="1:11" x14ac:dyDescent="0.3">
      <c r="A396">
        <v>29</v>
      </c>
      <c r="B396" s="1" t="s">
        <v>7</v>
      </c>
      <c r="C396">
        <v>27.2</v>
      </c>
      <c r="D396">
        <v>0</v>
      </c>
      <c r="E396" t="s">
        <v>10</v>
      </c>
      <c r="F396" t="s">
        <v>14</v>
      </c>
      <c r="G396" s="2">
        <v>5428.7277000000004</v>
      </c>
      <c r="H396" t="str" cm="1">
        <f t="array" ref="H396">_xlfn.IFS(A396&lt;=30, "Youth", A396&lt;=50, "Adult", A396&gt;50, "Older")</f>
        <v>Youth</v>
      </c>
      <c r="I396" t="str" cm="1">
        <f t="array" ref="I396">_xlfn.IFS(A396&lt;=25,"18-25",A396&lt;=35,"26-35",A396&lt;=45,"36-45",A396&lt;=60,"46-60",A396&gt;60,"60+")</f>
        <v>26-35</v>
      </c>
      <c r="J396" t="str" cm="1">
        <f t="array" ref="J396">_xlfn.IFS(C396&lt;18.5,"Underweight",C396&lt;25,"Normal",C396&lt;30,"Overweight",C396&gt;=30,"Obese")</f>
        <v>Overweight</v>
      </c>
      <c r="K396" t="str" cm="1">
        <f t="array" ref="K396">_xlfn.IFS(G396&lt;10000, "Low", G396&lt;=25000, "Medium", G396&gt;25000, "High")</f>
        <v>Low</v>
      </c>
    </row>
    <row r="397" spans="1:11" x14ac:dyDescent="0.3">
      <c r="A397">
        <v>29</v>
      </c>
      <c r="B397" s="1" t="s">
        <v>8</v>
      </c>
      <c r="C397">
        <v>27.265000000000001</v>
      </c>
      <c r="D397">
        <v>0</v>
      </c>
      <c r="E397" t="s">
        <v>10</v>
      </c>
      <c r="F397" t="s">
        <v>13</v>
      </c>
      <c r="G397" s="2">
        <v>5438.7491</v>
      </c>
      <c r="H397" t="str" cm="1">
        <f t="array" ref="H397">_xlfn.IFS(A397&lt;=30, "Youth", A397&lt;=50, "Adult", A397&gt;50, "Older")</f>
        <v>Youth</v>
      </c>
      <c r="I397" t="str" cm="1">
        <f t="array" ref="I397">_xlfn.IFS(A397&lt;=25,"18-25",A397&lt;=35,"26-35",A397&lt;=45,"36-45",A397&lt;=60,"46-60",A397&gt;60,"60+")</f>
        <v>26-35</v>
      </c>
      <c r="J397" t="str" cm="1">
        <f t="array" ref="J397">_xlfn.IFS(C397&lt;18.5,"Underweight",C397&lt;25,"Normal",C397&lt;30,"Overweight",C397&gt;=30,"Obese")</f>
        <v>Overweight</v>
      </c>
      <c r="K397" t="str" cm="1">
        <f t="array" ref="K397">_xlfn.IFS(G397&lt;10000, "Low", G397&lt;=25000, "Medium", G397&gt;25000, "High")</f>
        <v>Low</v>
      </c>
    </row>
    <row r="398" spans="1:11" x14ac:dyDescent="0.3">
      <c r="A398">
        <v>29</v>
      </c>
      <c r="B398" s="1" t="s">
        <v>7</v>
      </c>
      <c r="C398">
        <v>27.265000000000001</v>
      </c>
      <c r="D398">
        <v>0</v>
      </c>
      <c r="E398" t="s">
        <v>10</v>
      </c>
      <c r="F398" t="s">
        <v>11</v>
      </c>
      <c r="G398" s="2">
        <v>5458.0464499999998</v>
      </c>
      <c r="H398" t="str" cm="1">
        <f t="array" ref="H398">_xlfn.IFS(A398&lt;=30, "Youth", A398&lt;=50, "Adult", A398&gt;50, "Older")</f>
        <v>Youth</v>
      </c>
      <c r="I398" t="str" cm="1">
        <f t="array" ref="I398">_xlfn.IFS(A398&lt;=25,"18-25",A398&lt;=35,"26-35",A398&lt;=45,"36-45",A398&lt;=60,"46-60",A398&gt;60,"60+")</f>
        <v>26-35</v>
      </c>
      <c r="J398" t="str" cm="1">
        <f t="array" ref="J398">_xlfn.IFS(C398&lt;18.5,"Underweight",C398&lt;25,"Normal",C398&lt;30,"Overweight",C398&gt;=30,"Obese")</f>
        <v>Overweight</v>
      </c>
      <c r="K398" t="str" cm="1">
        <f t="array" ref="K398">_xlfn.IFS(G398&lt;10000, "Low", G398&lt;=25000, "Medium", G398&gt;25000, "High")</f>
        <v>Low</v>
      </c>
    </row>
    <row r="399" spans="1:11" x14ac:dyDescent="0.3">
      <c r="A399">
        <v>29</v>
      </c>
      <c r="B399" s="1" t="s">
        <v>8</v>
      </c>
      <c r="C399">
        <v>27.265000000000001</v>
      </c>
      <c r="D399">
        <v>0</v>
      </c>
      <c r="E399" t="s">
        <v>10</v>
      </c>
      <c r="F399" t="s">
        <v>12</v>
      </c>
      <c r="G399" s="2">
        <v>5469.0065999999997</v>
      </c>
      <c r="H399" t="str" cm="1">
        <f t="array" ref="H399">_xlfn.IFS(A399&lt;=30, "Youth", A399&lt;=50, "Adult", A399&gt;50, "Older")</f>
        <v>Youth</v>
      </c>
      <c r="I399" t="str" cm="1">
        <f t="array" ref="I399">_xlfn.IFS(A399&lt;=25,"18-25",A399&lt;=35,"26-35",A399&lt;=45,"36-45",A399&lt;=60,"46-60",A399&gt;60,"60+")</f>
        <v>26-35</v>
      </c>
      <c r="J399" t="str" cm="1">
        <f t="array" ref="J399">_xlfn.IFS(C399&lt;18.5,"Underweight",C399&lt;25,"Normal",C399&lt;30,"Overweight",C399&gt;=30,"Obese")</f>
        <v>Overweight</v>
      </c>
      <c r="K399" t="str" cm="1">
        <f t="array" ref="K399">_xlfn.IFS(G399&lt;10000, "Low", G399&lt;=25000, "Medium", G399&gt;25000, "High")</f>
        <v>Low</v>
      </c>
    </row>
    <row r="400" spans="1:11" x14ac:dyDescent="0.3">
      <c r="A400">
        <v>29</v>
      </c>
      <c r="B400" s="1" t="s">
        <v>8</v>
      </c>
      <c r="C400">
        <v>27.265000000000001</v>
      </c>
      <c r="D400">
        <v>0</v>
      </c>
      <c r="E400" t="s">
        <v>10</v>
      </c>
      <c r="F400" t="s">
        <v>11</v>
      </c>
      <c r="G400" s="2">
        <v>5472.4489999999996</v>
      </c>
      <c r="H400" t="str" cm="1">
        <f t="array" ref="H400">_xlfn.IFS(A400&lt;=30, "Youth", A400&lt;=50, "Adult", A400&gt;50, "Older")</f>
        <v>Youth</v>
      </c>
      <c r="I400" t="str" cm="1">
        <f t="array" ref="I400">_xlfn.IFS(A400&lt;=25,"18-25",A400&lt;=35,"26-35",A400&lt;=45,"36-45",A400&lt;=60,"46-60",A400&gt;60,"60+")</f>
        <v>26-35</v>
      </c>
      <c r="J400" t="str" cm="1">
        <f t="array" ref="J400">_xlfn.IFS(C400&lt;18.5,"Underweight",C400&lt;25,"Normal",C400&lt;30,"Overweight",C400&gt;=30,"Obese")</f>
        <v>Overweight</v>
      </c>
      <c r="K400" t="str" cm="1">
        <f t="array" ref="K400">_xlfn.IFS(G400&lt;10000, "Low", G400&lt;=25000, "Medium", G400&gt;25000, "High")</f>
        <v>Low</v>
      </c>
    </row>
    <row r="401" spans="1:11" x14ac:dyDescent="0.3">
      <c r="A401">
        <v>29</v>
      </c>
      <c r="B401" s="1" t="s">
        <v>7</v>
      </c>
      <c r="C401">
        <v>27.28</v>
      </c>
      <c r="D401">
        <v>0</v>
      </c>
      <c r="E401" t="s">
        <v>10</v>
      </c>
      <c r="F401" t="s">
        <v>12</v>
      </c>
      <c r="G401" s="2">
        <v>5478.0367999999999</v>
      </c>
      <c r="H401" t="str" cm="1">
        <f t="array" ref="H401">_xlfn.IFS(A401&lt;=30, "Youth", A401&lt;=50, "Adult", A401&gt;50, "Older")</f>
        <v>Youth</v>
      </c>
      <c r="I401" t="str" cm="1">
        <f t="array" ref="I401">_xlfn.IFS(A401&lt;=25,"18-25",A401&lt;=35,"26-35",A401&lt;=45,"36-45",A401&lt;=60,"46-60",A401&gt;60,"60+")</f>
        <v>26-35</v>
      </c>
      <c r="J401" t="str" cm="1">
        <f t="array" ref="J401">_xlfn.IFS(C401&lt;18.5,"Underweight",C401&lt;25,"Normal",C401&lt;30,"Overweight",C401&gt;=30,"Obese")</f>
        <v>Overweight</v>
      </c>
      <c r="K401" t="str" cm="1">
        <f t="array" ref="K401">_xlfn.IFS(G401&lt;10000, "Low", G401&lt;=25000, "Medium", G401&gt;25000, "High")</f>
        <v>Low</v>
      </c>
    </row>
    <row r="402" spans="1:11" x14ac:dyDescent="0.3">
      <c r="A402">
        <v>29</v>
      </c>
      <c r="B402" s="1" t="s">
        <v>7</v>
      </c>
      <c r="C402">
        <v>27.3</v>
      </c>
      <c r="D402">
        <v>0</v>
      </c>
      <c r="E402" t="s">
        <v>10</v>
      </c>
      <c r="F402" t="s">
        <v>11</v>
      </c>
      <c r="G402" s="2">
        <v>5484.4673000000003</v>
      </c>
      <c r="H402" t="str" cm="1">
        <f t="array" ref="H402">_xlfn.IFS(A402&lt;=30, "Youth", A402&lt;=50, "Adult", A402&gt;50, "Older")</f>
        <v>Youth</v>
      </c>
      <c r="I402" t="str" cm="1">
        <f t="array" ref="I402">_xlfn.IFS(A402&lt;=25,"18-25",A402&lt;=35,"26-35",A402&lt;=45,"36-45",A402&lt;=60,"46-60",A402&gt;60,"60+")</f>
        <v>26-35</v>
      </c>
      <c r="J402" t="str" cm="1">
        <f t="array" ref="J402">_xlfn.IFS(C402&lt;18.5,"Underweight",C402&lt;25,"Normal",C402&lt;30,"Overweight",C402&gt;=30,"Obese")</f>
        <v>Overweight</v>
      </c>
      <c r="K402" t="str" cm="1">
        <f t="array" ref="K402">_xlfn.IFS(G402&lt;10000, "Low", G402&lt;=25000, "Medium", G402&gt;25000, "High")</f>
        <v>Low</v>
      </c>
    </row>
    <row r="403" spans="1:11" x14ac:dyDescent="0.3">
      <c r="A403">
        <v>29</v>
      </c>
      <c r="B403" s="1" t="s">
        <v>8</v>
      </c>
      <c r="C403">
        <v>27.36</v>
      </c>
      <c r="D403">
        <v>0</v>
      </c>
      <c r="E403" t="s">
        <v>10</v>
      </c>
      <c r="F403" t="s">
        <v>12</v>
      </c>
      <c r="G403" s="2">
        <v>5488.2619999999997</v>
      </c>
      <c r="H403" t="str" cm="1">
        <f t="array" ref="H403">_xlfn.IFS(A403&lt;=30, "Youth", A403&lt;=50, "Adult", A403&gt;50, "Older")</f>
        <v>Youth</v>
      </c>
      <c r="I403" t="str" cm="1">
        <f t="array" ref="I403">_xlfn.IFS(A403&lt;=25,"18-25",A403&lt;=35,"26-35",A403&lt;=45,"36-45",A403&lt;=60,"46-60",A403&gt;60,"60+")</f>
        <v>26-35</v>
      </c>
      <c r="J403" t="str" cm="1">
        <f t="array" ref="J403">_xlfn.IFS(C403&lt;18.5,"Underweight",C403&lt;25,"Normal",C403&lt;30,"Overweight",C403&gt;=30,"Obese")</f>
        <v>Overweight</v>
      </c>
      <c r="K403" t="str" cm="1">
        <f t="array" ref="K403">_xlfn.IFS(G403&lt;10000, "Low", G403&lt;=25000, "Medium", G403&gt;25000, "High")</f>
        <v>Low</v>
      </c>
    </row>
    <row r="404" spans="1:11" x14ac:dyDescent="0.3">
      <c r="A404">
        <v>29</v>
      </c>
      <c r="B404" s="1" t="s">
        <v>7</v>
      </c>
      <c r="C404">
        <v>27.36</v>
      </c>
      <c r="D404">
        <v>0</v>
      </c>
      <c r="E404" t="s">
        <v>10</v>
      </c>
      <c r="F404" t="s">
        <v>13</v>
      </c>
      <c r="G404" s="2">
        <v>5584.3056999999999</v>
      </c>
      <c r="H404" t="str" cm="1">
        <f t="array" ref="H404">_xlfn.IFS(A404&lt;=30, "Youth", A404&lt;=50, "Adult", A404&gt;50, "Older")</f>
        <v>Youth</v>
      </c>
      <c r="I404" t="str" cm="1">
        <f t="array" ref="I404">_xlfn.IFS(A404&lt;=25,"18-25",A404&lt;=35,"26-35",A404&lt;=45,"36-45",A404&lt;=60,"46-60",A404&gt;60,"60+")</f>
        <v>26-35</v>
      </c>
      <c r="J404" t="str" cm="1">
        <f t="array" ref="J404">_xlfn.IFS(C404&lt;18.5,"Underweight",C404&lt;25,"Normal",C404&lt;30,"Overweight",C404&gt;=30,"Obese")</f>
        <v>Overweight</v>
      </c>
      <c r="K404" t="str" cm="1">
        <f t="array" ref="K404">_xlfn.IFS(G404&lt;10000, "Low", G404&lt;=25000, "Medium", G404&gt;25000, "High")</f>
        <v>Low</v>
      </c>
    </row>
    <row r="405" spans="1:11" x14ac:dyDescent="0.3">
      <c r="A405">
        <v>29</v>
      </c>
      <c r="B405" s="1" t="s">
        <v>8</v>
      </c>
      <c r="C405">
        <v>27.36</v>
      </c>
      <c r="D405">
        <v>0</v>
      </c>
      <c r="E405" t="s">
        <v>10</v>
      </c>
      <c r="F405" t="s">
        <v>13</v>
      </c>
      <c r="G405" s="2">
        <v>5594.8455000000004</v>
      </c>
      <c r="H405" t="str" cm="1">
        <f t="array" ref="H405">_xlfn.IFS(A405&lt;=30, "Youth", A405&lt;=50, "Adult", A405&gt;50, "Older")</f>
        <v>Youth</v>
      </c>
      <c r="I405" t="str" cm="1">
        <f t="array" ref="I405">_xlfn.IFS(A405&lt;=25,"18-25",A405&lt;=35,"26-35",A405&lt;=45,"36-45",A405&lt;=60,"46-60",A405&gt;60,"60+")</f>
        <v>26-35</v>
      </c>
      <c r="J405" t="str" cm="1">
        <f t="array" ref="J405">_xlfn.IFS(C405&lt;18.5,"Underweight",C405&lt;25,"Normal",C405&lt;30,"Overweight",C405&gt;=30,"Obese")</f>
        <v>Overweight</v>
      </c>
      <c r="K405" t="str" cm="1">
        <f t="array" ref="K405">_xlfn.IFS(G405&lt;10000, "Low", G405&lt;=25000, "Medium", G405&gt;25000, "High")</f>
        <v>Low</v>
      </c>
    </row>
    <row r="406" spans="1:11" x14ac:dyDescent="0.3">
      <c r="A406">
        <v>29</v>
      </c>
      <c r="B406" s="1" t="s">
        <v>8</v>
      </c>
      <c r="C406">
        <v>27.36</v>
      </c>
      <c r="D406">
        <v>0</v>
      </c>
      <c r="E406" t="s">
        <v>10</v>
      </c>
      <c r="F406" t="s">
        <v>11</v>
      </c>
      <c r="G406" s="2">
        <v>5615.3689999999997</v>
      </c>
      <c r="H406" t="str" cm="1">
        <f t="array" ref="H406">_xlfn.IFS(A406&lt;=30, "Youth", A406&lt;=50, "Adult", A406&gt;50, "Older")</f>
        <v>Youth</v>
      </c>
      <c r="I406" t="str" cm="1">
        <f t="array" ref="I406">_xlfn.IFS(A406&lt;=25,"18-25",A406&lt;=35,"26-35",A406&lt;=45,"36-45",A406&lt;=60,"46-60",A406&gt;60,"60+")</f>
        <v>26-35</v>
      </c>
      <c r="J406" t="str" cm="1">
        <f t="array" ref="J406">_xlfn.IFS(C406&lt;18.5,"Underweight",C406&lt;25,"Normal",C406&lt;30,"Overweight",C406&gt;=30,"Obese")</f>
        <v>Overweight</v>
      </c>
      <c r="K406" t="str" cm="1">
        <f t="array" ref="K406">_xlfn.IFS(G406&lt;10000, "Low", G406&lt;=25000, "Medium", G406&gt;25000, "High")</f>
        <v>Low</v>
      </c>
    </row>
    <row r="407" spans="1:11" x14ac:dyDescent="0.3">
      <c r="A407">
        <v>29</v>
      </c>
      <c r="B407" s="1" t="s">
        <v>7</v>
      </c>
      <c r="C407">
        <v>27.36</v>
      </c>
      <c r="D407">
        <v>0</v>
      </c>
      <c r="E407" t="s">
        <v>10</v>
      </c>
      <c r="F407" t="s">
        <v>14</v>
      </c>
      <c r="G407" s="2">
        <v>5630.4578499999998</v>
      </c>
      <c r="H407" t="str" cm="1">
        <f t="array" ref="H407">_xlfn.IFS(A407&lt;=30, "Youth", A407&lt;=50, "Adult", A407&gt;50, "Older")</f>
        <v>Youth</v>
      </c>
      <c r="I407" t="str" cm="1">
        <f t="array" ref="I407">_xlfn.IFS(A407&lt;=25,"18-25",A407&lt;=35,"26-35",A407&lt;=45,"36-45",A407&lt;=60,"46-60",A407&gt;60,"60+")</f>
        <v>26-35</v>
      </c>
      <c r="J407" t="str" cm="1">
        <f t="array" ref="J407">_xlfn.IFS(C407&lt;18.5,"Underweight",C407&lt;25,"Normal",C407&lt;30,"Overweight",C407&gt;=30,"Obese")</f>
        <v>Overweight</v>
      </c>
      <c r="K407" t="str" cm="1">
        <f t="array" ref="K407">_xlfn.IFS(G407&lt;10000, "Low", G407&lt;=25000, "Medium", G407&gt;25000, "High")</f>
        <v>Low</v>
      </c>
    </row>
    <row r="408" spans="1:11" x14ac:dyDescent="0.3">
      <c r="A408">
        <v>29</v>
      </c>
      <c r="B408" s="1" t="s">
        <v>7</v>
      </c>
      <c r="C408">
        <v>27.36</v>
      </c>
      <c r="D408">
        <v>0</v>
      </c>
      <c r="E408" t="s">
        <v>10</v>
      </c>
      <c r="F408" t="s">
        <v>12</v>
      </c>
      <c r="G408" s="2">
        <v>5649.7150000000001</v>
      </c>
      <c r="H408" t="str" cm="1">
        <f t="array" ref="H408">_xlfn.IFS(A408&lt;=30, "Youth", A408&lt;=50, "Adult", A408&gt;50, "Older")</f>
        <v>Youth</v>
      </c>
      <c r="I408" t="str" cm="1">
        <f t="array" ref="I408">_xlfn.IFS(A408&lt;=25,"18-25",A408&lt;=35,"26-35",A408&lt;=45,"36-45",A408&lt;=60,"46-60",A408&gt;60,"60+")</f>
        <v>26-35</v>
      </c>
      <c r="J408" t="str" cm="1">
        <f t="array" ref="J408">_xlfn.IFS(C408&lt;18.5,"Underweight",C408&lt;25,"Normal",C408&lt;30,"Overweight",C408&gt;=30,"Obese")</f>
        <v>Overweight</v>
      </c>
      <c r="K408" t="str" cm="1">
        <f t="array" ref="K408">_xlfn.IFS(G408&lt;10000, "Low", G408&lt;=25000, "Medium", G408&gt;25000, "High")</f>
        <v>Low</v>
      </c>
    </row>
    <row r="409" spans="1:11" x14ac:dyDescent="0.3">
      <c r="A409">
        <v>29</v>
      </c>
      <c r="B409" s="1" t="s">
        <v>7</v>
      </c>
      <c r="C409">
        <v>27.36</v>
      </c>
      <c r="D409">
        <v>0</v>
      </c>
      <c r="E409" t="s">
        <v>10</v>
      </c>
      <c r="F409" t="s">
        <v>11</v>
      </c>
      <c r="G409" s="2">
        <v>5662.2250000000004</v>
      </c>
      <c r="H409" t="str" cm="1">
        <f t="array" ref="H409">_xlfn.IFS(A409&lt;=30, "Youth", A409&lt;=50, "Adult", A409&gt;50, "Older")</f>
        <v>Youth</v>
      </c>
      <c r="I409" t="str" cm="1">
        <f t="array" ref="I409">_xlfn.IFS(A409&lt;=25,"18-25",A409&lt;=35,"26-35",A409&lt;=45,"36-45",A409&lt;=60,"46-60",A409&gt;60,"60+")</f>
        <v>26-35</v>
      </c>
      <c r="J409" t="str" cm="1">
        <f t="array" ref="J409">_xlfn.IFS(C409&lt;18.5,"Underweight",C409&lt;25,"Normal",C409&lt;30,"Overweight",C409&gt;=30,"Obese")</f>
        <v>Overweight</v>
      </c>
      <c r="K409" t="str" cm="1">
        <f t="array" ref="K409">_xlfn.IFS(G409&lt;10000, "Low", G409&lt;=25000, "Medium", G409&gt;25000, "High")</f>
        <v>Low</v>
      </c>
    </row>
    <row r="410" spans="1:11" x14ac:dyDescent="0.3">
      <c r="A410">
        <v>29</v>
      </c>
      <c r="B410" s="1" t="s">
        <v>8</v>
      </c>
      <c r="C410">
        <v>27.4</v>
      </c>
      <c r="D410">
        <v>0</v>
      </c>
      <c r="E410" t="s">
        <v>10</v>
      </c>
      <c r="F410" t="s">
        <v>12</v>
      </c>
      <c r="G410" s="2">
        <v>5693.4305000000004</v>
      </c>
      <c r="H410" t="str" cm="1">
        <f t="array" ref="H410">_xlfn.IFS(A410&lt;=30, "Youth", A410&lt;=50, "Adult", A410&gt;50, "Older")</f>
        <v>Youth</v>
      </c>
      <c r="I410" t="str" cm="1">
        <f t="array" ref="I410">_xlfn.IFS(A410&lt;=25,"18-25",A410&lt;=35,"26-35",A410&lt;=45,"36-45",A410&lt;=60,"46-60",A410&gt;60,"60+")</f>
        <v>26-35</v>
      </c>
      <c r="J410" t="str" cm="1">
        <f t="array" ref="J410">_xlfn.IFS(C410&lt;18.5,"Underweight",C410&lt;25,"Normal",C410&lt;30,"Overweight",C410&gt;=30,"Obese")</f>
        <v>Overweight</v>
      </c>
      <c r="K410" t="str" cm="1">
        <f t="array" ref="K410">_xlfn.IFS(G410&lt;10000, "Low", G410&lt;=25000, "Medium", G410&gt;25000, "High")</f>
        <v>Low</v>
      </c>
    </row>
    <row r="411" spans="1:11" x14ac:dyDescent="0.3">
      <c r="A411">
        <v>29</v>
      </c>
      <c r="B411" s="1" t="s">
        <v>8</v>
      </c>
      <c r="C411">
        <v>27.4</v>
      </c>
      <c r="D411">
        <v>0</v>
      </c>
      <c r="E411" t="s">
        <v>10</v>
      </c>
      <c r="F411" t="s">
        <v>12</v>
      </c>
      <c r="G411" s="2">
        <v>5699.8374999999996</v>
      </c>
      <c r="H411" t="str" cm="1">
        <f t="array" ref="H411">_xlfn.IFS(A411&lt;=30, "Youth", A411&lt;=50, "Adult", A411&gt;50, "Older")</f>
        <v>Youth</v>
      </c>
      <c r="I411" t="str" cm="1">
        <f t="array" ref="I411">_xlfn.IFS(A411&lt;=25,"18-25",A411&lt;=35,"26-35",A411&lt;=45,"36-45",A411&lt;=60,"46-60",A411&gt;60,"60+")</f>
        <v>26-35</v>
      </c>
      <c r="J411" t="str" cm="1">
        <f t="array" ref="J411">_xlfn.IFS(C411&lt;18.5,"Underweight",C411&lt;25,"Normal",C411&lt;30,"Overweight",C411&gt;=30,"Obese")</f>
        <v>Overweight</v>
      </c>
      <c r="K411" t="str" cm="1">
        <f t="array" ref="K411">_xlfn.IFS(G411&lt;10000, "Low", G411&lt;=25000, "Medium", G411&gt;25000, "High")</f>
        <v>Low</v>
      </c>
    </row>
    <row r="412" spans="1:11" x14ac:dyDescent="0.3">
      <c r="A412">
        <v>29</v>
      </c>
      <c r="B412" s="1" t="s">
        <v>8</v>
      </c>
      <c r="C412">
        <v>27.454999999999998</v>
      </c>
      <c r="D412">
        <v>0</v>
      </c>
      <c r="E412" t="s">
        <v>10</v>
      </c>
      <c r="F412" t="s">
        <v>13</v>
      </c>
      <c r="G412" s="2">
        <v>5708.8670000000002</v>
      </c>
      <c r="H412" t="str" cm="1">
        <f t="array" ref="H412">_xlfn.IFS(A412&lt;=30, "Youth", A412&lt;=50, "Adult", A412&gt;50, "Older")</f>
        <v>Youth</v>
      </c>
      <c r="I412" t="str" cm="1">
        <f t="array" ref="I412">_xlfn.IFS(A412&lt;=25,"18-25",A412&lt;=35,"26-35",A412&lt;=45,"36-45",A412&lt;=60,"46-60",A412&gt;60,"60+")</f>
        <v>26-35</v>
      </c>
      <c r="J412" t="str" cm="1">
        <f t="array" ref="J412">_xlfn.IFS(C412&lt;18.5,"Underweight",C412&lt;25,"Normal",C412&lt;30,"Overweight",C412&gt;=30,"Obese")</f>
        <v>Overweight</v>
      </c>
      <c r="K412" t="str" cm="1">
        <f t="array" ref="K412">_xlfn.IFS(G412&lt;10000, "Low", G412&lt;=25000, "Medium", G412&gt;25000, "High")</f>
        <v>Low</v>
      </c>
    </row>
    <row r="413" spans="1:11" x14ac:dyDescent="0.3">
      <c r="A413">
        <v>29</v>
      </c>
      <c r="B413" s="1" t="s">
        <v>7</v>
      </c>
      <c r="C413">
        <v>27.454999999999998</v>
      </c>
      <c r="D413">
        <v>0</v>
      </c>
      <c r="E413" t="s">
        <v>9</v>
      </c>
      <c r="F413" t="s">
        <v>14</v>
      </c>
      <c r="G413" s="2">
        <v>5709.1643999999997</v>
      </c>
      <c r="H413" t="str" cm="1">
        <f t="array" ref="H413">_xlfn.IFS(A413&lt;=30, "Youth", A413&lt;=50, "Adult", A413&gt;50, "Older")</f>
        <v>Youth</v>
      </c>
      <c r="I413" t="str" cm="1">
        <f t="array" ref="I413">_xlfn.IFS(A413&lt;=25,"18-25",A413&lt;=35,"26-35",A413&lt;=45,"36-45",A413&lt;=60,"46-60",A413&gt;60,"60+")</f>
        <v>26-35</v>
      </c>
      <c r="J413" t="str" cm="1">
        <f t="array" ref="J413">_xlfn.IFS(C413&lt;18.5,"Underweight",C413&lt;25,"Normal",C413&lt;30,"Overweight",C413&gt;=30,"Obese")</f>
        <v>Overweight</v>
      </c>
      <c r="K413" t="str" cm="1">
        <f t="array" ref="K413">_xlfn.IFS(G413&lt;10000, "Low", G413&lt;=25000, "Medium", G413&gt;25000, "High")</f>
        <v>Low</v>
      </c>
    </row>
    <row r="414" spans="1:11" x14ac:dyDescent="0.3">
      <c r="A414">
        <v>29</v>
      </c>
      <c r="B414" s="1" t="s">
        <v>7</v>
      </c>
      <c r="C414">
        <v>27.5</v>
      </c>
      <c r="D414">
        <v>0</v>
      </c>
      <c r="E414" t="s">
        <v>9</v>
      </c>
      <c r="F414" t="s">
        <v>14</v>
      </c>
      <c r="G414" s="2">
        <v>5729.0052999999998</v>
      </c>
      <c r="H414" t="str" cm="1">
        <f t="array" ref="H414">_xlfn.IFS(A414&lt;=30, "Youth", A414&lt;=50, "Adult", A414&gt;50, "Older")</f>
        <v>Youth</v>
      </c>
      <c r="I414" t="str" cm="1">
        <f t="array" ref="I414">_xlfn.IFS(A414&lt;=25,"18-25",A414&lt;=35,"26-35",A414&lt;=45,"36-45",A414&lt;=60,"46-60",A414&gt;60,"60+")</f>
        <v>26-35</v>
      </c>
      <c r="J414" t="str" cm="1">
        <f t="array" ref="J414">_xlfn.IFS(C414&lt;18.5,"Underweight",C414&lt;25,"Normal",C414&lt;30,"Overweight",C414&gt;=30,"Obese")</f>
        <v>Overweight</v>
      </c>
      <c r="K414" t="str" cm="1">
        <f t="array" ref="K414">_xlfn.IFS(G414&lt;10000, "Low", G414&lt;=25000, "Medium", G414&gt;25000, "High")</f>
        <v>Low</v>
      </c>
    </row>
    <row r="415" spans="1:11" x14ac:dyDescent="0.3">
      <c r="A415">
        <v>29</v>
      </c>
      <c r="B415" s="1" t="s">
        <v>8</v>
      </c>
      <c r="C415">
        <v>27.5</v>
      </c>
      <c r="D415">
        <v>0</v>
      </c>
      <c r="E415" t="s">
        <v>10</v>
      </c>
      <c r="F415" t="s">
        <v>11</v>
      </c>
      <c r="G415" s="2">
        <v>5757.41345</v>
      </c>
      <c r="H415" t="str" cm="1">
        <f t="array" ref="H415">_xlfn.IFS(A415&lt;=30, "Youth", A415&lt;=50, "Adult", A415&gt;50, "Older")</f>
        <v>Youth</v>
      </c>
      <c r="I415" t="str" cm="1">
        <f t="array" ref="I415">_xlfn.IFS(A415&lt;=25,"18-25",A415&lt;=35,"26-35",A415&lt;=45,"36-45",A415&lt;=60,"46-60",A415&gt;60,"60+")</f>
        <v>26-35</v>
      </c>
      <c r="J415" t="str" cm="1">
        <f t="array" ref="J415">_xlfn.IFS(C415&lt;18.5,"Underweight",C415&lt;25,"Normal",C415&lt;30,"Overweight",C415&gt;=30,"Obese")</f>
        <v>Overweight</v>
      </c>
      <c r="K415" t="str" cm="1">
        <f t="array" ref="K415">_xlfn.IFS(G415&lt;10000, "Low", G415&lt;=25000, "Medium", G415&gt;25000, "High")</f>
        <v>Low</v>
      </c>
    </row>
    <row r="416" spans="1:11" x14ac:dyDescent="0.3">
      <c r="A416">
        <v>29</v>
      </c>
      <c r="B416" s="1" t="s">
        <v>7</v>
      </c>
      <c r="C416">
        <v>27.5</v>
      </c>
      <c r="D416">
        <v>0</v>
      </c>
      <c r="E416" t="s">
        <v>10</v>
      </c>
      <c r="F416" t="s">
        <v>13</v>
      </c>
      <c r="G416" s="2">
        <v>5836.5204000000003</v>
      </c>
      <c r="H416" t="str" cm="1">
        <f t="array" ref="H416">_xlfn.IFS(A416&lt;=30, "Youth", A416&lt;=50, "Adult", A416&gt;50, "Older")</f>
        <v>Youth</v>
      </c>
      <c r="I416" t="str" cm="1">
        <f t="array" ref="I416">_xlfn.IFS(A416&lt;=25,"18-25",A416&lt;=35,"26-35",A416&lt;=45,"36-45",A416&lt;=60,"46-60",A416&gt;60,"60+")</f>
        <v>26-35</v>
      </c>
      <c r="J416" t="str" cm="1">
        <f t="array" ref="J416">_xlfn.IFS(C416&lt;18.5,"Underweight",C416&lt;25,"Normal",C416&lt;30,"Overweight",C416&gt;=30,"Obese")</f>
        <v>Overweight</v>
      </c>
      <c r="K416" t="str" cm="1">
        <f t="array" ref="K416">_xlfn.IFS(G416&lt;10000, "Low", G416&lt;=25000, "Medium", G416&gt;25000, "High")</f>
        <v>Low</v>
      </c>
    </row>
    <row r="417" spans="1:11" x14ac:dyDescent="0.3">
      <c r="A417">
        <v>29</v>
      </c>
      <c r="B417" s="1" t="s">
        <v>7</v>
      </c>
      <c r="C417">
        <v>27.5</v>
      </c>
      <c r="D417">
        <v>0</v>
      </c>
      <c r="E417" t="s">
        <v>10</v>
      </c>
      <c r="F417" t="s">
        <v>12</v>
      </c>
      <c r="G417" s="2">
        <v>5846.9175999999998</v>
      </c>
      <c r="H417" t="str" cm="1">
        <f t="array" ref="H417">_xlfn.IFS(A417&lt;=30, "Youth", A417&lt;=50, "Adult", A417&gt;50, "Older")</f>
        <v>Youth</v>
      </c>
      <c r="I417" t="str" cm="1">
        <f t="array" ref="I417">_xlfn.IFS(A417&lt;=25,"18-25",A417&lt;=35,"26-35",A417&lt;=45,"36-45",A417&lt;=60,"46-60",A417&gt;60,"60+")</f>
        <v>26-35</v>
      </c>
      <c r="J417" t="str" cm="1">
        <f t="array" ref="J417">_xlfn.IFS(C417&lt;18.5,"Underweight",C417&lt;25,"Normal",C417&lt;30,"Overweight",C417&gt;=30,"Obese")</f>
        <v>Overweight</v>
      </c>
      <c r="K417" t="str" cm="1">
        <f t="array" ref="K417">_xlfn.IFS(G417&lt;10000, "Low", G417&lt;=25000, "Medium", G417&gt;25000, "High")</f>
        <v>Low</v>
      </c>
    </row>
    <row r="418" spans="1:11" x14ac:dyDescent="0.3">
      <c r="A418">
        <v>30</v>
      </c>
      <c r="B418" s="1" t="s">
        <v>8</v>
      </c>
      <c r="C418">
        <v>27.5</v>
      </c>
      <c r="D418">
        <v>0</v>
      </c>
      <c r="E418" t="s">
        <v>10</v>
      </c>
      <c r="F418" t="s">
        <v>12</v>
      </c>
      <c r="G418" s="2">
        <v>5855.9025000000001</v>
      </c>
      <c r="H418" t="str" cm="1">
        <f t="array" ref="H418">_xlfn.IFS(A418&lt;=30, "Youth", A418&lt;=50, "Adult", A418&gt;50, "Older")</f>
        <v>Youth</v>
      </c>
      <c r="I418" t="str" cm="1">
        <f t="array" ref="I418">_xlfn.IFS(A418&lt;=25,"18-25",A418&lt;=35,"26-35",A418&lt;=45,"36-45",A418&lt;=60,"46-60",A418&gt;60,"60+")</f>
        <v>26-35</v>
      </c>
      <c r="J418" t="str" cm="1">
        <f t="array" ref="J418">_xlfn.IFS(C418&lt;18.5,"Underweight",C418&lt;25,"Normal",C418&lt;30,"Overweight",C418&gt;=30,"Obese")</f>
        <v>Overweight</v>
      </c>
      <c r="K418" t="str" cm="1">
        <f t="array" ref="K418">_xlfn.IFS(G418&lt;10000, "Low", G418&lt;=25000, "Medium", G418&gt;25000, "High")</f>
        <v>Low</v>
      </c>
    </row>
    <row r="419" spans="1:11" x14ac:dyDescent="0.3">
      <c r="A419">
        <v>30</v>
      </c>
      <c r="B419" s="1" t="s">
        <v>7</v>
      </c>
      <c r="C419">
        <v>27.5</v>
      </c>
      <c r="D419">
        <v>0</v>
      </c>
      <c r="E419" t="s">
        <v>9</v>
      </c>
      <c r="F419" t="s">
        <v>11</v>
      </c>
      <c r="G419" s="2">
        <v>5910.9440000000004</v>
      </c>
      <c r="H419" t="str" cm="1">
        <f t="array" ref="H419">_xlfn.IFS(A419&lt;=30, "Youth", A419&lt;=50, "Adult", A419&gt;50, "Older")</f>
        <v>Youth</v>
      </c>
      <c r="I419" t="str" cm="1">
        <f t="array" ref="I419">_xlfn.IFS(A419&lt;=25,"18-25",A419&lt;=35,"26-35",A419&lt;=45,"36-45",A419&lt;=60,"46-60",A419&gt;60,"60+")</f>
        <v>26-35</v>
      </c>
      <c r="J419" t="str" cm="1">
        <f t="array" ref="J419">_xlfn.IFS(C419&lt;18.5,"Underweight",C419&lt;25,"Normal",C419&lt;30,"Overweight",C419&gt;=30,"Obese")</f>
        <v>Overweight</v>
      </c>
      <c r="K419" t="str" cm="1">
        <f t="array" ref="K419">_xlfn.IFS(G419&lt;10000, "Low", G419&lt;=25000, "Medium", G419&gt;25000, "High")</f>
        <v>Low</v>
      </c>
    </row>
    <row r="420" spans="1:11" x14ac:dyDescent="0.3">
      <c r="A420">
        <v>30</v>
      </c>
      <c r="B420" s="1" t="s">
        <v>8</v>
      </c>
      <c r="C420">
        <v>27.55</v>
      </c>
      <c r="D420">
        <v>0</v>
      </c>
      <c r="E420" t="s">
        <v>10</v>
      </c>
      <c r="F420" t="s">
        <v>12</v>
      </c>
      <c r="G420" s="2">
        <v>5920.1040999999996</v>
      </c>
      <c r="H420" t="str" cm="1">
        <f t="array" ref="H420">_xlfn.IFS(A420&lt;=30, "Youth", A420&lt;=50, "Adult", A420&gt;50, "Older")</f>
        <v>Youth</v>
      </c>
      <c r="I420" t="str" cm="1">
        <f t="array" ref="I420">_xlfn.IFS(A420&lt;=25,"18-25",A420&lt;=35,"26-35",A420&lt;=45,"36-45",A420&lt;=60,"46-60",A420&gt;60,"60+")</f>
        <v>26-35</v>
      </c>
      <c r="J420" t="str" cm="1">
        <f t="array" ref="J420">_xlfn.IFS(C420&lt;18.5,"Underweight",C420&lt;25,"Normal",C420&lt;30,"Overweight",C420&gt;=30,"Obese")</f>
        <v>Overweight</v>
      </c>
      <c r="K420" t="str" cm="1">
        <f t="array" ref="K420">_xlfn.IFS(G420&lt;10000, "Low", G420&lt;=25000, "Medium", G420&gt;25000, "High")</f>
        <v>Low</v>
      </c>
    </row>
    <row r="421" spans="1:11" x14ac:dyDescent="0.3">
      <c r="A421">
        <v>30</v>
      </c>
      <c r="B421" s="1" t="s">
        <v>7</v>
      </c>
      <c r="C421">
        <v>27.55</v>
      </c>
      <c r="D421">
        <v>0</v>
      </c>
      <c r="E421" t="s">
        <v>9</v>
      </c>
      <c r="F421" t="s">
        <v>13</v>
      </c>
      <c r="G421" s="2">
        <v>5926.8459999999995</v>
      </c>
      <c r="H421" t="str" cm="1">
        <f t="array" ref="H421">_xlfn.IFS(A421&lt;=30, "Youth", A421&lt;=50, "Adult", A421&gt;50, "Older")</f>
        <v>Youth</v>
      </c>
      <c r="I421" t="str" cm="1">
        <f t="array" ref="I421">_xlfn.IFS(A421&lt;=25,"18-25",A421&lt;=35,"26-35",A421&lt;=45,"36-45",A421&lt;=60,"46-60",A421&gt;60,"60+")</f>
        <v>26-35</v>
      </c>
      <c r="J421" t="str" cm="1">
        <f t="array" ref="J421">_xlfn.IFS(C421&lt;18.5,"Underweight",C421&lt;25,"Normal",C421&lt;30,"Overweight",C421&gt;=30,"Obese")</f>
        <v>Overweight</v>
      </c>
      <c r="K421" t="str" cm="1">
        <f t="array" ref="K421">_xlfn.IFS(G421&lt;10000, "Low", G421&lt;=25000, "Medium", G421&gt;25000, "High")</f>
        <v>Low</v>
      </c>
    </row>
    <row r="422" spans="1:11" x14ac:dyDescent="0.3">
      <c r="A422">
        <v>30</v>
      </c>
      <c r="B422" s="1" t="s">
        <v>8</v>
      </c>
      <c r="C422">
        <v>27.55</v>
      </c>
      <c r="D422">
        <v>0</v>
      </c>
      <c r="E422" t="s">
        <v>9</v>
      </c>
      <c r="F422" t="s">
        <v>12</v>
      </c>
      <c r="G422" s="2">
        <v>5934.3797999999997</v>
      </c>
      <c r="H422" t="str" cm="1">
        <f t="array" ref="H422">_xlfn.IFS(A422&lt;=30, "Youth", A422&lt;=50, "Adult", A422&gt;50, "Older")</f>
        <v>Youth</v>
      </c>
      <c r="I422" t="str" cm="1">
        <f t="array" ref="I422">_xlfn.IFS(A422&lt;=25,"18-25",A422&lt;=35,"26-35",A422&lt;=45,"36-45",A422&lt;=60,"46-60",A422&gt;60,"60+")</f>
        <v>26-35</v>
      </c>
      <c r="J422" t="str" cm="1">
        <f t="array" ref="J422">_xlfn.IFS(C422&lt;18.5,"Underweight",C422&lt;25,"Normal",C422&lt;30,"Overweight",C422&gt;=30,"Obese")</f>
        <v>Overweight</v>
      </c>
      <c r="K422" t="str" cm="1">
        <f t="array" ref="K422">_xlfn.IFS(G422&lt;10000, "Low", G422&lt;=25000, "Medium", G422&gt;25000, "High")</f>
        <v>Low</v>
      </c>
    </row>
    <row r="423" spans="1:11" x14ac:dyDescent="0.3">
      <c r="A423">
        <v>30</v>
      </c>
      <c r="B423" s="1" t="s">
        <v>8</v>
      </c>
      <c r="C423">
        <v>27.55</v>
      </c>
      <c r="D423">
        <v>0</v>
      </c>
      <c r="E423" t="s">
        <v>9</v>
      </c>
      <c r="F423" t="s">
        <v>12</v>
      </c>
      <c r="G423" s="2">
        <v>5966.8873999999996</v>
      </c>
      <c r="H423" t="str" cm="1">
        <f t="array" ref="H423">_xlfn.IFS(A423&lt;=30, "Youth", A423&lt;=50, "Adult", A423&gt;50, "Older")</f>
        <v>Youth</v>
      </c>
      <c r="I423" t="str" cm="1">
        <f t="array" ref="I423">_xlfn.IFS(A423&lt;=25,"18-25",A423&lt;=35,"26-35",A423&lt;=45,"36-45",A423&lt;=60,"46-60",A423&gt;60,"60+")</f>
        <v>26-35</v>
      </c>
      <c r="J423" t="str" cm="1">
        <f t="array" ref="J423">_xlfn.IFS(C423&lt;18.5,"Underweight",C423&lt;25,"Normal",C423&lt;30,"Overweight",C423&gt;=30,"Obese")</f>
        <v>Overweight</v>
      </c>
      <c r="K423" t="str" cm="1">
        <f t="array" ref="K423">_xlfn.IFS(G423&lt;10000, "Low", G423&lt;=25000, "Medium", G423&gt;25000, "High")</f>
        <v>Low</v>
      </c>
    </row>
    <row r="424" spans="1:11" x14ac:dyDescent="0.3">
      <c r="A424">
        <v>30</v>
      </c>
      <c r="B424" s="1" t="s">
        <v>8</v>
      </c>
      <c r="C424">
        <v>27.6</v>
      </c>
      <c r="D424">
        <v>0</v>
      </c>
      <c r="E424" t="s">
        <v>9</v>
      </c>
      <c r="F424" t="s">
        <v>14</v>
      </c>
      <c r="G424" s="2">
        <v>5969.723</v>
      </c>
      <c r="H424" t="str" cm="1">
        <f t="array" ref="H424">_xlfn.IFS(A424&lt;=30, "Youth", A424&lt;=50, "Adult", A424&gt;50, "Older")</f>
        <v>Youth</v>
      </c>
      <c r="I424" t="str" cm="1">
        <f t="array" ref="I424">_xlfn.IFS(A424&lt;=25,"18-25",A424&lt;=35,"26-35",A424&lt;=45,"36-45",A424&lt;=60,"46-60",A424&gt;60,"60+")</f>
        <v>26-35</v>
      </c>
      <c r="J424" t="str" cm="1">
        <f t="array" ref="J424">_xlfn.IFS(C424&lt;18.5,"Underweight",C424&lt;25,"Normal",C424&lt;30,"Overweight",C424&gt;=30,"Obese")</f>
        <v>Overweight</v>
      </c>
      <c r="K424" t="str" cm="1">
        <f t="array" ref="K424">_xlfn.IFS(G424&lt;10000, "Low", G424&lt;=25000, "Medium", G424&gt;25000, "High")</f>
        <v>Low</v>
      </c>
    </row>
    <row r="425" spans="1:11" x14ac:dyDescent="0.3">
      <c r="A425">
        <v>30</v>
      </c>
      <c r="B425" s="1" t="s">
        <v>8</v>
      </c>
      <c r="C425">
        <v>27.6</v>
      </c>
      <c r="D425">
        <v>0</v>
      </c>
      <c r="E425" t="s">
        <v>10</v>
      </c>
      <c r="F425" t="s">
        <v>14</v>
      </c>
      <c r="G425" s="2">
        <v>5972.3779999999997</v>
      </c>
      <c r="H425" t="str" cm="1">
        <f t="array" ref="H425">_xlfn.IFS(A425&lt;=30, "Youth", A425&lt;=50, "Adult", A425&gt;50, "Older")</f>
        <v>Youth</v>
      </c>
      <c r="I425" t="str" cm="1">
        <f t="array" ref="I425">_xlfn.IFS(A425&lt;=25,"18-25",A425&lt;=35,"26-35",A425&lt;=45,"36-45",A425&lt;=60,"46-60",A425&gt;60,"60+")</f>
        <v>26-35</v>
      </c>
      <c r="J425" t="str" cm="1">
        <f t="array" ref="J425">_xlfn.IFS(C425&lt;18.5,"Underweight",C425&lt;25,"Normal",C425&lt;30,"Overweight",C425&gt;=30,"Obese")</f>
        <v>Overweight</v>
      </c>
      <c r="K425" t="str" cm="1">
        <f t="array" ref="K425">_xlfn.IFS(G425&lt;10000, "Low", G425&lt;=25000, "Medium", G425&gt;25000, "High")</f>
        <v>Low</v>
      </c>
    </row>
    <row r="426" spans="1:11" x14ac:dyDescent="0.3">
      <c r="A426">
        <v>30</v>
      </c>
      <c r="B426" s="1" t="s">
        <v>8</v>
      </c>
      <c r="C426">
        <v>27.6</v>
      </c>
      <c r="D426">
        <v>0</v>
      </c>
      <c r="E426" t="s">
        <v>10</v>
      </c>
      <c r="F426" t="s">
        <v>11</v>
      </c>
      <c r="G426" s="2">
        <v>5974.3846999999996</v>
      </c>
      <c r="H426" t="str" cm="1">
        <f t="array" ref="H426">_xlfn.IFS(A426&lt;=30, "Youth", A426&lt;=50, "Adult", A426&gt;50, "Older")</f>
        <v>Youth</v>
      </c>
      <c r="I426" t="str" cm="1">
        <f t="array" ref="I426">_xlfn.IFS(A426&lt;=25,"18-25",A426&lt;=35,"26-35",A426&lt;=45,"36-45",A426&lt;=60,"46-60",A426&gt;60,"60+")</f>
        <v>26-35</v>
      </c>
      <c r="J426" t="str" cm="1">
        <f t="array" ref="J426">_xlfn.IFS(C426&lt;18.5,"Underweight",C426&lt;25,"Normal",C426&lt;30,"Overweight",C426&gt;=30,"Obese")</f>
        <v>Overweight</v>
      </c>
      <c r="K426" t="str" cm="1">
        <f t="array" ref="K426">_xlfn.IFS(G426&lt;10000, "Low", G426&lt;=25000, "Medium", G426&gt;25000, "High")</f>
        <v>Low</v>
      </c>
    </row>
    <row r="427" spans="1:11" x14ac:dyDescent="0.3">
      <c r="A427">
        <v>30</v>
      </c>
      <c r="B427" s="1" t="s">
        <v>8</v>
      </c>
      <c r="C427">
        <v>27.6</v>
      </c>
      <c r="D427">
        <v>0</v>
      </c>
      <c r="E427" t="s">
        <v>10</v>
      </c>
      <c r="F427" t="s">
        <v>12</v>
      </c>
      <c r="G427" s="2">
        <v>5976.8311000000003</v>
      </c>
      <c r="H427" t="str" cm="1">
        <f t="array" ref="H427">_xlfn.IFS(A427&lt;=30, "Youth", A427&lt;=50, "Adult", A427&gt;50, "Older")</f>
        <v>Youth</v>
      </c>
      <c r="I427" t="str" cm="1">
        <f t="array" ref="I427">_xlfn.IFS(A427&lt;=25,"18-25",A427&lt;=35,"26-35",A427&lt;=45,"36-45",A427&lt;=60,"46-60",A427&gt;60,"60+")</f>
        <v>26-35</v>
      </c>
      <c r="J427" t="str" cm="1">
        <f t="array" ref="J427">_xlfn.IFS(C427&lt;18.5,"Underweight",C427&lt;25,"Normal",C427&lt;30,"Overweight",C427&gt;=30,"Obese")</f>
        <v>Overweight</v>
      </c>
      <c r="K427" t="str" cm="1">
        <f t="array" ref="K427">_xlfn.IFS(G427&lt;10000, "Low", G427&lt;=25000, "Medium", G427&gt;25000, "High")</f>
        <v>Low</v>
      </c>
    </row>
    <row r="428" spans="1:11" x14ac:dyDescent="0.3">
      <c r="A428">
        <v>30</v>
      </c>
      <c r="B428" s="1" t="s">
        <v>7</v>
      </c>
      <c r="C428">
        <v>27.6</v>
      </c>
      <c r="D428">
        <v>0</v>
      </c>
      <c r="E428" t="s">
        <v>10</v>
      </c>
      <c r="F428" t="s">
        <v>14</v>
      </c>
      <c r="G428" s="2">
        <v>5979.7309999999998</v>
      </c>
      <c r="H428" t="str" cm="1">
        <f t="array" ref="H428">_xlfn.IFS(A428&lt;=30, "Youth", A428&lt;=50, "Adult", A428&gt;50, "Older")</f>
        <v>Youth</v>
      </c>
      <c r="I428" t="str" cm="1">
        <f t="array" ref="I428">_xlfn.IFS(A428&lt;=25,"18-25",A428&lt;=35,"26-35",A428&lt;=45,"36-45",A428&lt;=60,"46-60",A428&gt;60,"60+")</f>
        <v>26-35</v>
      </c>
      <c r="J428" t="str" cm="1">
        <f t="array" ref="J428">_xlfn.IFS(C428&lt;18.5,"Underweight",C428&lt;25,"Normal",C428&lt;30,"Overweight",C428&gt;=30,"Obese")</f>
        <v>Overweight</v>
      </c>
      <c r="K428" t="str" cm="1">
        <f t="array" ref="K428">_xlfn.IFS(G428&lt;10000, "Low", G428&lt;=25000, "Medium", G428&gt;25000, "High")</f>
        <v>Low</v>
      </c>
    </row>
    <row r="429" spans="1:11" x14ac:dyDescent="0.3">
      <c r="A429">
        <v>30</v>
      </c>
      <c r="B429" s="1" t="s">
        <v>7</v>
      </c>
      <c r="C429">
        <v>27.61</v>
      </c>
      <c r="D429">
        <v>0</v>
      </c>
      <c r="E429" t="s">
        <v>10</v>
      </c>
      <c r="F429" t="s">
        <v>14</v>
      </c>
      <c r="G429" s="2">
        <v>5989.5236500000001</v>
      </c>
      <c r="H429" t="str" cm="1">
        <f t="array" ref="H429">_xlfn.IFS(A429&lt;=30, "Youth", A429&lt;=50, "Adult", A429&gt;50, "Older")</f>
        <v>Youth</v>
      </c>
      <c r="I429" t="str" cm="1">
        <f t="array" ref="I429">_xlfn.IFS(A429&lt;=25,"18-25",A429&lt;=35,"26-35",A429&lt;=45,"36-45",A429&lt;=60,"46-60",A429&gt;60,"60+")</f>
        <v>26-35</v>
      </c>
      <c r="J429" t="str" cm="1">
        <f t="array" ref="J429">_xlfn.IFS(C429&lt;18.5,"Underweight",C429&lt;25,"Normal",C429&lt;30,"Overweight",C429&gt;=30,"Obese")</f>
        <v>Overweight</v>
      </c>
      <c r="K429" t="str" cm="1">
        <f t="array" ref="K429">_xlfn.IFS(G429&lt;10000, "Low", G429&lt;=25000, "Medium", G429&gt;25000, "High")</f>
        <v>Low</v>
      </c>
    </row>
    <row r="430" spans="1:11" x14ac:dyDescent="0.3">
      <c r="A430">
        <v>30</v>
      </c>
      <c r="B430" s="1" t="s">
        <v>7</v>
      </c>
      <c r="C430">
        <v>27.645</v>
      </c>
      <c r="D430">
        <v>0</v>
      </c>
      <c r="E430" t="s">
        <v>10</v>
      </c>
      <c r="F430" t="s">
        <v>14</v>
      </c>
      <c r="G430" s="2">
        <v>6059.1729999999998</v>
      </c>
      <c r="H430" t="str" cm="1">
        <f t="array" ref="H430">_xlfn.IFS(A430&lt;=30, "Youth", A430&lt;=50, "Adult", A430&gt;50, "Older")</f>
        <v>Youth</v>
      </c>
      <c r="I430" t="str" cm="1">
        <f t="array" ref="I430">_xlfn.IFS(A430&lt;=25,"18-25",A430&lt;=35,"26-35",A430&lt;=45,"36-45",A430&lt;=60,"46-60",A430&gt;60,"60+")</f>
        <v>26-35</v>
      </c>
      <c r="J430" t="str" cm="1">
        <f t="array" ref="J430">_xlfn.IFS(C430&lt;18.5,"Underweight",C430&lt;25,"Normal",C430&lt;30,"Overweight",C430&gt;=30,"Obese")</f>
        <v>Overweight</v>
      </c>
      <c r="K430" t="str" cm="1">
        <f t="array" ref="K430">_xlfn.IFS(G430&lt;10000, "Low", G430&lt;=25000, "Medium", G430&gt;25000, "High")</f>
        <v>Low</v>
      </c>
    </row>
    <row r="431" spans="1:11" x14ac:dyDescent="0.3">
      <c r="A431">
        <v>30</v>
      </c>
      <c r="B431" s="1" t="s">
        <v>7</v>
      </c>
      <c r="C431">
        <v>27.645</v>
      </c>
      <c r="D431">
        <v>0</v>
      </c>
      <c r="E431" t="s">
        <v>10</v>
      </c>
      <c r="F431" t="s">
        <v>13</v>
      </c>
      <c r="G431" s="2">
        <v>6067.1267500000004</v>
      </c>
      <c r="H431" t="str" cm="1">
        <f t="array" ref="H431">_xlfn.IFS(A431&lt;=30, "Youth", A431&lt;=50, "Adult", A431&gt;50, "Older")</f>
        <v>Youth</v>
      </c>
      <c r="I431" t="str" cm="1">
        <f t="array" ref="I431">_xlfn.IFS(A431&lt;=25,"18-25",A431&lt;=35,"26-35",A431&lt;=45,"36-45",A431&lt;=60,"46-60",A431&gt;60,"60+")</f>
        <v>26-35</v>
      </c>
      <c r="J431" t="str" cm="1">
        <f t="array" ref="J431">_xlfn.IFS(C431&lt;18.5,"Underweight",C431&lt;25,"Normal",C431&lt;30,"Overweight",C431&gt;=30,"Obese")</f>
        <v>Overweight</v>
      </c>
      <c r="K431" t="str" cm="1">
        <f t="array" ref="K431">_xlfn.IFS(G431&lt;10000, "Low", G431&lt;=25000, "Medium", G431&gt;25000, "High")</f>
        <v>Low</v>
      </c>
    </row>
    <row r="432" spans="1:11" x14ac:dyDescent="0.3">
      <c r="A432">
        <v>30</v>
      </c>
      <c r="B432" s="1" t="s">
        <v>8</v>
      </c>
      <c r="C432">
        <v>27.645</v>
      </c>
      <c r="D432">
        <v>0</v>
      </c>
      <c r="E432" t="s">
        <v>10</v>
      </c>
      <c r="F432" t="s">
        <v>11</v>
      </c>
      <c r="G432" s="2">
        <v>6079.6715000000004</v>
      </c>
      <c r="H432" t="str" cm="1">
        <f t="array" ref="H432">_xlfn.IFS(A432&lt;=30, "Youth", A432&lt;=50, "Adult", A432&gt;50, "Older")</f>
        <v>Youth</v>
      </c>
      <c r="I432" t="str" cm="1">
        <f t="array" ref="I432">_xlfn.IFS(A432&lt;=25,"18-25",A432&lt;=35,"26-35",A432&lt;=45,"36-45",A432&lt;=60,"46-60",A432&gt;60,"60+")</f>
        <v>26-35</v>
      </c>
      <c r="J432" t="str" cm="1">
        <f t="array" ref="J432">_xlfn.IFS(C432&lt;18.5,"Underweight",C432&lt;25,"Normal",C432&lt;30,"Overweight",C432&gt;=30,"Obese")</f>
        <v>Overweight</v>
      </c>
      <c r="K432" t="str" cm="1">
        <f t="array" ref="K432">_xlfn.IFS(G432&lt;10000, "Low", G432&lt;=25000, "Medium", G432&gt;25000, "High")</f>
        <v>Low</v>
      </c>
    </row>
    <row r="433" spans="1:11" x14ac:dyDescent="0.3">
      <c r="A433">
        <v>30</v>
      </c>
      <c r="B433" s="1" t="s">
        <v>7</v>
      </c>
      <c r="C433">
        <v>27.645</v>
      </c>
      <c r="D433">
        <v>0</v>
      </c>
      <c r="E433" t="s">
        <v>10</v>
      </c>
      <c r="F433" t="s">
        <v>13</v>
      </c>
      <c r="G433" s="2">
        <v>6082.4049999999997</v>
      </c>
      <c r="H433" t="str" cm="1">
        <f t="array" ref="H433">_xlfn.IFS(A433&lt;=30, "Youth", A433&lt;=50, "Adult", A433&gt;50, "Older")</f>
        <v>Youth</v>
      </c>
      <c r="I433" t="str" cm="1">
        <f t="array" ref="I433">_xlfn.IFS(A433&lt;=25,"18-25",A433&lt;=35,"26-35",A433&lt;=45,"36-45",A433&lt;=60,"46-60",A433&gt;60,"60+")</f>
        <v>26-35</v>
      </c>
      <c r="J433" t="str" cm="1">
        <f t="array" ref="J433">_xlfn.IFS(C433&lt;18.5,"Underweight",C433&lt;25,"Normal",C433&lt;30,"Overweight",C433&gt;=30,"Obese")</f>
        <v>Overweight</v>
      </c>
      <c r="K433" t="str" cm="1">
        <f t="array" ref="K433">_xlfn.IFS(G433&lt;10000, "Low", G433&lt;=25000, "Medium", G433&gt;25000, "High")</f>
        <v>Low</v>
      </c>
    </row>
    <row r="434" spans="1:11" x14ac:dyDescent="0.3">
      <c r="A434">
        <v>30</v>
      </c>
      <c r="B434" s="1" t="s">
        <v>8</v>
      </c>
      <c r="C434">
        <v>27.645</v>
      </c>
      <c r="D434">
        <v>0</v>
      </c>
      <c r="E434" t="s">
        <v>10</v>
      </c>
      <c r="F434" t="s">
        <v>11</v>
      </c>
      <c r="G434" s="2">
        <v>6112.3529500000004</v>
      </c>
      <c r="H434" t="str" cm="1">
        <f t="array" ref="H434">_xlfn.IFS(A434&lt;=30, "Youth", A434&lt;=50, "Adult", A434&gt;50, "Older")</f>
        <v>Youth</v>
      </c>
      <c r="I434" t="str" cm="1">
        <f t="array" ref="I434">_xlfn.IFS(A434&lt;=25,"18-25",A434&lt;=35,"26-35",A434&lt;=45,"36-45",A434&lt;=60,"46-60",A434&gt;60,"60+")</f>
        <v>26-35</v>
      </c>
      <c r="J434" t="str" cm="1">
        <f t="array" ref="J434">_xlfn.IFS(C434&lt;18.5,"Underweight",C434&lt;25,"Normal",C434&lt;30,"Overweight",C434&gt;=30,"Obese")</f>
        <v>Overweight</v>
      </c>
      <c r="K434" t="str" cm="1">
        <f t="array" ref="K434">_xlfn.IFS(G434&lt;10000, "Low", G434&lt;=25000, "Medium", G434&gt;25000, "High")</f>
        <v>Low</v>
      </c>
    </row>
    <row r="435" spans="1:11" x14ac:dyDescent="0.3">
      <c r="A435">
        <v>30</v>
      </c>
      <c r="B435" s="1" t="s">
        <v>7</v>
      </c>
      <c r="C435">
        <v>27.645</v>
      </c>
      <c r="D435">
        <v>0</v>
      </c>
      <c r="E435" t="s">
        <v>10</v>
      </c>
      <c r="F435" t="s">
        <v>11</v>
      </c>
      <c r="G435" s="2">
        <v>6113.2310500000003</v>
      </c>
      <c r="H435" t="str" cm="1">
        <f t="array" ref="H435">_xlfn.IFS(A435&lt;=30, "Youth", A435&lt;=50, "Adult", A435&gt;50, "Older")</f>
        <v>Youth</v>
      </c>
      <c r="I435" t="str" cm="1">
        <f t="array" ref="I435">_xlfn.IFS(A435&lt;=25,"18-25",A435&lt;=35,"26-35",A435&lt;=45,"36-45",A435&lt;=60,"46-60",A435&gt;60,"60+")</f>
        <v>26-35</v>
      </c>
      <c r="J435" t="str" cm="1">
        <f t="array" ref="J435">_xlfn.IFS(C435&lt;18.5,"Underweight",C435&lt;25,"Normal",C435&lt;30,"Overweight",C435&gt;=30,"Obese")</f>
        <v>Overweight</v>
      </c>
      <c r="K435" t="str" cm="1">
        <f t="array" ref="K435">_xlfn.IFS(G435&lt;10000, "Low", G435&lt;=25000, "Medium", G435&gt;25000, "High")</f>
        <v>Low</v>
      </c>
    </row>
    <row r="436" spans="1:11" x14ac:dyDescent="0.3">
      <c r="A436">
        <v>30</v>
      </c>
      <c r="B436" s="1" t="s">
        <v>8</v>
      </c>
      <c r="C436">
        <v>27.645</v>
      </c>
      <c r="D436">
        <v>0</v>
      </c>
      <c r="E436" t="s">
        <v>10</v>
      </c>
      <c r="F436" t="s">
        <v>13</v>
      </c>
      <c r="G436" s="2">
        <v>6117.4944999999998</v>
      </c>
      <c r="H436" t="str" cm="1">
        <f t="array" ref="H436">_xlfn.IFS(A436&lt;=30, "Youth", A436&lt;=50, "Adult", A436&gt;50, "Older")</f>
        <v>Youth</v>
      </c>
      <c r="I436" t="str" cm="1">
        <f t="array" ref="I436">_xlfn.IFS(A436&lt;=25,"18-25",A436&lt;=35,"26-35",A436&lt;=45,"36-45",A436&lt;=60,"46-60",A436&gt;60,"60+")</f>
        <v>26-35</v>
      </c>
      <c r="J436" t="str" cm="1">
        <f t="array" ref="J436">_xlfn.IFS(C436&lt;18.5,"Underweight",C436&lt;25,"Normal",C436&lt;30,"Overweight",C436&gt;=30,"Obese")</f>
        <v>Overweight</v>
      </c>
      <c r="K436" t="str" cm="1">
        <f t="array" ref="K436">_xlfn.IFS(G436&lt;10000, "Low", G436&lt;=25000, "Medium", G436&gt;25000, "High")</f>
        <v>Low</v>
      </c>
    </row>
    <row r="437" spans="1:11" x14ac:dyDescent="0.3">
      <c r="A437">
        <v>30</v>
      </c>
      <c r="B437" s="1" t="s">
        <v>8</v>
      </c>
      <c r="C437">
        <v>27.7</v>
      </c>
      <c r="D437">
        <v>0</v>
      </c>
      <c r="E437" t="s">
        <v>10</v>
      </c>
      <c r="F437" t="s">
        <v>12</v>
      </c>
      <c r="G437" s="2">
        <v>6123.5688</v>
      </c>
      <c r="H437" t="str" cm="1">
        <f t="array" ref="H437">_xlfn.IFS(A437&lt;=30, "Youth", A437&lt;=50, "Adult", A437&gt;50, "Older")</f>
        <v>Youth</v>
      </c>
      <c r="I437" t="str" cm="1">
        <f t="array" ref="I437">_xlfn.IFS(A437&lt;=25,"18-25",A437&lt;=35,"26-35",A437&lt;=45,"36-45",A437&lt;=60,"46-60",A437&gt;60,"60+")</f>
        <v>26-35</v>
      </c>
      <c r="J437" t="str" cm="1">
        <f t="array" ref="J437">_xlfn.IFS(C437&lt;18.5,"Underweight",C437&lt;25,"Normal",C437&lt;30,"Overweight",C437&gt;=30,"Obese")</f>
        <v>Overweight</v>
      </c>
      <c r="K437" t="str" cm="1">
        <f t="array" ref="K437">_xlfn.IFS(G437&lt;10000, "Low", G437&lt;=25000, "Medium", G437&gt;25000, "High")</f>
        <v>Low</v>
      </c>
    </row>
    <row r="438" spans="1:11" x14ac:dyDescent="0.3">
      <c r="A438">
        <v>30</v>
      </c>
      <c r="B438" s="1" t="s">
        <v>8</v>
      </c>
      <c r="C438">
        <v>27.7</v>
      </c>
      <c r="D438">
        <v>0</v>
      </c>
      <c r="E438" t="s">
        <v>10</v>
      </c>
      <c r="F438" t="s">
        <v>14</v>
      </c>
      <c r="G438" s="2">
        <v>6128.79745</v>
      </c>
      <c r="H438" t="str" cm="1">
        <f t="array" ref="H438">_xlfn.IFS(A438&lt;=30, "Youth", A438&lt;=50, "Adult", A438&gt;50, "Older")</f>
        <v>Youth</v>
      </c>
      <c r="I438" t="str" cm="1">
        <f t="array" ref="I438">_xlfn.IFS(A438&lt;=25,"18-25",A438&lt;=35,"26-35",A438&lt;=45,"36-45",A438&lt;=60,"46-60",A438&gt;60,"60+")</f>
        <v>26-35</v>
      </c>
      <c r="J438" t="str" cm="1">
        <f t="array" ref="J438">_xlfn.IFS(C438&lt;18.5,"Underweight",C438&lt;25,"Normal",C438&lt;30,"Overweight",C438&gt;=30,"Obese")</f>
        <v>Overweight</v>
      </c>
      <c r="K438" t="str" cm="1">
        <f t="array" ref="K438">_xlfn.IFS(G438&lt;10000, "Low", G438&lt;=25000, "Medium", G438&gt;25000, "High")</f>
        <v>Low</v>
      </c>
    </row>
    <row r="439" spans="1:11" x14ac:dyDescent="0.3">
      <c r="A439">
        <v>30</v>
      </c>
      <c r="B439" s="1" t="s">
        <v>8</v>
      </c>
      <c r="C439">
        <v>27.7</v>
      </c>
      <c r="D439">
        <v>0</v>
      </c>
      <c r="E439" t="s">
        <v>10</v>
      </c>
      <c r="F439" t="s">
        <v>11</v>
      </c>
      <c r="G439" s="2">
        <v>6184.2993999999999</v>
      </c>
      <c r="H439" t="str" cm="1">
        <f t="array" ref="H439">_xlfn.IFS(A439&lt;=30, "Youth", A439&lt;=50, "Adult", A439&gt;50, "Older")</f>
        <v>Youth</v>
      </c>
      <c r="I439" t="str" cm="1">
        <f t="array" ref="I439">_xlfn.IFS(A439&lt;=25,"18-25",A439&lt;=35,"26-35",A439&lt;=45,"36-45",A439&lt;=60,"46-60",A439&gt;60,"60+")</f>
        <v>26-35</v>
      </c>
      <c r="J439" t="str" cm="1">
        <f t="array" ref="J439">_xlfn.IFS(C439&lt;18.5,"Underweight",C439&lt;25,"Normal",C439&lt;30,"Overweight",C439&gt;=30,"Obese")</f>
        <v>Overweight</v>
      </c>
      <c r="K439" t="str" cm="1">
        <f t="array" ref="K439">_xlfn.IFS(G439&lt;10000, "Low", G439&lt;=25000, "Medium", G439&gt;25000, "High")</f>
        <v>Low</v>
      </c>
    </row>
    <row r="440" spans="1:11" x14ac:dyDescent="0.3">
      <c r="A440">
        <v>30</v>
      </c>
      <c r="B440" s="1" t="s">
        <v>7</v>
      </c>
      <c r="C440">
        <v>27.72</v>
      </c>
      <c r="D440">
        <v>0</v>
      </c>
      <c r="E440" t="s">
        <v>10</v>
      </c>
      <c r="F440" t="s">
        <v>12</v>
      </c>
      <c r="G440" s="2">
        <v>6185.3208000000004</v>
      </c>
      <c r="H440" t="str" cm="1">
        <f t="array" ref="H440">_xlfn.IFS(A440&lt;=30, "Youth", A440&lt;=50, "Adult", A440&gt;50, "Older")</f>
        <v>Youth</v>
      </c>
      <c r="I440" t="str" cm="1">
        <f t="array" ref="I440">_xlfn.IFS(A440&lt;=25,"18-25",A440&lt;=35,"26-35",A440&lt;=45,"36-45",A440&lt;=60,"46-60",A440&gt;60,"60+")</f>
        <v>26-35</v>
      </c>
      <c r="J440" t="str" cm="1">
        <f t="array" ref="J440">_xlfn.IFS(C440&lt;18.5,"Underweight",C440&lt;25,"Normal",C440&lt;30,"Overweight",C440&gt;=30,"Obese")</f>
        <v>Overweight</v>
      </c>
      <c r="K440" t="str" cm="1">
        <f t="array" ref="K440">_xlfn.IFS(G440&lt;10000, "Low", G440&lt;=25000, "Medium", G440&gt;25000, "High")</f>
        <v>Low</v>
      </c>
    </row>
    <row r="441" spans="1:11" x14ac:dyDescent="0.3">
      <c r="A441">
        <v>30</v>
      </c>
      <c r="B441" s="1" t="s">
        <v>8</v>
      </c>
      <c r="C441">
        <v>27.72</v>
      </c>
      <c r="D441">
        <v>0</v>
      </c>
      <c r="E441" t="s">
        <v>10</v>
      </c>
      <c r="F441" t="s">
        <v>14</v>
      </c>
      <c r="G441" s="2">
        <v>6186.1270000000004</v>
      </c>
      <c r="H441" t="str" cm="1">
        <f t="array" ref="H441">_xlfn.IFS(A441&lt;=30, "Youth", A441&lt;=50, "Adult", A441&gt;50, "Older")</f>
        <v>Youth</v>
      </c>
      <c r="I441" t="str" cm="1">
        <f t="array" ref="I441">_xlfn.IFS(A441&lt;=25,"18-25",A441&lt;=35,"26-35",A441&lt;=45,"36-45",A441&lt;=60,"46-60",A441&gt;60,"60+")</f>
        <v>26-35</v>
      </c>
      <c r="J441" t="str" cm="1">
        <f t="array" ref="J441">_xlfn.IFS(C441&lt;18.5,"Underweight",C441&lt;25,"Normal",C441&lt;30,"Overweight",C441&gt;=30,"Obese")</f>
        <v>Overweight</v>
      </c>
      <c r="K441" t="str" cm="1">
        <f t="array" ref="K441">_xlfn.IFS(G441&lt;10000, "Low", G441&lt;=25000, "Medium", G441&gt;25000, "High")</f>
        <v>Low</v>
      </c>
    </row>
    <row r="442" spans="1:11" x14ac:dyDescent="0.3">
      <c r="A442">
        <v>30</v>
      </c>
      <c r="B442" s="1" t="s">
        <v>7</v>
      </c>
      <c r="C442">
        <v>27.72</v>
      </c>
      <c r="D442">
        <v>0</v>
      </c>
      <c r="E442" t="s">
        <v>10</v>
      </c>
      <c r="F442" t="s">
        <v>13</v>
      </c>
      <c r="G442" s="2">
        <v>6196.4480000000003</v>
      </c>
      <c r="H442" t="str" cm="1">
        <f t="array" ref="H442">_xlfn.IFS(A442&lt;=30, "Youth", A442&lt;=50, "Adult", A442&gt;50, "Older")</f>
        <v>Youth</v>
      </c>
      <c r="I442" t="str" cm="1">
        <f t="array" ref="I442">_xlfn.IFS(A442&lt;=25,"18-25",A442&lt;=35,"26-35",A442&lt;=45,"36-45",A442&lt;=60,"46-60",A442&gt;60,"60+")</f>
        <v>26-35</v>
      </c>
      <c r="J442" t="str" cm="1">
        <f t="array" ref="J442">_xlfn.IFS(C442&lt;18.5,"Underweight",C442&lt;25,"Normal",C442&lt;30,"Overweight",C442&gt;=30,"Obese")</f>
        <v>Overweight</v>
      </c>
      <c r="K442" t="str" cm="1">
        <f t="array" ref="K442">_xlfn.IFS(G442&lt;10000, "Low", G442&lt;=25000, "Medium", G442&gt;25000, "High")</f>
        <v>Low</v>
      </c>
    </row>
    <row r="443" spans="1:11" x14ac:dyDescent="0.3">
      <c r="A443">
        <v>30</v>
      </c>
      <c r="B443" s="1" t="s">
        <v>7</v>
      </c>
      <c r="C443">
        <v>27.72</v>
      </c>
      <c r="D443">
        <v>0</v>
      </c>
      <c r="E443" t="s">
        <v>9</v>
      </c>
      <c r="F443" t="s">
        <v>11</v>
      </c>
      <c r="G443" s="2">
        <v>6198.7518</v>
      </c>
      <c r="H443" t="str" cm="1">
        <f t="array" ref="H443">_xlfn.IFS(A443&lt;=30, "Youth", A443&lt;=50, "Adult", A443&gt;50, "Older")</f>
        <v>Youth</v>
      </c>
      <c r="I443" t="str" cm="1">
        <f t="array" ref="I443">_xlfn.IFS(A443&lt;=25,"18-25",A443&lt;=35,"26-35",A443&lt;=45,"36-45",A443&lt;=60,"46-60",A443&gt;60,"60+")</f>
        <v>26-35</v>
      </c>
      <c r="J443" t="str" cm="1">
        <f t="array" ref="J443">_xlfn.IFS(C443&lt;18.5,"Underweight",C443&lt;25,"Normal",C443&lt;30,"Overweight",C443&gt;=30,"Obese")</f>
        <v>Overweight</v>
      </c>
      <c r="K443" t="str" cm="1">
        <f t="array" ref="K443">_xlfn.IFS(G443&lt;10000, "Low", G443&lt;=25000, "Medium", G443&gt;25000, "High")</f>
        <v>Low</v>
      </c>
    </row>
    <row r="444" spans="1:11" x14ac:dyDescent="0.3">
      <c r="A444">
        <v>30</v>
      </c>
      <c r="B444" s="1" t="s">
        <v>8</v>
      </c>
      <c r="C444">
        <v>27.74</v>
      </c>
      <c r="D444">
        <v>0</v>
      </c>
      <c r="E444" t="s">
        <v>10</v>
      </c>
      <c r="F444" t="s">
        <v>12</v>
      </c>
      <c r="G444" s="2">
        <v>6203.90175</v>
      </c>
      <c r="H444" t="str" cm="1">
        <f t="array" ref="H444">_xlfn.IFS(A444&lt;=30, "Youth", A444&lt;=50, "Adult", A444&gt;50, "Older")</f>
        <v>Youth</v>
      </c>
      <c r="I444" t="str" cm="1">
        <f t="array" ref="I444">_xlfn.IFS(A444&lt;=25,"18-25",A444&lt;=35,"26-35",A444&lt;=45,"36-45",A444&lt;=60,"46-60",A444&gt;60,"60+")</f>
        <v>26-35</v>
      </c>
      <c r="J444" t="str" cm="1">
        <f t="array" ref="J444">_xlfn.IFS(C444&lt;18.5,"Underweight",C444&lt;25,"Normal",C444&lt;30,"Overweight",C444&gt;=30,"Obese")</f>
        <v>Overweight</v>
      </c>
      <c r="K444" t="str" cm="1">
        <f t="array" ref="K444">_xlfn.IFS(G444&lt;10000, "Low", G444&lt;=25000, "Medium", G444&gt;25000, "High")</f>
        <v>Low</v>
      </c>
    </row>
    <row r="445" spans="1:11" x14ac:dyDescent="0.3">
      <c r="A445">
        <v>31</v>
      </c>
      <c r="B445" s="1" t="s">
        <v>7</v>
      </c>
      <c r="C445">
        <v>27.74</v>
      </c>
      <c r="D445">
        <v>0</v>
      </c>
      <c r="E445" t="s">
        <v>10</v>
      </c>
      <c r="F445" t="s">
        <v>12</v>
      </c>
      <c r="G445" s="2">
        <v>6238.2979999999998</v>
      </c>
      <c r="H445" t="str" cm="1">
        <f t="array" ref="H445">_xlfn.IFS(A445&lt;=30, "Youth", A445&lt;=50, "Adult", A445&gt;50, "Older")</f>
        <v>Adult</v>
      </c>
      <c r="I445" t="str" cm="1">
        <f t="array" ref="I445">_xlfn.IFS(A445&lt;=25,"18-25",A445&lt;=35,"26-35",A445&lt;=45,"36-45",A445&lt;=60,"46-60",A445&gt;60,"60+")</f>
        <v>26-35</v>
      </c>
      <c r="J445" t="str" cm="1">
        <f t="array" ref="J445">_xlfn.IFS(C445&lt;18.5,"Underweight",C445&lt;25,"Normal",C445&lt;30,"Overweight",C445&gt;=30,"Obese")</f>
        <v>Overweight</v>
      </c>
      <c r="K445" t="str" cm="1">
        <f t="array" ref="K445">_xlfn.IFS(G445&lt;10000, "Low", G445&lt;=25000, "Medium", G445&gt;25000, "High")</f>
        <v>Low</v>
      </c>
    </row>
    <row r="446" spans="1:11" x14ac:dyDescent="0.3">
      <c r="A446">
        <v>31</v>
      </c>
      <c r="B446" s="1" t="s">
        <v>8</v>
      </c>
      <c r="C446">
        <v>27.74</v>
      </c>
      <c r="D446">
        <v>0</v>
      </c>
      <c r="E446" t="s">
        <v>9</v>
      </c>
      <c r="F446" t="s">
        <v>13</v>
      </c>
      <c r="G446" s="2">
        <v>6250.4350000000004</v>
      </c>
      <c r="H446" t="str" cm="1">
        <f t="array" ref="H446">_xlfn.IFS(A446&lt;=30, "Youth", A446&lt;=50, "Adult", A446&gt;50, "Older")</f>
        <v>Adult</v>
      </c>
      <c r="I446" t="str" cm="1">
        <f t="array" ref="I446">_xlfn.IFS(A446&lt;=25,"18-25",A446&lt;=35,"26-35",A446&lt;=45,"36-45",A446&lt;=60,"46-60",A446&gt;60,"60+")</f>
        <v>26-35</v>
      </c>
      <c r="J446" t="str" cm="1">
        <f t="array" ref="J446">_xlfn.IFS(C446&lt;18.5,"Underweight",C446&lt;25,"Normal",C446&lt;30,"Overweight",C446&gt;=30,"Obese")</f>
        <v>Overweight</v>
      </c>
      <c r="K446" t="str" cm="1">
        <f t="array" ref="K446">_xlfn.IFS(G446&lt;10000, "Low", G446&lt;=25000, "Medium", G446&gt;25000, "High")</f>
        <v>Low</v>
      </c>
    </row>
    <row r="447" spans="1:11" x14ac:dyDescent="0.3">
      <c r="A447">
        <v>31</v>
      </c>
      <c r="B447" s="1" t="s">
        <v>7</v>
      </c>
      <c r="C447">
        <v>27.74</v>
      </c>
      <c r="D447">
        <v>0</v>
      </c>
      <c r="E447" t="s">
        <v>10</v>
      </c>
      <c r="F447" t="s">
        <v>11</v>
      </c>
      <c r="G447" s="2">
        <v>6272.4772000000003</v>
      </c>
      <c r="H447" t="str" cm="1">
        <f t="array" ref="H447">_xlfn.IFS(A447&lt;=30, "Youth", A447&lt;=50, "Adult", A447&gt;50, "Older")</f>
        <v>Adult</v>
      </c>
      <c r="I447" t="str" cm="1">
        <f t="array" ref="I447">_xlfn.IFS(A447&lt;=25,"18-25",A447&lt;=35,"26-35",A447&lt;=45,"36-45",A447&lt;=60,"46-60",A447&gt;60,"60+")</f>
        <v>26-35</v>
      </c>
      <c r="J447" t="str" cm="1">
        <f t="array" ref="J447">_xlfn.IFS(C447&lt;18.5,"Underweight",C447&lt;25,"Normal",C447&lt;30,"Overweight",C447&gt;=30,"Obese")</f>
        <v>Overweight</v>
      </c>
      <c r="K447" t="str" cm="1">
        <f t="array" ref="K447">_xlfn.IFS(G447&lt;10000, "Low", G447&lt;=25000, "Medium", G447&gt;25000, "High")</f>
        <v>Low</v>
      </c>
    </row>
    <row r="448" spans="1:11" x14ac:dyDescent="0.3">
      <c r="A448">
        <v>31</v>
      </c>
      <c r="B448" s="1" t="s">
        <v>8</v>
      </c>
      <c r="C448">
        <v>27.74</v>
      </c>
      <c r="D448">
        <v>0</v>
      </c>
      <c r="E448" t="s">
        <v>10</v>
      </c>
      <c r="F448" t="s">
        <v>14</v>
      </c>
      <c r="G448" s="2">
        <v>6282.2349999999997</v>
      </c>
      <c r="H448" t="str" cm="1">
        <f t="array" ref="H448">_xlfn.IFS(A448&lt;=30, "Youth", A448&lt;=50, "Adult", A448&gt;50, "Older")</f>
        <v>Adult</v>
      </c>
      <c r="I448" t="str" cm="1">
        <f t="array" ref="I448">_xlfn.IFS(A448&lt;=25,"18-25",A448&lt;=35,"26-35",A448&lt;=45,"36-45",A448&lt;=60,"46-60",A448&gt;60,"60+")</f>
        <v>26-35</v>
      </c>
      <c r="J448" t="str" cm="1">
        <f t="array" ref="J448">_xlfn.IFS(C448&lt;18.5,"Underweight",C448&lt;25,"Normal",C448&lt;30,"Overweight",C448&gt;=30,"Obese")</f>
        <v>Overweight</v>
      </c>
      <c r="K448" t="str" cm="1">
        <f t="array" ref="K448">_xlfn.IFS(G448&lt;10000, "Low", G448&lt;=25000, "Medium", G448&gt;25000, "High")</f>
        <v>Low</v>
      </c>
    </row>
    <row r="449" spans="1:11" x14ac:dyDescent="0.3">
      <c r="A449">
        <v>31</v>
      </c>
      <c r="B449" s="1" t="s">
        <v>7</v>
      </c>
      <c r="C449">
        <v>27.74</v>
      </c>
      <c r="D449">
        <v>0</v>
      </c>
      <c r="E449" t="s">
        <v>10</v>
      </c>
      <c r="F449" t="s">
        <v>13</v>
      </c>
      <c r="G449" s="2">
        <v>6289.7548999999999</v>
      </c>
      <c r="H449" t="str" cm="1">
        <f t="array" ref="H449">_xlfn.IFS(A449&lt;=30, "Youth", A449&lt;=50, "Adult", A449&gt;50, "Older")</f>
        <v>Adult</v>
      </c>
      <c r="I449" t="str" cm="1">
        <f t="array" ref="I449">_xlfn.IFS(A449&lt;=25,"18-25",A449&lt;=35,"26-35",A449&lt;=45,"36-45",A449&lt;=60,"46-60",A449&gt;60,"60+")</f>
        <v>26-35</v>
      </c>
      <c r="J449" t="str" cm="1">
        <f t="array" ref="J449">_xlfn.IFS(C449&lt;18.5,"Underweight",C449&lt;25,"Normal",C449&lt;30,"Overweight",C449&gt;=30,"Obese")</f>
        <v>Overweight</v>
      </c>
      <c r="K449" t="str" cm="1">
        <f t="array" ref="K449">_xlfn.IFS(G449&lt;10000, "Low", G449&lt;=25000, "Medium", G449&gt;25000, "High")</f>
        <v>Low</v>
      </c>
    </row>
    <row r="450" spans="1:11" x14ac:dyDescent="0.3">
      <c r="A450">
        <v>31</v>
      </c>
      <c r="B450" s="1" t="s">
        <v>7</v>
      </c>
      <c r="C450">
        <v>27.8</v>
      </c>
      <c r="D450">
        <v>0</v>
      </c>
      <c r="E450" t="s">
        <v>10</v>
      </c>
      <c r="F450" t="s">
        <v>11</v>
      </c>
      <c r="G450" s="2">
        <v>6311.9520000000002</v>
      </c>
      <c r="H450" t="str" cm="1">
        <f t="array" ref="H450">_xlfn.IFS(A450&lt;=30, "Youth", A450&lt;=50, "Adult", A450&gt;50, "Older")</f>
        <v>Adult</v>
      </c>
      <c r="I450" t="str" cm="1">
        <f t="array" ref="I450">_xlfn.IFS(A450&lt;=25,"18-25",A450&lt;=35,"26-35",A450&lt;=45,"36-45",A450&lt;=60,"46-60",A450&gt;60,"60+")</f>
        <v>26-35</v>
      </c>
      <c r="J450" t="str" cm="1">
        <f t="array" ref="J450">_xlfn.IFS(C450&lt;18.5,"Underweight",C450&lt;25,"Normal",C450&lt;30,"Overweight",C450&gt;=30,"Obese")</f>
        <v>Overweight</v>
      </c>
      <c r="K450" t="str" cm="1">
        <f t="array" ref="K450">_xlfn.IFS(G450&lt;10000, "Low", G450&lt;=25000, "Medium", G450&gt;25000, "High")</f>
        <v>Low</v>
      </c>
    </row>
    <row r="451" spans="1:11" x14ac:dyDescent="0.3">
      <c r="A451">
        <v>31</v>
      </c>
      <c r="B451" s="1" t="s">
        <v>8</v>
      </c>
      <c r="C451">
        <v>27.83</v>
      </c>
      <c r="D451">
        <v>0</v>
      </c>
      <c r="E451" t="s">
        <v>10</v>
      </c>
      <c r="F451" t="s">
        <v>11</v>
      </c>
      <c r="G451" s="2">
        <v>6313.759</v>
      </c>
      <c r="H451" t="str" cm="1">
        <f t="array" ref="H451">_xlfn.IFS(A451&lt;=30, "Youth", A451&lt;=50, "Adult", A451&gt;50, "Older")</f>
        <v>Adult</v>
      </c>
      <c r="I451" t="str" cm="1">
        <f t="array" ref="I451">_xlfn.IFS(A451&lt;=25,"18-25",A451&lt;=35,"26-35",A451&lt;=45,"36-45",A451&lt;=60,"46-60",A451&gt;60,"60+")</f>
        <v>26-35</v>
      </c>
      <c r="J451" t="str" cm="1">
        <f t="array" ref="J451">_xlfn.IFS(C451&lt;18.5,"Underweight",C451&lt;25,"Normal",C451&lt;30,"Overweight",C451&gt;=30,"Obese")</f>
        <v>Overweight</v>
      </c>
      <c r="K451" t="str" cm="1">
        <f t="array" ref="K451">_xlfn.IFS(G451&lt;10000, "Low", G451&lt;=25000, "Medium", G451&gt;25000, "High")</f>
        <v>Low</v>
      </c>
    </row>
    <row r="452" spans="1:11" x14ac:dyDescent="0.3">
      <c r="A452">
        <v>31</v>
      </c>
      <c r="B452" s="1" t="s">
        <v>8</v>
      </c>
      <c r="C452">
        <v>27.83</v>
      </c>
      <c r="D452">
        <v>0</v>
      </c>
      <c r="E452" t="s">
        <v>10</v>
      </c>
      <c r="F452" t="s">
        <v>11</v>
      </c>
      <c r="G452" s="2">
        <v>6334.3435499999996</v>
      </c>
      <c r="H452" t="str" cm="1">
        <f t="array" ref="H452">_xlfn.IFS(A452&lt;=30, "Youth", A452&lt;=50, "Adult", A452&gt;50, "Older")</f>
        <v>Adult</v>
      </c>
      <c r="I452" t="str" cm="1">
        <f t="array" ref="I452">_xlfn.IFS(A452&lt;=25,"18-25",A452&lt;=35,"26-35",A452&lt;=45,"36-45",A452&lt;=60,"46-60",A452&gt;60,"60+")</f>
        <v>26-35</v>
      </c>
      <c r="J452" t="str" cm="1">
        <f t="array" ref="J452">_xlfn.IFS(C452&lt;18.5,"Underweight",C452&lt;25,"Normal",C452&lt;30,"Overweight",C452&gt;=30,"Obese")</f>
        <v>Overweight</v>
      </c>
      <c r="K452" t="str" cm="1">
        <f t="array" ref="K452">_xlfn.IFS(G452&lt;10000, "Low", G452&lt;=25000, "Medium", G452&gt;25000, "High")</f>
        <v>Low</v>
      </c>
    </row>
    <row r="453" spans="1:11" x14ac:dyDescent="0.3">
      <c r="A453">
        <v>31</v>
      </c>
      <c r="B453" s="1" t="s">
        <v>8</v>
      </c>
      <c r="C453">
        <v>27.83</v>
      </c>
      <c r="D453">
        <v>0</v>
      </c>
      <c r="E453" t="s">
        <v>10</v>
      </c>
      <c r="F453" t="s">
        <v>13</v>
      </c>
      <c r="G453" s="2">
        <v>6338.0756000000001</v>
      </c>
      <c r="H453" t="str" cm="1">
        <f t="array" ref="H453">_xlfn.IFS(A453&lt;=30, "Youth", A453&lt;=50, "Adult", A453&gt;50, "Older")</f>
        <v>Adult</v>
      </c>
      <c r="I453" t="str" cm="1">
        <f t="array" ref="I453">_xlfn.IFS(A453&lt;=25,"18-25",A453&lt;=35,"26-35",A453&lt;=45,"36-45",A453&lt;=60,"46-60",A453&gt;60,"60+")</f>
        <v>26-35</v>
      </c>
      <c r="J453" t="str" cm="1">
        <f t="array" ref="J453">_xlfn.IFS(C453&lt;18.5,"Underweight",C453&lt;25,"Normal",C453&lt;30,"Overweight",C453&gt;=30,"Obese")</f>
        <v>Overweight</v>
      </c>
      <c r="K453" t="str" cm="1">
        <f t="array" ref="K453">_xlfn.IFS(G453&lt;10000, "Low", G453&lt;=25000, "Medium", G453&gt;25000, "High")</f>
        <v>Low</v>
      </c>
    </row>
    <row r="454" spans="1:11" x14ac:dyDescent="0.3">
      <c r="A454">
        <v>31</v>
      </c>
      <c r="B454" s="1" t="s">
        <v>8</v>
      </c>
      <c r="C454">
        <v>27.83</v>
      </c>
      <c r="D454">
        <v>0</v>
      </c>
      <c r="E454" t="s">
        <v>10</v>
      </c>
      <c r="F454" t="s">
        <v>11</v>
      </c>
      <c r="G454" s="2">
        <v>6356.2707</v>
      </c>
      <c r="H454" t="str" cm="1">
        <f t="array" ref="H454">_xlfn.IFS(A454&lt;=30, "Youth", A454&lt;=50, "Adult", A454&gt;50, "Older")</f>
        <v>Adult</v>
      </c>
      <c r="I454" t="str" cm="1">
        <f t="array" ref="I454">_xlfn.IFS(A454&lt;=25,"18-25",A454&lt;=35,"26-35",A454&lt;=45,"36-45",A454&lt;=60,"46-60",A454&gt;60,"60+")</f>
        <v>26-35</v>
      </c>
      <c r="J454" t="str" cm="1">
        <f t="array" ref="J454">_xlfn.IFS(C454&lt;18.5,"Underweight",C454&lt;25,"Normal",C454&lt;30,"Overweight",C454&gt;=30,"Obese")</f>
        <v>Overweight</v>
      </c>
      <c r="K454" t="str" cm="1">
        <f t="array" ref="K454">_xlfn.IFS(G454&lt;10000, "Low", G454&lt;=25000, "Medium", G454&gt;25000, "High")</f>
        <v>Low</v>
      </c>
    </row>
    <row r="455" spans="1:11" x14ac:dyDescent="0.3">
      <c r="A455">
        <v>31</v>
      </c>
      <c r="B455" s="1" t="s">
        <v>8</v>
      </c>
      <c r="C455">
        <v>27.835000000000001</v>
      </c>
      <c r="D455">
        <v>0</v>
      </c>
      <c r="E455" t="s">
        <v>10</v>
      </c>
      <c r="F455" t="s">
        <v>13</v>
      </c>
      <c r="G455" s="2">
        <v>6358.7764500000003</v>
      </c>
      <c r="H455" t="str" cm="1">
        <f t="array" ref="H455">_xlfn.IFS(A455&lt;=30, "Youth", A455&lt;=50, "Adult", A455&gt;50, "Older")</f>
        <v>Adult</v>
      </c>
      <c r="I455" t="str" cm="1">
        <f t="array" ref="I455">_xlfn.IFS(A455&lt;=25,"18-25",A455&lt;=35,"26-35",A455&lt;=45,"36-45",A455&lt;=60,"46-60",A455&gt;60,"60+")</f>
        <v>26-35</v>
      </c>
      <c r="J455" t="str" cm="1">
        <f t="array" ref="J455">_xlfn.IFS(C455&lt;18.5,"Underweight",C455&lt;25,"Normal",C455&lt;30,"Overweight",C455&gt;=30,"Obese")</f>
        <v>Overweight</v>
      </c>
      <c r="K455" t="str" cm="1">
        <f t="array" ref="K455">_xlfn.IFS(G455&lt;10000, "Low", G455&lt;=25000, "Medium", G455&gt;25000, "High")</f>
        <v>Low</v>
      </c>
    </row>
    <row r="456" spans="1:11" x14ac:dyDescent="0.3">
      <c r="A456">
        <v>31</v>
      </c>
      <c r="B456" s="1" t="s">
        <v>8</v>
      </c>
      <c r="C456">
        <v>27.835000000000001</v>
      </c>
      <c r="D456">
        <v>0</v>
      </c>
      <c r="E456" t="s">
        <v>10</v>
      </c>
      <c r="F456" t="s">
        <v>12</v>
      </c>
      <c r="G456" s="2">
        <v>6360.9935999999998</v>
      </c>
      <c r="H456" t="str" cm="1">
        <f t="array" ref="H456">_xlfn.IFS(A456&lt;=30, "Youth", A456&lt;=50, "Adult", A456&gt;50, "Older")</f>
        <v>Adult</v>
      </c>
      <c r="I456" t="str" cm="1">
        <f t="array" ref="I456">_xlfn.IFS(A456&lt;=25,"18-25",A456&lt;=35,"26-35",A456&lt;=45,"36-45",A456&lt;=60,"46-60",A456&gt;60,"60+")</f>
        <v>26-35</v>
      </c>
      <c r="J456" t="str" cm="1">
        <f t="array" ref="J456">_xlfn.IFS(C456&lt;18.5,"Underweight",C456&lt;25,"Normal",C456&lt;30,"Overweight",C456&gt;=30,"Obese")</f>
        <v>Overweight</v>
      </c>
      <c r="K456" t="str" cm="1">
        <f t="array" ref="K456">_xlfn.IFS(G456&lt;10000, "Low", G456&lt;=25000, "Medium", G456&gt;25000, "High")</f>
        <v>Low</v>
      </c>
    </row>
    <row r="457" spans="1:11" x14ac:dyDescent="0.3">
      <c r="A457">
        <v>31</v>
      </c>
      <c r="B457" s="1" t="s">
        <v>8</v>
      </c>
      <c r="C457">
        <v>27.835000000000001</v>
      </c>
      <c r="D457">
        <v>0</v>
      </c>
      <c r="E457" t="s">
        <v>10</v>
      </c>
      <c r="F457" t="s">
        <v>11</v>
      </c>
      <c r="G457" s="2">
        <v>6373.55735</v>
      </c>
      <c r="H457" t="str" cm="1">
        <f t="array" ref="H457">_xlfn.IFS(A457&lt;=30, "Youth", A457&lt;=50, "Adult", A457&gt;50, "Older")</f>
        <v>Adult</v>
      </c>
      <c r="I457" t="str" cm="1">
        <f t="array" ref="I457">_xlfn.IFS(A457&lt;=25,"18-25",A457&lt;=35,"26-35",A457&lt;=45,"36-45",A457&lt;=60,"46-60",A457&gt;60,"60+")</f>
        <v>26-35</v>
      </c>
      <c r="J457" t="str" cm="1">
        <f t="array" ref="J457">_xlfn.IFS(C457&lt;18.5,"Underweight",C457&lt;25,"Normal",C457&lt;30,"Overweight",C457&gt;=30,"Obese")</f>
        <v>Overweight</v>
      </c>
      <c r="K457" t="str" cm="1">
        <f t="array" ref="K457">_xlfn.IFS(G457&lt;10000, "Low", G457&lt;=25000, "Medium", G457&gt;25000, "High")</f>
        <v>Low</v>
      </c>
    </row>
    <row r="458" spans="1:11" x14ac:dyDescent="0.3">
      <c r="A458">
        <v>31</v>
      </c>
      <c r="B458" s="1" t="s">
        <v>7</v>
      </c>
      <c r="C458">
        <v>27.835000000000001</v>
      </c>
      <c r="D458">
        <v>0</v>
      </c>
      <c r="E458" t="s">
        <v>10</v>
      </c>
      <c r="F458" t="s">
        <v>12</v>
      </c>
      <c r="G458" s="2">
        <v>6389.3778499999999</v>
      </c>
      <c r="H458" t="str" cm="1">
        <f t="array" ref="H458">_xlfn.IFS(A458&lt;=30, "Youth", A458&lt;=50, "Adult", A458&gt;50, "Older")</f>
        <v>Adult</v>
      </c>
      <c r="I458" t="str" cm="1">
        <f t="array" ref="I458">_xlfn.IFS(A458&lt;=25,"18-25",A458&lt;=35,"26-35",A458&lt;=45,"36-45",A458&lt;=60,"46-60",A458&gt;60,"60+")</f>
        <v>26-35</v>
      </c>
      <c r="J458" t="str" cm="1">
        <f t="array" ref="J458">_xlfn.IFS(C458&lt;18.5,"Underweight",C458&lt;25,"Normal",C458&lt;30,"Overweight",C458&gt;=30,"Obese")</f>
        <v>Overweight</v>
      </c>
      <c r="K458" t="str" cm="1">
        <f t="array" ref="K458">_xlfn.IFS(G458&lt;10000, "Low", G458&lt;=25000, "Medium", G458&gt;25000, "High")</f>
        <v>Low</v>
      </c>
    </row>
    <row r="459" spans="1:11" x14ac:dyDescent="0.3">
      <c r="A459">
        <v>31</v>
      </c>
      <c r="B459" s="1" t="s">
        <v>7</v>
      </c>
      <c r="C459">
        <v>27.835000000000001</v>
      </c>
      <c r="D459">
        <v>0</v>
      </c>
      <c r="E459" t="s">
        <v>10</v>
      </c>
      <c r="F459" t="s">
        <v>13</v>
      </c>
      <c r="G459" s="2">
        <v>6393.6034499999996</v>
      </c>
      <c r="H459" t="str" cm="1">
        <f t="array" ref="H459">_xlfn.IFS(A459&lt;=30, "Youth", A459&lt;=50, "Adult", A459&gt;50, "Older")</f>
        <v>Adult</v>
      </c>
      <c r="I459" t="str" cm="1">
        <f t="array" ref="I459">_xlfn.IFS(A459&lt;=25,"18-25",A459&lt;=35,"26-35",A459&lt;=45,"36-45",A459&lt;=60,"46-60",A459&gt;60,"60+")</f>
        <v>26-35</v>
      </c>
      <c r="J459" t="str" cm="1">
        <f t="array" ref="J459">_xlfn.IFS(C459&lt;18.5,"Underweight",C459&lt;25,"Normal",C459&lt;30,"Overweight",C459&gt;=30,"Obese")</f>
        <v>Overweight</v>
      </c>
      <c r="K459" t="str" cm="1">
        <f t="array" ref="K459">_xlfn.IFS(G459&lt;10000, "Low", G459&lt;=25000, "Medium", G459&gt;25000, "High")</f>
        <v>Low</v>
      </c>
    </row>
    <row r="460" spans="1:11" x14ac:dyDescent="0.3">
      <c r="A460">
        <v>31</v>
      </c>
      <c r="B460" s="1" t="s">
        <v>8</v>
      </c>
      <c r="C460">
        <v>27.9</v>
      </c>
      <c r="D460">
        <v>0</v>
      </c>
      <c r="E460" t="s">
        <v>10</v>
      </c>
      <c r="F460" t="s">
        <v>11</v>
      </c>
      <c r="G460" s="2">
        <v>6402.2913500000004</v>
      </c>
      <c r="H460" t="str" cm="1">
        <f t="array" ref="H460">_xlfn.IFS(A460&lt;=30, "Youth", A460&lt;=50, "Adult", A460&gt;50, "Older")</f>
        <v>Adult</v>
      </c>
      <c r="I460" t="str" cm="1">
        <f t="array" ref="I460">_xlfn.IFS(A460&lt;=25,"18-25",A460&lt;=35,"26-35",A460&lt;=45,"36-45",A460&lt;=60,"46-60",A460&gt;60,"60+")</f>
        <v>26-35</v>
      </c>
      <c r="J460" t="str" cm="1">
        <f t="array" ref="J460">_xlfn.IFS(C460&lt;18.5,"Underweight",C460&lt;25,"Normal",C460&lt;30,"Overweight",C460&gt;=30,"Obese")</f>
        <v>Overweight</v>
      </c>
      <c r="K460" t="str" cm="1">
        <f t="array" ref="K460">_xlfn.IFS(G460&lt;10000, "Low", G460&lt;=25000, "Medium", G460&gt;25000, "High")</f>
        <v>Low</v>
      </c>
    </row>
    <row r="461" spans="1:11" x14ac:dyDescent="0.3">
      <c r="A461">
        <v>31</v>
      </c>
      <c r="B461" s="1" t="s">
        <v>7</v>
      </c>
      <c r="C461">
        <v>27.93</v>
      </c>
      <c r="D461">
        <v>0</v>
      </c>
      <c r="E461" t="s">
        <v>10</v>
      </c>
      <c r="F461" t="s">
        <v>12</v>
      </c>
      <c r="G461" s="2">
        <v>6406.4107000000004</v>
      </c>
      <c r="H461" t="str" cm="1">
        <f t="array" ref="H461">_xlfn.IFS(A461&lt;=30, "Youth", A461&lt;=50, "Adult", A461&gt;50, "Older")</f>
        <v>Adult</v>
      </c>
      <c r="I461" t="str" cm="1">
        <f t="array" ref="I461">_xlfn.IFS(A461&lt;=25,"18-25",A461&lt;=35,"26-35",A461&lt;=45,"36-45",A461&lt;=60,"46-60",A461&gt;60,"60+")</f>
        <v>26-35</v>
      </c>
      <c r="J461" t="str" cm="1">
        <f t="array" ref="J461">_xlfn.IFS(C461&lt;18.5,"Underweight",C461&lt;25,"Normal",C461&lt;30,"Overweight",C461&gt;=30,"Obese")</f>
        <v>Overweight</v>
      </c>
      <c r="K461" t="str" cm="1">
        <f t="array" ref="K461">_xlfn.IFS(G461&lt;10000, "Low", G461&lt;=25000, "Medium", G461&gt;25000, "High")</f>
        <v>Low</v>
      </c>
    </row>
    <row r="462" spans="1:11" x14ac:dyDescent="0.3">
      <c r="A462">
        <v>31</v>
      </c>
      <c r="B462" s="1" t="s">
        <v>7</v>
      </c>
      <c r="C462">
        <v>27.93</v>
      </c>
      <c r="D462">
        <v>0</v>
      </c>
      <c r="E462" t="s">
        <v>10</v>
      </c>
      <c r="F462" t="s">
        <v>12</v>
      </c>
      <c r="G462" s="2">
        <v>6414.1779999999999</v>
      </c>
      <c r="H462" t="str" cm="1">
        <f t="array" ref="H462">_xlfn.IFS(A462&lt;=30, "Youth", A462&lt;=50, "Adult", A462&gt;50, "Older")</f>
        <v>Adult</v>
      </c>
      <c r="I462" t="str" cm="1">
        <f t="array" ref="I462">_xlfn.IFS(A462&lt;=25,"18-25",A462&lt;=35,"26-35",A462&lt;=45,"36-45",A462&lt;=60,"46-60",A462&gt;60,"60+")</f>
        <v>26-35</v>
      </c>
      <c r="J462" t="str" cm="1">
        <f t="array" ref="J462">_xlfn.IFS(C462&lt;18.5,"Underweight",C462&lt;25,"Normal",C462&lt;30,"Overweight",C462&gt;=30,"Obese")</f>
        <v>Overweight</v>
      </c>
      <c r="K462" t="str" cm="1">
        <f t="array" ref="K462">_xlfn.IFS(G462&lt;10000, "Low", G462&lt;=25000, "Medium", G462&gt;25000, "High")</f>
        <v>Low</v>
      </c>
    </row>
    <row r="463" spans="1:11" x14ac:dyDescent="0.3">
      <c r="A463">
        <v>31</v>
      </c>
      <c r="B463" s="1" t="s">
        <v>8</v>
      </c>
      <c r="C463">
        <v>27.93</v>
      </c>
      <c r="D463">
        <v>0</v>
      </c>
      <c r="E463" t="s">
        <v>9</v>
      </c>
      <c r="F463" t="s">
        <v>11</v>
      </c>
      <c r="G463" s="2">
        <v>6435.6237000000001</v>
      </c>
      <c r="H463" t="str" cm="1">
        <f t="array" ref="H463">_xlfn.IFS(A463&lt;=30, "Youth", A463&lt;=50, "Adult", A463&gt;50, "Older")</f>
        <v>Adult</v>
      </c>
      <c r="I463" t="str" cm="1">
        <f t="array" ref="I463">_xlfn.IFS(A463&lt;=25,"18-25",A463&lt;=35,"26-35",A463&lt;=45,"36-45",A463&lt;=60,"46-60",A463&gt;60,"60+")</f>
        <v>26-35</v>
      </c>
      <c r="J463" t="str" cm="1">
        <f t="array" ref="J463">_xlfn.IFS(C463&lt;18.5,"Underweight",C463&lt;25,"Normal",C463&lt;30,"Overweight",C463&gt;=30,"Obese")</f>
        <v>Overweight</v>
      </c>
      <c r="K463" t="str" cm="1">
        <f t="array" ref="K463">_xlfn.IFS(G463&lt;10000, "Low", G463&lt;=25000, "Medium", G463&gt;25000, "High")</f>
        <v>Low</v>
      </c>
    </row>
    <row r="464" spans="1:11" x14ac:dyDescent="0.3">
      <c r="A464">
        <v>31</v>
      </c>
      <c r="B464" s="1" t="s">
        <v>7</v>
      </c>
      <c r="C464">
        <v>27.93</v>
      </c>
      <c r="D464">
        <v>0</v>
      </c>
      <c r="E464" t="s">
        <v>10</v>
      </c>
      <c r="F464" t="s">
        <v>14</v>
      </c>
      <c r="G464" s="2">
        <v>6455.86265</v>
      </c>
      <c r="H464" t="str" cm="1">
        <f t="array" ref="H464">_xlfn.IFS(A464&lt;=30, "Youth", A464&lt;=50, "Adult", A464&gt;50, "Older")</f>
        <v>Adult</v>
      </c>
      <c r="I464" t="str" cm="1">
        <f t="array" ref="I464">_xlfn.IFS(A464&lt;=25,"18-25",A464&lt;=35,"26-35",A464&lt;=45,"36-45",A464&lt;=60,"46-60",A464&gt;60,"60+")</f>
        <v>26-35</v>
      </c>
      <c r="J464" t="str" cm="1">
        <f t="array" ref="J464">_xlfn.IFS(C464&lt;18.5,"Underweight",C464&lt;25,"Normal",C464&lt;30,"Overweight",C464&gt;=30,"Obese")</f>
        <v>Overweight</v>
      </c>
      <c r="K464" t="str" cm="1">
        <f t="array" ref="K464">_xlfn.IFS(G464&lt;10000, "Low", G464&lt;=25000, "Medium", G464&gt;25000, "High")</f>
        <v>Low</v>
      </c>
    </row>
    <row r="465" spans="1:11" x14ac:dyDescent="0.3">
      <c r="A465">
        <v>31</v>
      </c>
      <c r="B465" s="1" t="s">
        <v>8</v>
      </c>
      <c r="C465">
        <v>27.94</v>
      </c>
      <c r="D465">
        <v>0</v>
      </c>
      <c r="E465" t="s">
        <v>10</v>
      </c>
      <c r="F465" t="s">
        <v>14</v>
      </c>
      <c r="G465" s="2">
        <v>6457.8433999999997</v>
      </c>
      <c r="H465" t="str" cm="1">
        <f t="array" ref="H465">_xlfn.IFS(A465&lt;=30, "Youth", A465&lt;=50, "Adult", A465&gt;50, "Older")</f>
        <v>Adult</v>
      </c>
      <c r="I465" t="str" cm="1">
        <f t="array" ref="I465">_xlfn.IFS(A465&lt;=25,"18-25",A465&lt;=35,"26-35",A465&lt;=45,"36-45",A465&lt;=60,"46-60",A465&gt;60,"60+")</f>
        <v>26-35</v>
      </c>
      <c r="J465" t="str" cm="1">
        <f t="array" ref="J465">_xlfn.IFS(C465&lt;18.5,"Underweight",C465&lt;25,"Normal",C465&lt;30,"Overweight",C465&gt;=30,"Obese")</f>
        <v>Overweight</v>
      </c>
      <c r="K465" t="str" cm="1">
        <f t="array" ref="K465">_xlfn.IFS(G465&lt;10000, "Low", G465&lt;=25000, "Medium", G465&gt;25000, "High")</f>
        <v>Low</v>
      </c>
    </row>
    <row r="466" spans="1:11" x14ac:dyDescent="0.3">
      <c r="A466">
        <v>31</v>
      </c>
      <c r="B466" s="1" t="s">
        <v>8</v>
      </c>
      <c r="C466">
        <v>27.94</v>
      </c>
      <c r="D466">
        <v>0</v>
      </c>
      <c r="E466" t="s">
        <v>10</v>
      </c>
      <c r="F466" t="s">
        <v>13</v>
      </c>
      <c r="G466" s="2">
        <v>6474.0129999999999</v>
      </c>
      <c r="H466" t="str" cm="1">
        <f t="array" ref="H466">_xlfn.IFS(A466&lt;=30, "Youth", A466&lt;=50, "Adult", A466&gt;50, "Older")</f>
        <v>Adult</v>
      </c>
      <c r="I466" t="str" cm="1">
        <f t="array" ref="I466">_xlfn.IFS(A466&lt;=25,"18-25",A466&lt;=35,"26-35",A466&lt;=45,"36-45",A466&lt;=60,"46-60",A466&gt;60,"60+")</f>
        <v>26-35</v>
      </c>
      <c r="J466" t="str" cm="1">
        <f t="array" ref="J466">_xlfn.IFS(C466&lt;18.5,"Underweight",C466&lt;25,"Normal",C466&lt;30,"Overweight",C466&gt;=30,"Obese")</f>
        <v>Overweight</v>
      </c>
      <c r="K466" t="str" cm="1">
        <f t="array" ref="K466">_xlfn.IFS(G466&lt;10000, "Low", G466&lt;=25000, "Medium", G466&gt;25000, "High")</f>
        <v>Low</v>
      </c>
    </row>
    <row r="467" spans="1:11" x14ac:dyDescent="0.3">
      <c r="A467">
        <v>31</v>
      </c>
      <c r="B467" s="1" t="s">
        <v>7</v>
      </c>
      <c r="C467">
        <v>27.94</v>
      </c>
      <c r="D467">
        <v>0</v>
      </c>
      <c r="E467" t="s">
        <v>9</v>
      </c>
      <c r="F467" t="s">
        <v>12</v>
      </c>
      <c r="G467" s="2">
        <v>6496.8860000000004</v>
      </c>
      <c r="H467" t="str" cm="1">
        <f t="array" ref="H467">_xlfn.IFS(A467&lt;=30, "Youth", A467&lt;=50, "Adult", A467&gt;50, "Older")</f>
        <v>Adult</v>
      </c>
      <c r="I467" t="str" cm="1">
        <f t="array" ref="I467">_xlfn.IFS(A467&lt;=25,"18-25",A467&lt;=35,"26-35",A467&lt;=45,"36-45",A467&lt;=60,"46-60",A467&gt;60,"60+")</f>
        <v>26-35</v>
      </c>
      <c r="J467" t="str" cm="1">
        <f t="array" ref="J467">_xlfn.IFS(C467&lt;18.5,"Underweight",C467&lt;25,"Normal",C467&lt;30,"Overweight",C467&gt;=30,"Obese")</f>
        <v>Overweight</v>
      </c>
      <c r="K467" t="str" cm="1">
        <f t="array" ref="K467">_xlfn.IFS(G467&lt;10000, "Low", G467&lt;=25000, "Medium", G467&gt;25000, "High")</f>
        <v>Low</v>
      </c>
    </row>
    <row r="468" spans="1:11" x14ac:dyDescent="0.3">
      <c r="A468">
        <v>31</v>
      </c>
      <c r="B468" s="1" t="s">
        <v>7</v>
      </c>
      <c r="C468">
        <v>28</v>
      </c>
      <c r="D468">
        <v>0</v>
      </c>
      <c r="E468" t="s">
        <v>10</v>
      </c>
      <c r="F468" t="s">
        <v>11</v>
      </c>
      <c r="G468" s="2">
        <v>6500.2358999999997</v>
      </c>
      <c r="H468" t="str" cm="1">
        <f t="array" ref="H468">_xlfn.IFS(A468&lt;=30, "Youth", A468&lt;=50, "Adult", A468&gt;50, "Older")</f>
        <v>Adult</v>
      </c>
      <c r="I468" t="str" cm="1">
        <f t="array" ref="I468">_xlfn.IFS(A468&lt;=25,"18-25",A468&lt;=35,"26-35",A468&lt;=45,"36-45",A468&lt;=60,"46-60",A468&gt;60,"60+")</f>
        <v>26-35</v>
      </c>
      <c r="J468" t="str" cm="1">
        <f t="array" ref="J468">_xlfn.IFS(C468&lt;18.5,"Underweight",C468&lt;25,"Normal",C468&lt;30,"Overweight",C468&gt;=30,"Obese")</f>
        <v>Overweight</v>
      </c>
      <c r="K468" t="str" cm="1">
        <f t="array" ref="K468">_xlfn.IFS(G468&lt;10000, "Low", G468&lt;=25000, "Medium", G468&gt;25000, "High")</f>
        <v>Low</v>
      </c>
    </row>
    <row r="469" spans="1:11" x14ac:dyDescent="0.3">
      <c r="A469">
        <v>31</v>
      </c>
      <c r="B469" s="1" t="s">
        <v>7</v>
      </c>
      <c r="C469">
        <v>28</v>
      </c>
      <c r="D469">
        <v>0</v>
      </c>
      <c r="E469" t="s">
        <v>10</v>
      </c>
      <c r="F469" t="s">
        <v>13</v>
      </c>
      <c r="G469" s="2">
        <v>6548.1950500000003</v>
      </c>
      <c r="H469" t="str" cm="1">
        <f t="array" ref="H469">_xlfn.IFS(A469&lt;=30, "Youth", A469&lt;=50, "Adult", A469&gt;50, "Older")</f>
        <v>Adult</v>
      </c>
      <c r="I469" t="str" cm="1">
        <f t="array" ref="I469">_xlfn.IFS(A469&lt;=25,"18-25",A469&lt;=35,"26-35",A469&lt;=45,"36-45",A469&lt;=60,"46-60",A469&gt;60,"60+")</f>
        <v>26-35</v>
      </c>
      <c r="J469" t="str" cm="1">
        <f t="array" ref="J469">_xlfn.IFS(C469&lt;18.5,"Underweight",C469&lt;25,"Normal",C469&lt;30,"Overweight",C469&gt;=30,"Obese")</f>
        <v>Overweight</v>
      </c>
      <c r="K469" t="str" cm="1">
        <f t="array" ref="K469">_xlfn.IFS(G469&lt;10000, "Low", G469&lt;=25000, "Medium", G469&gt;25000, "High")</f>
        <v>Low</v>
      </c>
    </row>
    <row r="470" spans="1:11" x14ac:dyDescent="0.3">
      <c r="A470">
        <v>31</v>
      </c>
      <c r="B470" s="1" t="s">
        <v>7</v>
      </c>
      <c r="C470">
        <v>28</v>
      </c>
      <c r="D470">
        <v>0</v>
      </c>
      <c r="E470" t="s">
        <v>10</v>
      </c>
      <c r="F470" t="s">
        <v>14</v>
      </c>
      <c r="G470" s="2">
        <v>6551.7501000000002</v>
      </c>
      <c r="H470" t="str" cm="1">
        <f t="array" ref="H470">_xlfn.IFS(A470&lt;=30, "Youth", A470&lt;=50, "Adult", A470&gt;50, "Older")</f>
        <v>Adult</v>
      </c>
      <c r="I470" t="str" cm="1">
        <f t="array" ref="I470">_xlfn.IFS(A470&lt;=25,"18-25",A470&lt;=35,"26-35",A470&lt;=45,"36-45",A470&lt;=60,"46-60",A470&gt;60,"60+")</f>
        <v>26-35</v>
      </c>
      <c r="J470" t="str" cm="1">
        <f t="array" ref="J470">_xlfn.IFS(C470&lt;18.5,"Underweight",C470&lt;25,"Normal",C470&lt;30,"Overweight",C470&gt;=30,"Obese")</f>
        <v>Overweight</v>
      </c>
      <c r="K470" t="str" cm="1">
        <f t="array" ref="K470">_xlfn.IFS(G470&lt;10000, "Low", G470&lt;=25000, "Medium", G470&gt;25000, "High")</f>
        <v>Low</v>
      </c>
    </row>
    <row r="471" spans="1:11" x14ac:dyDescent="0.3">
      <c r="A471">
        <v>31</v>
      </c>
      <c r="B471" s="1" t="s">
        <v>7</v>
      </c>
      <c r="C471">
        <v>28.024999999999999</v>
      </c>
      <c r="D471">
        <v>0</v>
      </c>
      <c r="E471" t="s">
        <v>10</v>
      </c>
      <c r="F471" t="s">
        <v>12</v>
      </c>
      <c r="G471" s="2">
        <v>6555.07035</v>
      </c>
      <c r="H471" t="str" cm="1">
        <f t="array" ref="H471">_xlfn.IFS(A471&lt;=30, "Youth", A471&lt;=50, "Adult", A471&gt;50, "Older")</f>
        <v>Adult</v>
      </c>
      <c r="I471" t="str" cm="1">
        <f t="array" ref="I471">_xlfn.IFS(A471&lt;=25,"18-25",A471&lt;=35,"26-35",A471&lt;=45,"36-45",A471&lt;=60,"46-60",A471&gt;60,"60+")</f>
        <v>26-35</v>
      </c>
      <c r="J471" t="str" cm="1">
        <f t="array" ref="J471">_xlfn.IFS(C471&lt;18.5,"Underweight",C471&lt;25,"Normal",C471&lt;30,"Overweight",C471&gt;=30,"Obese")</f>
        <v>Overweight</v>
      </c>
      <c r="K471" t="str" cm="1">
        <f t="array" ref="K471">_xlfn.IFS(G471&lt;10000, "Low", G471&lt;=25000, "Medium", G471&gt;25000, "High")</f>
        <v>Low</v>
      </c>
    </row>
    <row r="472" spans="1:11" x14ac:dyDescent="0.3">
      <c r="A472">
        <v>32</v>
      </c>
      <c r="B472" s="1" t="s">
        <v>8</v>
      </c>
      <c r="C472">
        <v>28.024999999999999</v>
      </c>
      <c r="D472">
        <v>0</v>
      </c>
      <c r="E472" t="s">
        <v>10</v>
      </c>
      <c r="F472" t="s">
        <v>12</v>
      </c>
      <c r="G472" s="2">
        <v>6571.0243499999997</v>
      </c>
      <c r="H472" t="str" cm="1">
        <f t="array" ref="H472">_xlfn.IFS(A472&lt;=30, "Youth", A472&lt;=50, "Adult", A472&gt;50, "Older")</f>
        <v>Adult</v>
      </c>
      <c r="I472" t="str" cm="1">
        <f t="array" ref="I472">_xlfn.IFS(A472&lt;=25,"18-25",A472&lt;=35,"26-35",A472&lt;=45,"36-45",A472&lt;=60,"46-60",A472&gt;60,"60+")</f>
        <v>26-35</v>
      </c>
      <c r="J472" t="str" cm="1">
        <f t="array" ref="J472">_xlfn.IFS(C472&lt;18.5,"Underweight",C472&lt;25,"Normal",C472&lt;30,"Overweight",C472&gt;=30,"Obese")</f>
        <v>Overweight</v>
      </c>
      <c r="K472" t="str" cm="1">
        <f t="array" ref="K472">_xlfn.IFS(G472&lt;10000, "Low", G472&lt;=25000, "Medium", G472&gt;25000, "High")</f>
        <v>Low</v>
      </c>
    </row>
    <row r="473" spans="1:11" x14ac:dyDescent="0.3">
      <c r="A473">
        <v>32</v>
      </c>
      <c r="B473" s="1" t="s">
        <v>7</v>
      </c>
      <c r="C473">
        <v>28.024999999999999</v>
      </c>
      <c r="D473">
        <v>0</v>
      </c>
      <c r="E473" t="s">
        <v>10</v>
      </c>
      <c r="F473" t="s">
        <v>14</v>
      </c>
      <c r="G473" s="2">
        <v>6571.5439999999999</v>
      </c>
      <c r="H473" t="str" cm="1">
        <f t="array" ref="H473">_xlfn.IFS(A473&lt;=30, "Youth", A473&lt;=50, "Adult", A473&gt;50, "Older")</f>
        <v>Adult</v>
      </c>
      <c r="I473" t="str" cm="1">
        <f t="array" ref="I473">_xlfn.IFS(A473&lt;=25,"18-25",A473&lt;=35,"26-35",A473&lt;=45,"36-45",A473&lt;=60,"46-60",A473&gt;60,"60+")</f>
        <v>26-35</v>
      </c>
      <c r="J473" t="str" cm="1">
        <f t="array" ref="J473">_xlfn.IFS(C473&lt;18.5,"Underweight",C473&lt;25,"Normal",C473&lt;30,"Overweight",C473&gt;=30,"Obese")</f>
        <v>Overweight</v>
      </c>
      <c r="K473" t="str" cm="1">
        <f t="array" ref="K473">_xlfn.IFS(G473&lt;10000, "Low", G473&lt;=25000, "Medium", G473&gt;25000, "High")</f>
        <v>Low</v>
      </c>
    </row>
    <row r="474" spans="1:11" x14ac:dyDescent="0.3">
      <c r="A474">
        <v>32</v>
      </c>
      <c r="B474" s="1" t="s">
        <v>7</v>
      </c>
      <c r="C474">
        <v>28.024999999999999</v>
      </c>
      <c r="D474">
        <v>0</v>
      </c>
      <c r="E474" t="s">
        <v>10</v>
      </c>
      <c r="F474" t="s">
        <v>11</v>
      </c>
      <c r="G474" s="2">
        <v>6593.5083000000004</v>
      </c>
      <c r="H474" t="str" cm="1">
        <f t="array" ref="H474">_xlfn.IFS(A474&lt;=30, "Youth", A474&lt;=50, "Adult", A474&gt;50, "Older")</f>
        <v>Adult</v>
      </c>
      <c r="I474" t="str" cm="1">
        <f t="array" ref="I474">_xlfn.IFS(A474&lt;=25,"18-25",A474&lt;=35,"26-35",A474&lt;=45,"36-45",A474&lt;=60,"46-60",A474&gt;60,"60+")</f>
        <v>26-35</v>
      </c>
      <c r="J474" t="str" cm="1">
        <f t="array" ref="J474">_xlfn.IFS(C474&lt;18.5,"Underweight",C474&lt;25,"Normal",C474&lt;30,"Overweight",C474&gt;=30,"Obese")</f>
        <v>Overweight</v>
      </c>
      <c r="K474" t="str" cm="1">
        <f t="array" ref="K474">_xlfn.IFS(G474&lt;10000, "Low", G474&lt;=25000, "Medium", G474&gt;25000, "High")</f>
        <v>Low</v>
      </c>
    </row>
    <row r="475" spans="1:11" x14ac:dyDescent="0.3">
      <c r="A475">
        <v>32</v>
      </c>
      <c r="B475" s="1" t="s">
        <v>7</v>
      </c>
      <c r="C475">
        <v>28.024999999999999</v>
      </c>
      <c r="D475">
        <v>0</v>
      </c>
      <c r="E475" t="s">
        <v>10</v>
      </c>
      <c r="F475" t="s">
        <v>14</v>
      </c>
      <c r="G475" s="2">
        <v>6600.2059499999996</v>
      </c>
      <c r="H475" t="str" cm="1">
        <f t="array" ref="H475">_xlfn.IFS(A475&lt;=30, "Youth", A475&lt;=50, "Adult", A475&gt;50, "Older")</f>
        <v>Adult</v>
      </c>
      <c r="I475" t="str" cm="1">
        <f t="array" ref="I475">_xlfn.IFS(A475&lt;=25,"18-25",A475&lt;=35,"26-35",A475&lt;=45,"36-45",A475&lt;=60,"46-60",A475&gt;60,"60+")</f>
        <v>26-35</v>
      </c>
      <c r="J475" t="str" cm="1">
        <f t="array" ref="J475">_xlfn.IFS(C475&lt;18.5,"Underweight",C475&lt;25,"Normal",C475&lt;30,"Overweight",C475&gt;=30,"Obese")</f>
        <v>Overweight</v>
      </c>
      <c r="K475" t="str" cm="1">
        <f t="array" ref="K475">_xlfn.IFS(G475&lt;10000, "Low", G475&lt;=25000, "Medium", G475&gt;25000, "High")</f>
        <v>Low</v>
      </c>
    </row>
    <row r="476" spans="1:11" x14ac:dyDescent="0.3">
      <c r="A476">
        <v>32</v>
      </c>
      <c r="B476" s="1" t="s">
        <v>8</v>
      </c>
      <c r="C476">
        <v>28.05</v>
      </c>
      <c r="D476">
        <v>0</v>
      </c>
      <c r="E476" t="s">
        <v>9</v>
      </c>
      <c r="F476" t="s">
        <v>11</v>
      </c>
      <c r="G476" s="2">
        <v>6600.3609999999999</v>
      </c>
      <c r="H476" t="str" cm="1">
        <f t="array" ref="H476">_xlfn.IFS(A476&lt;=30, "Youth", A476&lt;=50, "Adult", A476&gt;50, "Older")</f>
        <v>Adult</v>
      </c>
      <c r="I476" t="str" cm="1">
        <f t="array" ref="I476">_xlfn.IFS(A476&lt;=25,"18-25",A476&lt;=35,"26-35",A476&lt;=45,"36-45",A476&lt;=60,"46-60",A476&gt;60,"60+")</f>
        <v>26-35</v>
      </c>
      <c r="J476" t="str" cm="1">
        <f t="array" ref="J476">_xlfn.IFS(C476&lt;18.5,"Underweight",C476&lt;25,"Normal",C476&lt;30,"Overweight",C476&gt;=30,"Obese")</f>
        <v>Overweight</v>
      </c>
      <c r="K476" t="str" cm="1">
        <f t="array" ref="K476">_xlfn.IFS(G476&lt;10000, "Low", G476&lt;=25000, "Medium", G476&gt;25000, "High")</f>
        <v>Low</v>
      </c>
    </row>
    <row r="477" spans="1:11" x14ac:dyDescent="0.3">
      <c r="A477">
        <v>32</v>
      </c>
      <c r="B477" s="1" t="s">
        <v>8</v>
      </c>
      <c r="C477">
        <v>28.05</v>
      </c>
      <c r="D477">
        <v>0</v>
      </c>
      <c r="E477" t="s">
        <v>9</v>
      </c>
      <c r="F477" t="s">
        <v>13</v>
      </c>
      <c r="G477" s="2">
        <v>6610.1097</v>
      </c>
      <c r="H477" t="str" cm="1">
        <f t="array" ref="H477">_xlfn.IFS(A477&lt;=30, "Youth", A477&lt;=50, "Adult", A477&gt;50, "Older")</f>
        <v>Adult</v>
      </c>
      <c r="I477" t="str" cm="1">
        <f t="array" ref="I477">_xlfn.IFS(A477&lt;=25,"18-25",A477&lt;=35,"26-35",A477&lt;=45,"36-45",A477&lt;=60,"46-60",A477&gt;60,"60+")</f>
        <v>26-35</v>
      </c>
      <c r="J477" t="str" cm="1">
        <f t="array" ref="J477">_xlfn.IFS(C477&lt;18.5,"Underweight",C477&lt;25,"Normal",C477&lt;30,"Overweight",C477&gt;=30,"Obese")</f>
        <v>Overweight</v>
      </c>
      <c r="K477" t="str" cm="1">
        <f t="array" ref="K477">_xlfn.IFS(G477&lt;10000, "Low", G477&lt;=25000, "Medium", G477&gt;25000, "High")</f>
        <v>Low</v>
      </c>
    </row>
    <row r="478" spans="1:11" x14ac:dyDescent="0.3">
      <c r="A478">
        <v>32</v>
      </c>
      <c r="B478" s="1" t="s">
        <v>8</v>
      </c>
      <c r="C478">
        <v>28.05</v>
      </c>
      <c r="D478">
        <v>0</v>
      </c>
      <c r="E478" t="s">
        <v>9</v>
      </c>
      <c r="F478" t="s">
        <v>14</v>
      </c>
      <c r="G478" s="2">
        <v>6640.5448500000002</v>
      </c>
      <c r="H478" t="str" cm="1">
        <f t="array" ref="H478">_xlfn.IFS(A478&lt;=30, "Youth", A478&lt;=50, "Adult", A478&gt;50, "Older")</f>
        <v>Adult</v>
      </c>
      <c r="I478" t="str" cm="1">
        <f t="array" ref="I478">_xlfn.IFS(A478&lt;=25,"18-25",A478&lt;=35,"26-35",A478&lt;=45,"36-45",A478&lt;=60,"46-60",A478&gt;60,"60+")</f>
        <v>26-35</v>
      </c>
      <c r="J478" t="str" cm="1">
        <f t="array" ref="J478">_xlfn.IFS(C478&lt;18.5,"Underweight",C478&lt;25,"Normal",C478&lt;30,"Overweight",C478&gt;=30,"Obese")</f>
        <v>Overweight</v>
      </c>
      <c r="K478" t="str" cm="1">
        <f t="array" ref="K478">_xlfn.IFS(G478&lt;10000, "Low", G478&lt;=25000, "Medium", G478&gt;25000, "High")</f>
        <v>Low</v>
      </c>
    </row>
    <row r="479" spans="1:11" x14ac:dyDescent="0.3">
      <c r="A479">
        <v>32</v>
      </c>
      <c r="B479" s="1" t="s">
        <v>8</v>
      </c>
      <c r="C479">
        <v>28.1</v>
      </c>
      <c r="D479">
        <v>0</v>
      </c>
      <c r="E479" t="s">
        <v>10</v>
      </c>
      <c r="F479" t="s">
        <v>13</v>
      </c>
      <c r="G479" s="2">
        <v>6652.5288</v>
      </c>
      <c r="H479" t="str" cm="1">
        <f t="array" ref="H479">_xlfn.IFS(A479&lt;=30, "Youth", A479&lt;=50, "Adult", A479&gt;50, "Older")</f>
        <v>Adult</v>
      </c>
      <c r="I479" t="str" cm="1">
        <f t="array" ref="I479">_xlfn.IFS(A479&lt;=25,"18-25",A479&lt;=35,"26-35",A479&lt;=45,"36-45",A479&lt;=60,"46-60",A479&gt;60,"60+")</f>
        <v>26-35</v>
      </c>
      <c r="J479" t="str" cm="1">
        <f t="array" ref="J479">_xlfn.IFS(C479&lt;18.5,"Underweight",C479&lt;25,"Normal",C479&lt;30,"Overweight",C479&gt;=30,"Obese")</f>
        <v>Overweight</v>
      </c>
      <c r="K479" t="str" cm="1">
        <f t="array" ref="K479">_xlfn.IFS(G479&lt;10000, "Low", G479&lt;=25000, "Medium", G479&gt;25000, "High")</f>
        <v>Low</v>
      </c>
    </row>
    <row r="480" spans="1:11" x14ac:dyDescent="0.3">
      <c r="A480">
        <v>32</v>
      </c>
      <c r="B480" s="1" t="s">
        <v>8</v>
      </c>
      <c r="C480">
        <v>28.1</v>
      </c>
      <c r="D480">
        <v>0</v>
      </c>
      <c r="E480" t="s">
        <v>10</v>
      </c>
      <c r="F480" t="s">
        <v>12</v>
      </c>
      <c r="G480" s="2">
        <v>6653.7885999999999</v>
      </c>
      <c r="H480" t="str" cm="1">
        <f t="array" ref="H480">_xlfn.IFS(A480&lt;=30, "Youth", A480&lt;=50, "Adult", A480&gt;50, "Older")</f>
        <v>Adult</v>
      </c>
      <c r="I480" t="str" cm="1">
        <f t="array" ref="I480">_xlfn.IFS(A480&lt;=25,"18-25",A480&lt;=35,"26-35",A480&lt;=45,"36-45",A480&lt;=60,"46-60",A480&gt;60,"60+")</f>
        <v>26-35</v>
      </c>
      <c r="J480" t="str" cm="1">
        <f t="array" ref="J480">_xlfn.IFS(C480&lt;18.5,"Underweight",C480&lt;25,"Normal",C480&lt;30,"Overweight",C480&gt;=30,"Obese")</f>
        <v>Overweight</v>
      </c>
      <c r="K480" t="str" cm="1">
        <f t="array" ref="K480">_xlfn.IFS(G480&lt;10000, "Low", G480&lt;=25000, "Medium", G480&gt;25000, "High")</f>
        <v>Low</v>
      </c>
    </row>
    <row r="481" spans="1:11" x14ac:dyDescent="0.3">
      <c r="A481">
        <v>32</v>
      </c>
      <c r="B481" s="1" t="s">
        <v>8</v>
      </c>
      <c r="C481">
        <v>28.12</v>
      </c>
      <c r="D481">
        <v>0</v>
      </c>
      <c r="E481" t="s">
        <v>10</v>
      </c>
      <c r="F481" t="s">
        <v>12</v>
      </c>
      <c r="G481" s="2">
        <v>6664.68595</v>
      </c>
      <c r="H481" t="str" cm="1">
        <f t="array" ref="H481">_xlfn.IFS(A481&lt;=30, "Youth", A481&lt;=50, "Adult", A481&gt;50, "Older")</f>
        <v>Adult</v>
      </c>
      <c r="I481" t="str" cm="1">
        <f t="array" ref="I481">_xlfn.IFS(A481&lt;=25,"18-25",A481&lt;=35,"26-35",A481&lt;=45,"36-45",A481&lt;=60,"46-60",A481&gt;60,"60+")</f>
        <v>26-35</v>
      </c>
      <c r="J481" t="str" cm="1">
        <f t="array" ref="J481">_xlfn.IFS(C481&lt;18.5,"Underweight",C481&lt;25,"Normal",C481&lt;30,"Overweight",C481&gt;=30,"Obese")</f>
        <v>Overweight</v>
      </c>
      <c r="K481" t="str" cm="1">
        <f t="array" ref="K481">_xlfn.IFS(G481&lt;10000, "Low", G481&lt;=25000, "Medium", G481&gt;25000, "High")</f>
        <v>Low</v>
      </c>
    </row>
    <row r="482" spans="1:11" x14ac:dyDescent="0.3">
      <c r="A482">
        <v>32</v>
      </c>
      <c r="B482" s="1" t="s">
        <v>8</v>
      </c>
      <c r="C482">
        <v>28.12</v>
      </c>
      <c r="D482">
        <v>0</v>
      </c>
      <c r="E482" t="s">
        <v>10</v>
      </c>
      <c r="F482" t="s">
        <v>13</v>
      </c>
      <c r="G482" s="2">
        <v>6666.2430000000004</v>
      </c>
      <c r="H482" t="str" cm="1">
        <f t="array" ref="H482">_xlfn.IFS(A482&lt;=30, "Youth", A482&lt;=50, "Adult", A482&gt;50, "Older")</f>
        <v>Adult</v>
      </c>
      <c r="I482" t="str" cm="1">
        <f t="array" ref="I482">_xlfn.IFS(A482&lt;=25,"18-25",A482&lt;=35,"26-35",A482&lt;=45,"36-45",A482&lt;=60,"46-60",A482&gt;60,"60+")</f>
        <v>26-35</v>
      </c>
      <c r="J482" t="str" cm="1">
        <f t="array" ref="J482">_xlfn.IFS(C482&lt;18.5,"Underweight",C482&lt;25,"Normal",C482&lt;30,"Overweight",C482&gt;=30,"Obese")</f>
        <v>Overweight</v>
      </c>
      <c r="K482" t="str" cm="1">
        <f t="array" ref="K482">_xlfn.IFS(G482&lt;10000, "Low", G482&lt;=25000, "Medium", G482&gt;25000, "High")</f>
        <v>Low</v>
      </c>
    </row>
    <row r="483" spans="1:11" x14ac:dyDescent="0.3">
      <c r="A483">
        <v>32</v>
      </c>
      <c r="B483" s="1" t="s">
        <v>8</v>
      </c>
      <c r="C483">
        <v>28.12</v>
      </c>
      <c r="D483">
        <v>0</v>
      </c>
      <c r="E483" t="s">
        <v>10</v>
      </c>
      <c r="F483" t="s">
        <v>12</v>
      </c>
      <c r="G483" s="2">
        <v>6686.4313000000002</v>
      </c>
      <c r="H483" t="str" cm="1">
        <f t="array" ref="H483">_xlfn.IFS(A483&lt;=30, "Youth", A483&lt;=50, "Adult", A483&gt;50, "Older")</f>
        <v>Adult</v>
      </c>
      <c r="I483" t="str" cm="1">
        <f t="array" ref="I483">_xlfn.IFS(A483&lt;=25,"18-25",A483&lt;=35,"26-35",A483&lt;=45,"36-45",A483&lt;=60,"46-60",A483&gt;60,"60+")</f>
        <v>26-35</v>
      </c>
      <c r="J483" t="str" cm="1">
        <f t="array" ref="J483">_xlfn.IFS(C483&lt;18.5,"Underweight",C483&lt;25,"Normal",C483&lt;30,"Overweight",C483&gt;=30,"Obese")</f>
        <v>Overweight</v>
      </c>
      <c r="K483" t="str" cm="1">
        <f t="array" ref="K483">_xlfn.IFS(G483&lt;10000, "Low", G483&lt;=25000, "Medium", G483&gt;25000, "High")</f>
        <v>Low</v>
      </c>
    </row>
    <row r="484" spans="1:11" x14ac:dyDescent="0.3">
      <c r="A484">
        <v>32</v>
      </c>
      <c r="B484" s="1" t="s">
        <v>7</v>
      </c>
      <c r="C484">
        <v>28.12</v>
      </c>
      <c r="D484">
        <v>0</v>
      </c>
      <c r="E484" t="s">
        <v>10</v>
      </c>
      <c r="F484" t="s">
        <v>12</v>
      </c>
      <c r="G484" s="2">
        <v>6710.1918999999998</v>
      </c>
      <c r="H484" t="str" cm="1">
        <f t="array" ref="H484">_xlfn.IFS(A484&lt;=30, "Youth", A484&lt;=50, "Adult", A484&gt;50, "Older")</f>
        <v>Adult</v>
      </c>
      <c r="I484" t="str" cm="1">
        <f t="array" ref="I484">_xlfn.IFS(A484&lt;=25,"18-25",A484&lt;=35,"26-35",A484&lt;=45,"36-45",A484&lt;=60,"46-60",A484&gt;60,"60+")</f>
        <v>26-35</v>
      </c>
      <c r="J484" t="str" cm="1">
        <f t="array" ref="J484">_xlfn.IFS(C484&lt;18.5,"Underweight",C484&lt;25,"Normal",C484&lt;30,"Overweight",C484&gt;=30,"Obese")</f>
        <v>Overweight</v>
      </c>
      <c r="K484" t="str" cm="1">
        <f t="array" ref="K484">_xlfn.IFS(G484&lt;10000, "Low", G484&lt;=25000, "Medium", G484&gt;25000, "High")</f>
        <v>Low</v>
      </c>
    </row>
    <row r="485" spans="1:11" x14ac:dyDescent="0.3">
      <c r="A485">
        <v>32</v>
      </c>
      <c r="B485" s="1" t="s">
        <v>7</v>
      </c>
      <c r="C485">
        <v>28.16</v>
      </c>
      <c r="D485">
        <v>0</v>
      </c>
      <c r="E485" t="s">
        <v>10</v>
      </c>
      <c r="F485" t="s">
        <v>11</v>
      </c>
      <c r="G485" s="2">
        <v>6746.7425000000003</v>
      </c>
      <c r="H485" t="str" cm="1">
        <f t="array" ref="H485">_xlfn.IFS(A485&lt;=30, "Youth", A485&lt;=50, "Adult", A485&gt;50, "Older")</f>
        <v>Adult</v>
      </c>
      <c r="I485" t="str" cm="1">
        <f t="array" ref="I485">_xlfn.IFS(A485&lt;=25,"18-25",A485&lt;=35,"26-35",A485&lt;=45,"36-45",A485&lt;=60,"46-60",A485&gt;60,"60+")</f>
        <v>26-35</v>
      </c>
      <c r="J485" t="str" cm="1">
        <f t="array" ref="J485">_xlfn.IFS(C485&lt;18.5,"Underweight",C485&lt;25,"Normal",C485&lt;30,"Overweight",C485&gt;=30,"Obese")</f>
        <v>Overweight</v>
      </c>
      <c r="K485" t="str" cm="1">
        <f t="array" ref="K485">_xlfn.IFS(G485&lt;10000, "Low", G485&lt;=25000, "Medium", G485&gt;25000, "High")</f>
        <v>Low</v>
      </c>
    </row>
    <row r="486" spans="1:11" x14ac:dyDescent="0.3">
      <c r="A486">
        <v>32</v>
      </c>
      <c r="B486" s="1" t="s">
        <v>8</v>
      </c>
      <c r="C486">
        <v>28.2</v>
      </c>
      <c r="D486">
        <v>0</v>
      </c>
      <c r="E486" t="s">
        <v>10</v>
      </c>
      <c r="F486" t="s">
        <v>11</v>
      </c>
      <c r="G486" s="2">
        <v>6748.5911999999998</v>
      </c>
      <c r="H486" t="str" cm="1">
        <f t="array" ref="H486">_xlfn.IFS(A486&lt;=30, "Youth", A486&lt;=50, "Adult", A486&gt;50, "Older")</f>
        <v>Adult</v>
      </c>
      <c r="I486" t="str" cm="1">
        <f t="array" ref="I486">_xlfn.IFS(A486&lt;=25,"18-25",A486&lt;=35,"26-35",A486&lt;=45,"36-45",A486&lt;=60,"46-60",A486&gt;60,"60+")</f>
        <v>26-35</v>
      </c>
      <c r="J486" t="str" cm="1">
        <f t="array" ref="J486">_xlfn.IFS(C486&lt;18.5,"Underweight",C486&lt;25,"Normal",C486&lt;30,"Overweight",C486&gt;=30,"Obese")</f>
        <v>Overweight</v>
      </c>
      <c r="K486" t="str" cm="1">
        <f t="array" ref="K486">_xlfn.IFS(G486&lt;10000, "Low", G486&lt;=25000, "Medium", G486&gt;25000, "High")</f>
        <v>Low</v>
      </c>
    </row>
    <row r="487" spans="1:11" x14ac:dyDescent="0.3">
      <c r="A487">
        <v>32</v>
      </c>
      <c r="B487" s="1" t="s">
        <v>7</v>
      </c>
      <c r="C487">
        <v>28.215</v>
      </c>
      <c r="D487">
        <v>0</v>
      </c>
      <c r="E487" t="s">
        <v>10</v>
      </c>
      <c r="F487" t="s">
        <v>14</v>
      </c>
      <c r="G487" s="2">
        <v>6753.0379999999996</v>
      </c>
      <c r="H487" t="str" cm="1">
        <f t="array" ref="H487">_xlfn.IFS(A487&lt;=30, "Youth", A487&lt;=50, "Adult", A487&gt;50, "Older")</f>
        <v>Adult</v>
      </c>
      <c r="I487" t="str" cm="1">
        <f t="array" ref="I487">_xlfn.IFS(A487&lt;=25,"18-25",A487&lt;=35,"26-35",A487&lt;=45,"36-45",A487&lt;=60,"46-60",A487&gt;60,"60+")</f>
        <v>26-35</v>
      </c>
      <c r="J487" t="str" cm="1">
        <f t="array" ref="J487">_xlfn.IFS(C487&lt;18.5,"Underweight",C487&lt;25,"Normal",C487&lt;30,"Overweight",C487&gt;=30,"Obese")</f>
        <v>Overweight</v>
      </c>
      <c r="K487" t="str" cm="1">
        <f t="array" ref="K487">_xlfn.IFS(G487&lt;10000, "Low", G487&lt;=25000, "Medium", G487&gt;25000, "High")</f>
        <v>Low</v>
      </c>
    </row>
    <row r="488" spans="1:11" x14ac:dyDescent="0.3">
      <c r="A488">
        <v>32</v>
      </c>
      <c r="B488" s="1" t="s">
        <v>7</v>
      </c>
      <c r="C488">
        <v>28.215</v>
      </c>
      <c r="D488">
        <v>0</v>
      </c>
      <c r="E488" t="s">
        <v>10</v>
      </c>
      <c r="F488" t="s">
        <v>13</v>
      </c>
      <c r="G488" s="2">
        <v>6770.1925000000001</v>
      </c>
      <c r="H488" t="str" cm="1">
        <f t="array" ref="H488">_xlfn.IFS(A488&lt;=30, "Youth", A488&lt;=50, "Adult", A488&gt;50, "Older")</f>
        <v>Adult</v>
      </c>
      <c r="I488" t="str" cm="1">
        <f t="array" ref="I488">_xlfn.IFS(A488&lt;=25,"18-25",A488&lt;=35,"26-35",A488&lt;=45,"36-45",A488&lt;=60,"46-60",A488&gt;60,"60+")</f>
        <v>26-35</v>
      </c>
      <c r="J488" t="str" cm="1">
        <f t="array" ref="J488">_xlfn.IFS(C488&lt;18.5,"Underweight",C488&lt;25,"Normal",C488&lt;30,"Overweight",C488&gt;=30,"Obese")</f>
        <v>Overweight</v>
      </c>
      <c r="K488" t="str" cm="1">
        <f t="array" ref="K488">_xlfn.IFS(G488&lt;10000, "Low", G488&lt;=25000, "Medium", G488&gt;25000, "High")</f>
        <v>Low</v>
      </c>
    </row>
    <row r="489" spans="1:11" x14ac:dyDescent="0.3">
      <c r="A489">
        <v>32</v>
      </c>
      <c r="B489" s="1" t="s">
        <v>8</v>
      </c>
      <c r="C489">
        <v>28.215</v>
      </c>
      <c r="D489">
        <v>0</v>
      </c>
      <c r="E489" t="s">
        <v>10</v>
      </c>
      <c r="F489" t="s">
        <v>11</v>
      </c>
      <c r="G489" s="2">
        <v>6775.9610000000002</v>
      </c>
      <c r="H489" t="str" cm="1">
        <f t="array" ref="H489">_xlfn.IFS(A489&lt;=30, "Youth", A489&lt;=50, "Adult", A489&gt;50, "Older")</f>
        <v>Adult</v>
      </c>
      <c r="I489" t="str" cm="1">
        <f t="array" ref="I489">_xlfn.IFS(A489&lt;=25,"18-25",A489&lt;=35,"26-35",A489&lt;=45,"36-45",A489&lt;=60,"46-60",A489&gt;60,"60+")</f>
        <v>26-35</v>
      </c>
      <c r="J489" t="str" cm="1">
        <f t="array" ref="J489">_xlfn.IFS(C489&lt;18.5,"Underweight",C489&lt;25,"Normal",C489&lt;30,"Overweight",C489&gt;=30,"Obese")</f>
        <v>Overweight</v>
      </c>
      <c r="K489" t="str" cm="1">
        <f t="array" ref="K489">_xlfn.IFS(G489&lt;10000, "Low", G489&lt;=25000, "Medium", G489&gt;25000, "High")</f>
        <v>Low</v>
      </c>
    </row>
    <row r="490" spans="1:11" x14ac:dyDescent="0.3">
      <c r="A490">
        <v>32</v>
      </c>
      <c r="B490" s="1" t="s">
        <v>7</v>
      </c>
      <c r="C490">
        <v>28.215</v>
      </c>
      <c r="D490">
        <v>0</v>
      </c>
      <c r="E490" t="s">
        <v>9</v>
      </c>
      <c r="F490" t="s">
        <v>12</v>
      </c>
      <c r="G490" s="2">
        <v>6781.3541999999998</v>
      </c>
      <c r="H490" t="str" cm="1">
        <f t="array" ref="H490">_xlfn.IFS(A490&lt;=30, "Youth", A490&lt;=50, "Adult", A490&gt;50, "Older")</f>
        <v>Adult</v>
      </c>
      <c r="I490" t="str" cm="1">
        <f t="array" ref="I490">_xlfn.IFS(A490&lt;=25,"18-25",A490&lt;=35,"26-35",A490&lt;=45,"36-45",A490&lt;=60,"46-60",A490&gt;60,"60+")</f>
        <v>26-35</v>
      </c>
      <c r="J490" t="str" cm="1">
        <f t="array" ref="J490">_xlfn.IFS(C490&lt;18.5,"Underweight",C490&lt;25,"Normal",C490&lt;30,"Overweight",C490&gt;=30,"Obese")</f>
        <v>Overweight</v>
      </c>
      <c r="K490" t="str" cm="1">
        <f t="array" ref="K490">_xlfn.IFS(G490&lt;10000, "Low", G490&lt;=25000, "Medium", G490&gt;25000, "High")</f>
        <v>Low</v>
      </c>
    </row>
    <row r="491" spans="1:11" x14ac:dyDescent="0.3">
      <c r="A491">
        <v>32</v>
      </c>
      <c r="B491" s="1" t="s">
        <v>8</v>
      </c>
      <c r="C491">
        <v>28.27</v>
      </c>
      <c r="D491">
        <v>0</v>
      </c>
      <c r="E491" t="s">
        <v>10</v>
      </c>
      <c r="F491" t="s">
        <v>13</v>
      </c>
      <c r="G491" s="2">
        <v>6796.8632500000003</v>
      </c>
      <c r="H491" t="str" cm="1">
        <f t="array" ref="H491">_xlfn.IFS(A491&lt;=30, "Youth", A491&lt;=50, "Adult", A491&gt;50, "Older")</f>
        <v>Adult</v>
      </c>
      <c r="I491" t="str" cm="1">
        <f t="array" ref="I491">_xlfn.IFS(A491&lt;=25,"18-25",A491&lt;=35,"26-35",A491&lt;=45,"36-45",A491&lt;=60,"46-60",A491&gt;60,"60+")</f>
        <v>26-35</v>
      </c>
      <c r="J491" t="str" cm="1">
        <f t="array" ref="J491">_xlfn.IFS(C491&lt;18.5,"Underweight",C491&lt;25,"Normal",C491&lt;30,"Overweight",C491&gt;=30,"Obese")</f>
        <v>Overweight</v>
      </c>
      <c r="K491" t="str" cm="1">
        <f t="array" ref="K491">_xlfn.IFS(G491&lt;10000, "Low", G491&lt;=25000, "Medium", G491&gt;25000, "High")</f>
        <v>Low</v>
      </c>
    </row>
    <row r="492" spans="1:11" x14ac:dyDescent="0.3">
      <c r="A492">
        <v>32</v>
      </c>
      <c r="B492" s="1" t="s">
        <v>7</v>
      </c>
      <c r="C492">
        <v>28.27</v>
      </c>
      <c r="D492">
        <v>0</v>
      </c>
      <c r="E492" t="s">
        <v>10</v>
      </c>
      <c r="F492" t="s">
        <v>11</v>
      </c>
      <c r="G492" s="2">
        <v>6799.4579999999996</v>
      </c>
      <c r="H492" t="str" cm="1">
        <f t="array" ref="H492">_xlfn.IFS(A492&lt;=30, "Youth", A492&lt;=50, "Adult", A492&gt;50, "Older")</f>
        <v>Adult</v>
      </c>
      <c r="I492" t="str" cm="1">
        <f t="array" ref="I492">_xlfn.IFS(A492&lt;=25,"18-25",A492&lt;=35,"26-35",A492&lt;=45,"36-45",A492&lt;=60,"46-60",A492&gt;60,"60+")</f>
        <v>26-35</v>
      </c>
      <c r="J492" t="str" cm="1">
        <f t="array" ref="J492">_xlfn.IFS(C492&lt;18.5,"Underweight",C492&lt;25,"Normal",C492&lt;30,"Overweight",C492&gt;=30,"Obese")</f>
        <v>Overweight</v>
      </c>
      <c r="K492" t="str" cm="1">
        <f t="array" ref="K492">_xlfn.IFS(G492&lt;10000, "Low", G492&lt;=25000, "Medium", G492&gt;25000, "High")</f>
        <v>Low</v>
      </c>
    </row>
    <row r="493" spans="1:11" x14ac:dyDescent="0.3">
      <c r="A493">
        <v>32</v>
      </c>
      <c r="B493" s="1" t="s">
        <v>7</v>
      </c>
      <c r="C493">
        <v>28.3</v>
      </c>
      <c r="D493">
        <v>0</v>
      </c>
      <c r="E493" t="s">
        <v>10</v>
      </c>
      <c r="F493" t="s">
        <v>12</v>
      </c>
      <c r="G493" s="2">
        <v>6837.3687</v>
      </c>
      <c r="H493" t="str" cm="1">
        <f t="array" ref="H493">_xlfn.IFS(A493&lt;=30, "Youth", A493&lt;=50, "Adult", A493&gt;50, "Older")</f>
        <v>Adult</v>
      </c>
      <c r="I493" t="str" cm="1">
        <f t="array" ref="I493">_xlfn.IFS(A493&lt;=25,"18-25",A493&lt;=35,"26-35",A493&lt;=45,"36-45",A493&lt;=60,"46-60",A493&gt;60,"60+")</f>
        <v>26-35</v>
      </c>
      <c r="J493" t="str" cm="1">
        <f t="array" ref="J493">_xlfn.IFS(C493&lt;18.5,"Underweight",C493&lt;25,"Normal",C493&lt;30,"Overweight",C493&gt;=30,"Obese")</f>
        <v>Overweight</v>
      </c>
      <c r="K493" t="str" cm="1">
        <f t="array" ref="K493">_xlfn.IFS(G493&lt;10000, "Low", G493&lt;=25000, "Medium", G493&gt;25000, "High")</f>
        <v>Low</v>
      </c>
    </row>
    <row r="494" spans="1:11" x14ac:dyDescent="0.3">
      <c r="A494">
        <v>32</v>
      </c>
      <c r="B494" s="1" t="s">
        <v>7</v>
      </c>
      <c r="C494">
        <v>28.3</v>
      </c>
      <c r="D494">
        <v>0</v>
      </c>
      <c r="E494" t="s">
        <v>10</v>
      </c>
      <c r="F494" t="s">
        <v>14</v>
      </c>
      <c r="G494" s="2">
        <v>6849.0259999999998</v>
      </c>
      <c r="H494" t="str" cm="1">
        <f t="array" ref="H494">_xlfn.IFS(A494&lt;=30, "Youth", A494&lt;=50, "Adult", A494&gt;50, "Older")</f>
        <v>Adult</v>
      </c>
      <c r="I494" t="str" cm="1">
        <f t="array" ref="I494">_xlfn.IFS(A494&lt;=25,"18-25",A494&lt;=35,"26-35",A494&lt;=45,"36-45",A494&lt;=60,"46-60",A494&gt;60,"60+")</f>
        <v>26-35</v>
      </c>
      <c r="J494" t="str" cm="1">
        <f t="array" ref="J494">_xlfn.IFS(C494&lt;18.5,"Underweight",C494&lt;25,"Normal",C494&lt;30,"Overweight",C494&gt;=30,"Obese")</f>
        <v>Overweight</v>
      </c>
      <c r="K494" t="str" cm="1">
        <f t="array" ref="K494">_xlfn.IFS(G494&lt;10000, "Low", G494&lt;=25000, "Medium", G494&gt;25000, "High")</f>
        <v>Low</v>
      </c>
    </row>
    <row r="495" spans="1:11" x14ac:dyDescent="0.3">
      <c r="A495">
        <v>32</v>
      </c>
      <c r="B495" s="1" t="s">
        <v>8</v>
      </c>
      <c r="C495">
        <v>28.31</v>
      </c>
      <c r="D495">
        <v>0</v>
      </c>
      <c r="E495" t="s">
        <v>10</v>
      </c>
      <c r="F495" t="s">
        <v>11</v>
      </c>
      <c r="G495" s="2">
        <v>6858.4795999999997</v>
      </c>
      <c r="H495" t="str" cm="1">
        <f t="array" ref="H495">_xlfn.IFS(A495&lt;=30, "Youth", A495&lt;=50, "Adult", A495&gt;50, "Older")</f>
        <v>Adult</v>
      </c>
      <c r="I495" t="str" cm="1">
        <f t="array" ref="I495">_xlfn.IFS(A495&lt;=25,"18-25",A495&lt;=35,"26-35",A495&lt;=45,"36-45",A495&lt;=60,"46-60",A495&gt;60,"60+")</f>
        <v>26-35</v>
      </c>
      <c r="J495" t="str" cm="1">
        <f t="array" ref="J495">_xlfn.IFS(C495&lt;18.5,"Underweight",C495&lt;25,"Normal",C495&lt;30,"Overweight",C495&gt;=30,"Obese")</f>
        <v>Overweight</v>
      </c>
      <c r="K495" t="str" cm="1">
        <f t="array" ref="K495">_xlfn.IFS(G495&lt;10000, "Low", G495&lt;=25000, "Medium", G495&gt;25000, "High")</f>
        <v>Low</v>
      </c>
    </row>
    <row r="496" spans="1:11" x14ac:dyDescent="0.3">
      <c r="A496">
        <v>32</v>
      </c>
      <c r="B496" s="1" t="s">
        <v>8</v>
      </c>
      <c r="C496">
        <v>28.31</v>
      </c>
      <c r="D496">
        <v>0</v>
      </c>
      <c r="E496" t="s">
        <v>9</v>
      </c>
      <c r="F496" t="s">
        <v>11</v>
      </c>
      <c r="G496" s="2">
        <v>6875.9610000000002</v>
      </c>
      <c r="H496" t="str" cm="1">
        <f t="array" ref="H496">_xlfn.IFS(A496&lt;=30, "Youth", A496&lt;=50, "Adult", A496&gt;50, "Older")</f>
        <v>Adult</v>
      </c>
      <c r="I496" t="str" cm="1">
        <f t="array" ref="I496">_xlfn.IFS(A496&lt;=25,"18-25",A496&lt;=35,"26-35",A496&lt;=45,"36-45",A496&lt;=60,"46-60",A496&gt;60,"60+")</f>
        <v>26-35</v>
      </c>
      <c r="J496" t="str" cm="1">
        <f t="array" ref="J496">_xlfn.IFS(C496&lt;18.5,"Underweight",C496&lt;25,"Normal",C496&lt;30,"Overweight",C496&gt;=30,"Obese")</f>
        <v>Overweight</v>
      </c>
      <c r="K496" t="str" cm="1">
        <f t="array" ref="K496">_xlfn.IFS(G496&lt;10000, "Low", G496&lt;=25000, "Medium", G496&gt;25000, "High")</f>
        <v>Low</v>
      </c>
    </row>
    <row r="497" spans="1:11" x14ac:dyDescent="0.3">
      <c r="A497">
        <v>32</v>
      </c>
      <c r="B497" s="1" t="s">
        <v>8</v>
      </c>
      <c r="C497">
        <v>28.31</v>
      </c>
      <c r="D497">
        <v>0</v>
      </c>
      <c r="E497" t="s">
        <v>10</v>
      </c>
      <c r="F497" t="s">
        <v>14</v>
      </c>
      <c r="G497" s="2">
        <v>6877.9800999999998</v>
      </c>
      <c r="H497" t="str" cm="1">
        <f t="array" ref="H497">_xlfn.IFS(A497&lt;=30, "Youth", A497&lt;=50, "Adult", A497&gt;50, "Older")</f>
        <v>Adult</v>
      </c>
      <c r="I497" t="str" cm="1">
        <f t="array" ref="I497">_xlfn.IFS(A497&lt;=25,"18-25",A497&lt;=35,"26-35",A497&lt;=45,"36-45",A497&lt;=60,"46-60",A497&gt;60,"60+")</f>
        <v>26-35</v>
      </c>
      <c r="J497" t="str" cm="1">
        <f t="array" ref="J497">_xlfn.IFS(C497&lt;18.5,"Underweight",C497&lt;25,"Normal",C497&lt;30,"Overweight",C497&gt;=30,"Obese")</f>
        <v>Overweight</v>
      </c>
      <c r="K497" t="str" cm="1">
        <f t="array" ref="K497">_xlfn.IFS(G497&lt;10000, "Low", G497&lt;=25000, "Medium", G497&gt;25000, "High")</f>
        <v>Low</v>
      </c>
    </row>
    <row r="498" spans="1:11" x14ac:dyDescent="0.3">
      <c r="A498">
        <v>33</v>
      </c>
      <c r="B498" s="1" t="s">
        <v>7</v>
      </c>
      <c r="C498">
        <v>28.31</v>
      </c>
      <c r="D498">
        <v>0</v>
      </c>
      <c r="E498" t="s">
        <v>10</v>
      </c>
      <c r="F498" t="s">
        <v>11</v>
      </c>
      <c r="G498" s="2">
        <v>6933.2422500000002</v>
      </c>
      <c r="H498" t="str" cm="1">
        <f t="array" ref="H498">_xlfn.IFS(A498&lt;=30, "Youth", A498&lt;=50, "Adult", A498&gt;50, "Older")</f>
        <v>Adult</v>
      </c>
      <c r="I498" t="str" cm="1">
        <f t="array" ref="I498">_xlfn.IFS(A498&lt;=25,"18-25",A498&lt;=35,"26-35",A498&lt;=45,"36-45",A498&lt;=60,"46-60",A498&gt;60,"60+")</f>
        <v>26-35</v>
      </c>
      <c r="J498" t="str" cm="1">
        <f t="array" ref="J498">_xlfn.IFS(C498&lt;18.5,"Underweight",C498&lt;25,"Normal",C498&lt;30,"Overweight",C498&gt;=30,"Obese")</f>
        <v>Overweight</v>
      </c>
      <c r="K498" t="str" cm="1">
        <f t="array" ref="K498">_xlfn.IFS(G498&lt;10000, "Low", G498&lt;=25000, "Medium", G498&gt;25000, "High")</f>
        <v>Low</v>
      </c>
    </row>
    <row r="499" spans="1:11" x14ac:dyDescent="0.3">
      <c r="A499">
        <v>33</v>
      </c>
      <c r="B499" s="1" t="s">
        <v>8</v>
      </c>
      <c r="C499">
        <v>28.31</v>
      </c>
      <c r="D499">
        <v>0</v>
      </c>
      <c r="E499" t="s">
        <v>10</v>
      </c>
      <c r="F499" t="s">
        <v>11</v>
      </c>
      <c r="G499" s="2">
        <v>6940.90985</v>
      </c>
      <c r="H499" t="str" cm="1">
        <f t="array" ref="H499">_xlfn.IFS(A499&lt;=30, "Youth", A499&lt;=50, "Adult", A499&gt;50, "Older")</f>
        <v>Adult</v>
      </c>
      <c r="I499" t="str" cm="1">
        <f t="array" ref="I499">_xlfn.IFS(A499&lt;=25,"18-25",A499&lt;=35,"26-35",A499&lt;=45,"36-45",A499&lt;=60,"46-60",A499&gt;60,"60+")</f>
        <v>26-35</v>
      </c>
      <c r="J499" t="str" cm="1">
        <f t="array" ref="J499">_xlfn.IFS(C499&lt;18.5,"Underweight",C499&lt;25,"Normal",C499&lt;30,"Overweight",C499&gt;=30,"Obese")</f>
        <v>Overweight</v>
      </c>
      <c r="K499" t="str" cm="1">
        <f t="array" ref="K499">_xlfn.IFS(G499&lt;10000, "Low", G499&lt;=25000, "Medium", G499&gt;25000, "High")</f>
        <v>Low</v>
      </c>
    </row>
    <row r="500" spans="1:11" x14ac:dyDescent="0.3">
      <c r="A500">
        <v>33</v>
      </c>
      <c r="B500" s="1" t="s">
        <v>7</v>
      </c>
      <c r="C500">
        <v>28.31</v>
      </c>
      <c r="D500">
        <v>0</v>
      </c>
      <c r="E500" t="s">
        <v>10</v>
      </c>
      <c r="F500" t="s">
        <v>12</v>
      </c>
      <c r="G500" s="2">
        <v>6948.7007999999996</v>
      </c>
      <c r="H500" t="str" cm="1">
        <f t="array" ref="H500">_xlfn.IFS(A500&lt;=30, "Youth", A500&lt;=50, "Adult", A500&gt;50, "Older")</f>
        <v>Adult</v>
      </c>
      <c r="I500" t="str" cm="1">
        <f t="array" ref="I500">_xlfn.IFS(A500&lt;=25,"18-25",A500&lt;=35,"26-35",A500&lt;=45,"36-45",A500&lt;=60,"46-60",A500&gt;60,"60+")</f>
        <v>26-35</v>
      </c>
      <c r="J500" t="str" cm="1">
        <f t="array" ref="J500">_xlfn.IFS(C500&lt;18.5,"Underweight",C500&lt;25,"Normal",C500&lt;30,"Overweight",C500&gt;=30,"Obese")</f>
        <v>Overweight</v>
      </c>
      <c r="K500" t="str" cm="1">
        <f t="array" ref="K500">_xlfn.IFS(G500&lt;10000, "Low", G500&lt;=25000, "Medium", G500&gt;25000, "High")</f>
        <v>Low</v>
      </c>
    </row>
    <row r="501" spans="1:11" x14ac:dyDescent="0.3">
      <c r="A501">
        <v>33</v>
      </c>
      <c r="B501" s="1" t="s">
        <v>7</v>
      </c>
      <c r="C501">
        <v>28.31</v>
      </c>
      <c r="D501">
        <v>0</v>
      </c>
      <c r="E501" t="s">
        <v>10</v>
      </c>
      <c r="F501" t="s">
        <v>11</v>
      </c>
      <c r="G501" s="2">
        <v>6985.50695</v>
      </c>
      <c r="H501" t="str" cm="1">
        <f t="array" ref="H501">_xlfn.IFS(A501&lt;=30, "Youth", A501&lt;=50, "Adult", A501&gt;50, "Older")</f>
        <v>Adult</v>
      </c>
      <c r="I501" t="str" cm="1">
        <f t="array" ref="I501">_xlfn.IFS(A501&lt;=25,"18-25",A501&lt;=35,"26-35",A501&lt;=45,"36-45",A501&lt;=60,"46-60",A501&gt;60,"60+")</f>
        <v>26-35</v>
      </c>
      <c r="J501" t="str" cm="1">
        <f t="array" ref="J501">_xlfn.IFS(C501&lt;18.5,"Underweight",C501&lt;25,"Normal",C501&lt;30,"Overweight",C501&gt;=30,"Obese")</f>
        <v>Overweight</v>
      </c>
      <c r="K501" t="str" cm="1">
        <f t="array" ref="K501">_xlfn.IFS(G501&lt;10000, "Low", G501&lt;=25000, "Medium", G501&gt;25000, "High")</f>
        <v>Low</v>
      </c>
    </row>
    <row r="502" spans="1:11" x14ac:dyDescent="0.3">
      <c r="A502">
        <v>33</v>
      </c>
      <c r="B502" s="1" t="s">
        <v>8</v>
      </c>
      <c r="C502">
        <v>28.31</v>
      </c>
      <c r="D502">
        <v>0</v>
      </c>
      <c r="E502" t="s">
        <v>9</v>
      </c>
      <c r="F502" t="s">
        <v>11</v>
      </c>
      <c r="G502" s="2">
        <v>6986.6970000000001</v>
      </c>
      <c r="H502" t="str" cm="1">
        <f t="array" ref="H502">_xlfn.IFS(A502&lt;=30, "Youth", A502&lt;=50, "Adult", A502&gt;50, "Older")</f>
        <v>Adult</v>
      </c>
      <c r="I502" t="str" cm="1">
        <f t="array" ref="I502">_xlfn.IFS(A502&lt;=25,"18-25",A502&lt;=35,"26-35",A502&lt;=45,"36-45",A502&lt;=60,"46-60",A502&gt;60,"60+")</f>
        <v>26-35</v>
      </c>
      <c r="J502" t="str" cm="1">
        <f t="array" ref="J502">_xlfn.IFS(C502&lt;18.5,"Underweight",C502&lt;25,"Normal",C502&lt;30,"Overweight",C502&gt;=30,"Obese")</f>
        <v>Overweight</v>
      </c>
      <c r="K502" t="str" cm="1">
        <f t="array" ref="K502">_xlfn.IFS(G502&lt;10000, "Low", G502&lt;=25000, "Medium", G502&gt;25000, "High")</f>
        <v>Low</v>
      </c>
    </row>
    <row r="503" spans="1:11" x14ac:dyDescent="0.3">
      <c r="A503">
        <v>33</v>
      </c>
      <c r="B503" s="1" t="s">
        <v>8</v>
      </c>
      <c r="C503">
        <v>28.31</v>
      </c>
      <c r="D503">
        <v>0</v>
      </c>
      <c r="E503" t="s">
        <v>10</v>
      </c>
      <c r="F503" t="s">
        <v>14</v>
      </c>
      <c r="G503" s="2">
        <v>7045.4989999999998</v>
      </c>
      <c r="H503" t="str" cm="1">
        <f t="array" ref="H503">_xlfn.IFS(A503&lt;=30, "Youth", A503&lt;=50, "Adult", A503&gt;50, "Older")</f>
        <v>Adult</v>
      </c>
      <c r="I503" t="str" cm="1">
        <f t="array" ref="I503">_xlfn.IFS(A503&lt;=25,"18-25",A503&lt;=35,"26-35",A503&lt;=45,"36-45",A503&lt;=60,"46-60",A503&gt;60,"60+")</f>
        <v>26-35</v>
      </c>
      <c r="J503" t="str" cm="1">
        <f t="array" ref="J503">_xlfn.IFS(C503&lt;18.5,"Underweight",C503&lt;25,"Normal",C503&lt;30,"Overweight",C503&gt;=30,"Obese")</f>
        <v>Overweight</v>
      </c>
      <c r="K503" t="str" cm="1">
        <f t="array" ref="K503">_xlfn.IFS(G503&lt;10000, "Low", G503&lt;=25000, "Medium", G503&gt;25000, "High")</f>
        <v>Low</v>
      </c>
    </row>
    <row r="504" spans="1:11" x14ac:dyDescent="0.3">
      <c r="A504">
        <v>33</v>
      </c>
      <c r="B504" s="1" t="s">
        <v>8</v>
      </c>
      <c r="C504">
        <v>28.38</v>
      </c>
      <c r="D504">
        <v>0</v>
      </c>
      <c r="E504" t="s">
        <v>9</v>
      </c>
      <c r="F504" t="s">
        <v>12</v>
      </c>
      <c r="G504" s="2">
        <v>7046.7222000000002</v>
      </c>
      <c r="H504" t="str" cm="1">
        <f t="array" ref="H504">_xlfn.IFS(A504&lt;=30, "Youth", A504&lt;=50, "Adult", A504&gt;50, "Older")</f>
        <v>Adult</v>
      </c>
      <c r="I504" t="str" cm="1">
        <f t="array" ref="I504">_xlfn.IFS(A504&lt;=25,"18-25",A504&lt;=35,"26-35",A504&lt;=45,"36-45",A504&lt;=60,"46-60",A504&gt;60,"60+")</f>
        <v>26-35</v>
      </c>
      <c r="J504" t="str" cm="1">
        <f t="array" ref="J504">_xlfn.IFS(C504&lt;18.5,"Underweight",C504&lt;25,"Normal",C504&lt;30,"Overweight",C504&gt;=30,"Obese")</f>
        <v>Overweight</v>
      </c>
      <c r="K504" t="str" cm="1">
        <f t="array" ref="K504">_xlfn.IFS(G504&lt;10000, "Low", G504&lt;=25000, "Medium", G504&gt;25000, "High")</f>
        <v>Low</v>
      </c>
    </row>
    <row r="505" spans="1:11" x14ac:dyDescent="0.3">
      <c r="A505">
        <v>33</v>
      </c>
      <c r="B505" s="1" t="s">
        <v>8</v>
      </c>
      <c r="C505">
        <v>28.4</v>
      </c>
      <c r="D505">
        <v>0</v>
      </c>
      <c r="E505" t="s">
        <v>9</v>
      </c>
      <c r="F505" t="s">
        <v>12</v>
      </c>
      <c r="G505" s="2">
        <v>7050.0213000000003</v>
      </c>
      <c r="H505" t="str" cm="1">
        <f t="array" ref="H505">_xlfn.IFS(A505&lt;=30, "Youth", A505&lt;=50, "Adult", A505&gt;50, "Older")</f>
        <v>Adult</v>
      </c>
      <c r="I505" t="str" cm="1">
        <f t="array" ref="I505">_xlfn.IFS(A505&lt;=25,"18-25",A505&lt;=35,"26-35",A505&lt;=45,"36-45",A505&lt;=60,"46-60",A505&gt;60,"60+")</f>
        <v>26-35</v>
      </c>
      <c r="J505" t="str" cm="1">
        <f t="array" ref="J505">_xlfn.IFS(C505&lt;18.5,"Underweight",C505&lt;25,"Normal",C505&lt;30,"Overweight",C505&gt;=30,"Obese")</f>
        <v>Overweight</v>
      </c>
      <c r="K505" t="str" cm="1">
        <f t="array" ref="K505">_xlfn.IFS(G505&lt;10000, "Low", G505&lt;=25000, "Medium", G505&gt;25000, "High")</f>
        <v>Low</v>
      </c>
    </row>
    <row r="506" spans="1:11" x14ac:dyDescent="0.3">
      <c r="A506">
        <v>33</v>
      </c>
      <c r="B506" s="1" t="s">
        <v>7</v>
      </c>
      <c r="C506">
        <v>28.4</v>
      </c>
      <c r="D506">
        <v>0</v>
      </c>
      <c r="E506" t="s">
        <v>10</v>
      </c>
      <c r="F506" t="s">
        <v>12</v>
      </c>
      <c r="G506" s="2">
        <v>7050.6419999999998</v>
      </c>
      <c r="H506" t="str" cm="1">
        <f t="array" ref="H506">_xlfn.IFS(A506&lt;=30, "Youth", A506&lt;=50, "Adult", A506&gt;50, "Older")</f>
        <v>Adult</v>
      </c>
      <c r="I506" t="str" cm="1">
        <f t="array" ref="I506">_xlfn.IFS(A506&lt;=25,"18-25",A506&lt;=35,"26-35",A506&lt;=45,"36-45",A506&lt;=60,"46-60",A506&gt;60,"60+")</f>
        <v>26-35</v>
      </c>
      <c r="J506" t="str" cm="1">
        <f t="array" ref="J506">_xlfn.IFS(C506&lt;18.5,"Underweight",C506&lt;25,"Normal",C506&lt;30,"Overweight",C506&gt;=30,"Obese")</f>
        <v>Overweight</v>
      </c>
      <c r="K506" t="str" cm="1">
        <f t="array" ref="K506">_xlfn.IFS(G506&lt;10000, "Low", G506&lt;=25000, "Medium", G506&gt;25000, "High")</f>
        <v>Low</v>
      </c>
    </row>
    <row r="507" spans="1:11" x14ac:dyDescent="0.3">
      <c r="A507">
        <v>33</v>
      </c>
      <c r="B507" s="1" t="s">
        <v>8</v>
      </c>
      <c r="C507">
        <v>28.405000000000001</v>
      </c>
      <c r="D507">
        <v>0</v>
      </c>
      <c r="E507" t="s">
        <v>10</v>
      </c>
      <c r="F507" t="s">
        <v>13</v>
      </c>
      <c r="G507" s="2">
        <v>7077.1894000000002</v>
      </c>
      <c r="H507" t="str" cm="1">
        <f t="array" ref="H507">_xlfn.IFS(A507&lt;=30, "Youth", A507&lt;=50, "Adult", A507&gt;50, "Older")</f>
        <v>Adult</v>
      </c>
      <c r="I507" t="str" cm="1">
        <f t="array" ref="I507">_xlfn.IFS(A507&lt;=25,"18-25",A507&lt;=35,"26-35",A507&lt;=45,"36-45",A507&lt;=60,"46-60",A507&gt;60,"60+")</f>
        <v>26-35</v>
      </c>
      <c r="J507" t="str" cm="1">
        <f t="array" ref="J507">_xlfn.IFS(C507&lt;18.5,"Underweight",C507&lt;25,"Normal",C507&lt;30,"Overweight",C507&gt;=30,"Obese")</f>
        <v>Overweight</v>
      </c>
      <c r="K507" t="str" cm="1">
        <f t="array" ref="K507">_xlfn.IFS(G507&lt;10000, "Low", G507&lt;=25000, "Medium", G507&gt;25000, "High")</f>
        <v>Low</v>
      </c>
    </row>
    <row r="508" spans="1:11" x14ac:dyDescent="0.3">
      <c r="A508">
        <v>33</v>
      </c>
      <c r="B508" s="1" t="s">
        <v>8</v>
      </c>
      <c r="C508">
        <v>28.405000000000001</v>
      </c>
      <c r="D508">
        <v>0</v>
      </c>
      <c r="E508" t="s">
        <v>10</v>
      </c>
      <c r="F508" t="s">
        <v>13</v>
      </c>
      <c r="G508" s="2">
        <v>7133.9025000000001</v>
      </c>
      <c r="H508" t="str" cm="1">
        <f t="array" ref="H508">_xlfn.IFS(A508&lt;=30, "Youth", A508&lt;=50, "Adult", A508&gt;50, "Older")</f>
        <v>Adult</v>
      </c>
      <c r="I508" t="str" cm="1">
        <f t="array" ref="I508">_xlfn.IFS(A508&lt;=25,"18-25",A508&lt;=35,"26-35",A508&lt;=45,"36-45",A508&lt;=60,"46-60",A508&gt;60,"60+")</f>
        <v>26-35</v>
      </c>
      <c r="J508" t="str" cm="1">
        <f t="array" ref="J508">_xlfn.IFS(C508&lt;18.5,"Underweight",C508&lt;25,"Normal",C508&lt;30,"Overweight",C508&gt;=30,"Obese")</f>
        <v>Overweight</v>
      </c>
      <c r="K508" t="str" cm="1">
        <f t="array" ref="K508">_xlfn.IFS(G508&lt;10000, "Low", G508&lt;=25000, "Medium", G508&gt;25000, "High")</f>
        <v>Low</v>
      </c>
    </row>
    <row r="509" spans="1:11" x14ac:dyDescent="0.3">
      <c r="A509">
        <v>33</v>
      </c>
      <c r="B509" s="1" t="s">
        <v>8</v>
      </c>
      <c r="C509">
        <v>28.49</v>
      </c>
      <c r="D509">
        <v>0</v>
      </c>
      <c r="E509" t="s">
        <v>10</v>
      </c>
      <c r="F509" t="s">
        <v>13</v>
      </c>
      <c r="G509" s="2">
        <v>7144.86265</v>
      </c>
      <c r="H509" t="str" cm="1">
        <f t="array" ref="H509">_xlfn.IFS(A509&lt;=30, "Youth", A509&lt;=50, "Adult", A509&gt;50, "Older")</f>
        <v>Adult</v>
      </c>
      <c r="I509" t="str" cm="1">
        <f t="array" ref="I509">_xlfn.IFS(A509&lt;=25,"18-25",A509&lt;=35,"26-35",A509&lt;=45,"36-45",A509&lt;=60,"46-60",A509&gt;60,"60+")</f>
        <v>26-35</v>
      </c>
      <c r="J509" t="str" cm="1">
        <f t="array" ref="J509">_xlfn.IFS(C509&lt;18.5,"Underweight",C509&lt;25,"Normal",C509&lt;30,"Overweight",C509&gt;=30,"Obese")</f>
        <v>Overweight</v>
      </c>
      <c r="K509" t="str" cm="1">
        <f t="array" ref="K509">_xlfn.IFS(G509&lt;10000, "Low", G509&lt;=25000, "Medium", G509&gt;25000, "High")</f>
        <v>Low</v>
      </c>
    </row>
    <row r="510" spans="1:11" x14ac:dyDescent="0.3">
      <c r="A510">
        <v>33</v>
      </c>
      <c r="B510" s="1" t="s">
        <v>7</v>
      </c>
      <c r="C510">
        <v>28.5</v>
      </c>
      <c r="D510">
        <v>0</v>
      </c>
      <c r="E510" t="s">
        <v>10</v>
      </c>
      <c r="F510" t="s">
        <v>14</v>
      </c>
      <c r="G510" s="2">
        <v>7147.1049999999996</v>
      </c>
      <c r="H510" t="str" cm="1">
        <f t="array" ref="H510">_xlfn.IFS(A510&lt;=30, "Youth", A510&lt;=50, "Adult", A510&gt;50, "Older")</f>
        <v>Adult</v>
      </c>
      <c r="I510" t="str" cm="1">
        <f t="array" ref="I510">_xlfn.IFS(A510&lt;=25,"18-25",A510&lt;=35,"26-35",A510&lt;=45,"36-45",A510&lt;=60,"46-60",A510&gt;60,"60+")</f>
        <v>26-35</v>
      </c>
      <c r="J510" t="str" cm="1">
        <f t="array" ref="J510">_xlfn.IFS(C510&lt;18.5,"Underweight",C510&lt;25,"Normal",C510&lt;30,"Overweight",C510&gt;=30,"Obese")</f>
        <v>Overweight</v>
      </c>
      <c r="K510" t="str" cm="1">
        <f t="array" ref="K510">_xlfn.IFS(G510&lt;10000, "Low", G510&lt;=25000, "Medium", G510&gt;25000, "High")</f>
        <v>Low</v>
      </c>
    </row>
    <row r="511" spans="1:11" x14ac:dyDescent="0.3">
      <c r="A511">
        <v>33</v>
      </c>
      <c r="B511" s="1" t="s">
        <v>7</v>
      </c>
      <c r="C511">
        <v>28.5</v>
      </c>
      <c r="D511">
        <v>0</v>
      </c>
      <c r="E511" t="s">
        <v>10</v>
      </c>
      <c r="F511" t="s">
        <v>11</v>
      </c>
      <c r="G511" s="2">
        <v>7147.4727999999996</v>
      </c>
      <c r="H511" t="str" cm="1">
        <f t="array" ref="H511">_xlfn.IFS(A511&lt;=30, "Youth", A511&lt;=50, "Adult", A511&gt;50, "Older")</f>
        <v>Adult</v>
      </c>
      <c r="I511" t="str" cm="1">
        <f t="array" ref="I511">_xlfn.IFS(A511&lt;=25,"18-25",A511&lt;=35,"26-35",A511&lt;=45,"36-45",A511&lt;=60,"46-60",A511&gt;60,"60+")</f>
        <v>26-35</v>
      </c>
      <c r="J511" t="str" cm="1">
        <f t="array" ref="J511">_xlfn.IFS(C511&lt;18.5,"Underweight",C511&lt;25,"Normal",C511&lt;30,"Overweight",C511&gt;=30,"Obese")</f>
        <v>Overweight</v>
      </c>
      <c r="K511" t="str" cm="1">
        <f t="array" ref="K511">_xlfn.IFS(G511&lt;10000, "Low", G511&lt;=25000, "Medium", G511&gt;25000, "High")</f>
        <v>Low</v>
      </c>
    </row>
    <row r="512" spans="1:11" x14ac:dyDescent="0.3">
      <c r="A512">
        <v>33</v>
      </c>
      <c r="B512" s="1" t="s">
        <v>8</v>
      </c>
      <c r="C512">
        <v>28.5</v>
      </c>
      <c r="D512">
        <v>0</v>
      </c>
      <c r="E512" t="s">
        <v>10</v>
      </c>
      <c r="F512" t="s">
        <v>14</v>
      </c>
      <c r="G512" s="2">
        <v>7151.0919999999996</v>
      </c>
      <c r="H512" t="str" cm="1">
        <f t="array" ref="H512">_xlfn.IFS(A512&lt;=30, "Youth", A512&lt;=50, "Adult", A512&gt;50, "Older")</f>
        <v>Adult</v>
      </c>
      <c r="I512" t="str" cm="1">
        <f t="array" ref="I512">_xlfn.IFS(A512&lt;=25,"18-25",A512&lt;=35,"26-35",A512&lt;=45,"36-45",A512&lt;=60,"46-60",A512&gt;60,"60+")</f>
        <v>26-35</v>
      </c>
      <c r="J512" t="str" cm="1">
        <f t="array" ref="J512">_xlfn.IFS(C512&lt;18.5,"Underweight",C512&lt;25,"Normal",C512&lt;30,"Overweight",C512&gt;=30,"Obese")</f>
        <v>Overweight</v>
      </c>
      <c r="K512" t="str" cm="1">
        <f t="array" ref="K512">_xlfn.IFS(G512&lt;10000, "Low", G512&lt;=25000, "Medium", G512&gt;25000, "High")</f>
        <v>Low</v>
      </c>
    </row>
    <row r="513" spans="1:11" x14ac:dyDescent="0.3">
      <c r="A513">
        <v>33</v>
      </c>
      <c r="B513" s="1" t="s">
        <v>8</v>
      </c>
      <c r="C513">
        <v>28.5</v>
      </c>
      <c r="D513">
        <v>0</v>
      </c>
      <c r="E513" t="s">
        <v>10</v>
      </c>
      <c r="F513" t="s">
        <v>12</v>
      </c>
      <c r="G513" s="2">
        <v>7152.6714000000002</v>
      </c>
      <c r="H513" t="str" cm="1">
        <f t="array" ref="H513">_xlfn.IFS(A513&lt;=30, "Youth", A513&lt;=50, "Adult", A513&gt;50, "Older")</f>
        <v>Adult</v>
      </c>
      <c r="I513" t="str" cm="1">
        <f t="array" ref="I513">_xlfn.IFS(A513&lt;=25,"18-25",A513&lt;=35,"26-35",A513&lt;=45,"36-45",A513&lt;=60,"46-60",A513&gt;60,"60+")</f>
        <v>26-35</v>
      </c>
      <c r="J513" t="str" cm="1">
        <f t="array" ref="J513">_xlfn.IFS(C513&lt;18.5,"Underweight",C513&lt;25,"Normal",C513&lt;30,"Overweight",C513&gt;=30,"Obese")</f>
        <v>Overweight</v>
      </c>
      <c r="K513" t="str" cm="1">
        <f t="array" ref="K513">_xlfn.IFS(G513&lt;10000, "Low", G513&lt;=25000, "Medium", G513&gt;25000, "High")</f>
        <v>Low</v>
      </c>
    </row>
    <row r="514" spans="1:11" x14ac:dyDescent="0.3">
      <c r="A514">
        <v>33</v>
      </c>
      <c r="B514" s="1" t="s">
        <v>8</v>
      </c>
      <c r="C514">
        <v>28.5</v>
      </c>
      <c r="D514">
        <v>0</v>
      </c>
      <c r="E514" t="s">
        <v>10</v>
      </c>
      <c r="F514" t="s">
        <v>14</v>
      </c>
      <c r="G514" s="2">
        <v>7153.5538999999999</v>
      </c>
      <c r="H514" t="str" cm="1">
        <f t="array" ref="H514">_xlfn.IFS(A514&lt;=30, "Youth", A514&lt;=50, "Adult", A514&gt;50, "Older")</f>
        <v>Adult</v>
      </c>
      <c r="I514" t="str" cm="1">
        <f t="array" ref="I514">_xlfn.IFS(A514&lt;=25,"18-25",A514&lt;=35,"26-35",A514&lt;=45,"36-45",A514&lt;=60,"46-60",A514&gt;60,"60+")</f>
        <v>26-35</v>
      </c>
      <c r="J514" t="str" cm="1">
        <f t="array" ref="J514">_xlfn.IFS(C514&lt;18.5,"Underweight",C514&lt;25,"Normal",C514&lt;30,"Overweight",C514&gt;=30,"Obese")</f>
        <v>Overweight</v>
      </c>
      <c r="K514" t="str" cm="1">
        <f t="array" ref="K514">_xlfn.IFS(G514&lt;10000, "Low", G514&lt;=25000, "Medium", G514&gt;25000, "High")</f>
        <v>Low</v>
      </c>
    </row>
    <row r="515" spans="1:11" x14ac:dyDescent="0.3">
      <c r="A515">
        <v>33</v>
      </c>
      <c r="B515" s="1" t="s">
        <v>8</v>
      </c>
      <c r="C515">
        <v>28.594999999999999</v>
      </c>
      <c r="D515">
        <v>0</v>
      </c>
      <c r="E515" t="s">
        <v>10</v>
      </c>
      <c r="F515" t="s">
        <v>11</v>
      </c>
      <c r="G515" s="2">
        <v>7160.0940000000001</v>
      </c>
      <c r="H515" t="str" cm="1">
        <f t="array" ref="H515">_xlfn.IFS(A515&lt;=30, "Youth", A515&lt;=50, "Adult", A515&gt;50, "Older")</f>
        <v>Adult</v>
      </c>
      <c r="I515" t="str" cm="1">
        <f t="array" ref="I515">_xlfn.IFS(A515&lt;=25,"18-25",A515&lt;=35,"26-35",A515&lt;=45,"36-45",A515&lt;=60,"46-60",A515&gt;60,"60+")</f>
        <v>26-35</v>
      </c>
      <c r="J515" t="str" cm="1">
        <f t="array" ref="J515">_xlfn.IFS(C515&lt;18.5,"Underweight",C515&lt;25,"Normal",C515&lt;30,"Overweight",C515&gt;=30,"Obese")</f>
        <v>Overweight</v>
      </c>
      <c r="K515" t="str" cm="1">
        <f t="array" ref="K515">_xlfn.IFS(G515&lt;10000, "Low", G515&lt;=25000, "Medium", G515&gt;25000, "High")</f>
        <v>Low</v>
      </c>
    </row>
    <row r="516" spans="1:11" x14ac:dyDescent="0.3">
      <c r="A516">
        <v>33</v>
      </c>
      <c r="B516" s="1" t="s">
        <v>8</v>
      </c>
      <c r="C516">
        <v>28.594999999999999</v>
      </c>
      <c r="D516">
        <v>0</v>
      </c>
      <c r="E516" t="s">
        <v>9</v>
      </c>
      <c r="F516" t="s">
        <v>11</v>
      </c>
      <c r="G516" s="2">
        <v>7160.3302999999996</v>
      </c>
      <c r="H516" t="str" cm="1">
        <f t="array" ref="H516">_xlfn.IFS(A516&lt;=30, "Youth", A516&lt;=50, "Adult", A516&gt;50, "Older")</f>
        <v>Adult</v>
      </c>
      <c r="I516" t="str" cm="1">
        <f t="array" ref="I516">_xlfn.IFS(A516&lt;=25,"18-25",A516&lt;=35,"26-35",A516&lt;=45,"36-45",A516&lt;=60,"46-60",A516&gt;60,"60+")</f>
        <v>26-35</v>
      </c>
      <c r="J516" t="str" cm="1">
        <f t="array" ref="J516">_xlfn.IFS(C516&lt;18.5,"Underweight",C516&lt;25,"Normal",C516&lt;30,"Overweight",C516&gt;=30,"Obese")</f>
        <v>Overweight</v>
      </c>
      <c r="K516" t="str" cm="1">
        <f t="array" ref="K516">_xlfn.IFS(G516&lt;10000, "Low", G516&lt;=25000, "Medium", G516&gt;25000, "High")</f>
        <v>Low</v>
      </c>
    </row>
    <row r="517" spans="1:11" x14ac:dyDescent="0.3">
      <c r="A517">
        <v>33</v>
      </c>
      <c r="B517" s="1" t="s">
        <v>8</v>
      </c>
      <c r="C517">
        <v>28.594999999999999</v>
      </c>
      <c r="D517">
        <v>0</v>
      </c>
      <c r="E517" t="s">
        <v>10</v>
      </c>
      <c r="F517" t="s">
        <v>11</v>
      </c>
      <c r="G517" s="2">
        <v>7162.0122000000001</v>
      </c>
      <c r="H517" t="str" cm="1">
        <f t="array" ref="H517">_xlfn.IFS(A517&lt;=30, "Youth", A517&lt;=50, "Adult", A517&gt;50, "Older")</f>
        <v>Adult</v>
      </c>
      <c r="I517" t="str" cm="1">
        <f t="array" ref="I517">_xlfn.IFS(A517&lt;=25,"18-25",A517&lt;=35,"26-35",A517&lt;=45,"36-45",A517&lt;=60,"46-60",A517&gt;60,"60+")</f>
        <v>26-35</v>
      </c>
      <c r="J517" t="str" cm="1">
        <f t="array" ref="J517">_xlfn.IFS(C517&lt;18.5,"Underweight",C517&lt;25,"Normal",C517&lt;30,"Overweight",C517&gt;=30,"Obese")</f>
        <v>Overweight</v>
      </c>
      <c r="K517" t="str" cm="1">
        <f t="array" ref="K517">_xlfn.IFS(G517&lt;10000, "Low", G517&lt;=25000, "Medium", G517&gt;25000, "High")</f>
        <v>Low</v>
      </c>
    </row>
    <row r="518" spans="1:11" x14ac:dyDescent="0.3">
      <c r="A518">
        <v>33</v>
      </c>
      <c r="B518" s="1" t="s">
        <v>8</v>
      </c>
      <c r="C518">
        <v>28.594999999999999</v>
      </c>
      <c r="D518">
        <v>0</v>
      </c>
      <c r="E518" t="s">
        <v>10</v>
      </c>
      <c r="F518" t="s">
        <v>12</v>
      </c>
      <c r="G518" s="2">
        <v>7173.35995</v>
      </c>
      <c r="H518" t="str" cm="1">
        <f t="array" ref="H518">_xlfn.IFS(A518&lt;=30, "Youth", A518&lt;=50, "Adult", A518&gt;50, "Older")</f>
        <v>Adult</v>
      </c>
      <c r="I518" t="str" cm="1">
        <f t="array" ref="I518">_xlfn.IFS(A518&lt;=25,"18-25",A518&lt;=35,"26-35",A518&lt;=45,"36-45",A518&lt;=60,"46-60",A518&gt;60,"60+")</f>
        <v>26-35</v>
      </c>
      <c r="J518" t="str" cm="1">
        <f t="array" ref="J518">_xlfn.IFS(C518&lt;18.5,"Underweight",C518&lt;25,"Normal",C518&lt;30,"Overweight",C518&gt;=30,"Obese")</f>
        <v>Overweight</v>
      </c>
      <c r="K518" t="str" cm="1">
        <f t="array" ref="K518">_xlfn.IFS(G518&lt;10000, "Low", G518&lt;=25000, "Medium", G518&gt;25000, "High")</f>
        <v>Low</v>
      </c>
    </row>
    <row r="519" spans="1:11" x14ac:dyDescent="0.3">
      <c r="A519">
        <v>33</v>
      </c>
      <c r="B519" s="1" t="s">
        <v>8</v>
      </c>
      <c r="C519">
        <v>28.594999999999999</v>
      </c>
      <c r="D519">
        <v>0</v>
      </c>
      <c r="E519" t="s">
        <v>10</v>
      </c>
      <c r="F519" t="s">
        <v>13</v>
      </c>
      <c r="G519" s="2">
        <v>7196.8670000000002</v>
      </c>
      <c r="H519" t="str" cm="1">
        <f t="array" ref="H519">_xlfn.IFS(A519&lt;=30, "Youth", A519&lt;=50, "Adult", A519&gt;50, "Older")</f>
        <v>Adult</v>
      </c>
      <c r="I519" t="str" cm="1">
        <f t="array" ref="I519">_xlfn.IFS(A519&lt;=25,"18-25",A519&lt;=35,"26-35",A519&lt;=45,"36-45",A519&lt;=60,"46-60",A519&gt;60,"60+")</f>
        <v>26-35</v>
      </c>
      <c r="J519" t="str" cm="1">
        <f t="array" ref="J519">_xlfn.IFS(C519&lt;18.5,"Underweight",C519&lt;25,"Normal",C519&lt;30,"Overweight",C519&gt;=30,"Obese")</f>
        <v>Overweight</v>
      </c>
      <c r="K519" t="str" cm="1">
        <f t="array" ref="K519">_xlfn.IFS(G519&lt;10000, "Low", G519&lt;=25000, "Medium", G519&gt;25000, "High")</f>
        <v>Low</v>
      </c>
    </row>
    <row r="520" spans="1:11" x14ac:dyDescent="0.3">
      <c r="A520">
        <v>33</v>
      </c>
      <c r="B520" s="1" t="s">
        <v>7</v>
      </c>
      <c r="C520">
        <v>28.594999999999999</v>
      </c>
      <c r="D520">
        <v>0</v>
      </c>
      <c r="E520" t="s">
        <v>10</v>
      </c>
      <c r="F520" t="s">
        <v>11</v>
      </c>
      <c r="G520" s="2">
        <v>7201.7008500000002</v>
      </c>
      <c r="H520" t="str" cm="1">
        <f t="array" ref="H520">_xlfn.IFS(A520&lt;=30, "Youth", A520&lt;=50, "Adult", A520&gt;50, "Older")</f>
        <v>Adult</v>
      </c>
      <c r="I520" t="str" cm="1">
        <f t="array" ref="I520">_xlfn.IFS(A520&lt;=25,"18-25",A520&lt;=35,"26-35",A520&lt;=45,"36-45",A520&lt;=60,"46-60",A520&gt;60,"60+")</f>
        <v>26-35</v>
      </c>
      <c r="J520" t="str" cm="1">
        <f t="array" ref="J520">_xlfn.IFS(C520&lt;18.5,"Underweight",C520&lt;25,"Normal",C520&lt;30,"Overweight",C520&gt;=30,"Obese")</f>
        <v>Overweight</v>
      </c>
      <c r="K520" t="str" cm="1">
        <f t="array" ref="K520">_xlfn.IFS(G520&lt;10000, "Low", G520&lt;=25000, "Medium", G520&gt;25000, "High")</f>
        <v>Low</v>
      </c>
    </row>
    <row r="521" spans="1:11" x14ac:dyDescent="0.3">
      <c r="A521">
        <v>33</v>
      </c>
      <c r="B521" s="1" t="s">
        <v>8</v>
      </c>
      <c r="C521">
        <v>28.6</v>
      </c>
      <c r="D521">
        <v>0</v>
      </c>
      <c r="E521" t="s">
        <v>10</v>
      </c>
      <c r="F521" t="s">
        <v>14</v>
      </c>
      <c r="G521" s="2">
        <v>7209.4917999999998</v>
      </c>
      <c r="H521" t="str" cm="1">
        <f t="array" ref="H521">_xlfn.IFS(A521&lt;=30, "Youth", A521&lt;=50, "Adult", A521&gt;50, "Older")</f>
        <v>Adult</v>
      </c>
      <c r="I521" t="str" cm="1">
        <f t="array" ref="I521">_xlfn.IFS(A521&lt;=25,"18-25",A521&lt;=35,"26-35",A521&lt;=45,"36-45",A521&lt;=60,"46-60",A521&gt;60,"60+")</f>
        <v>26-35</v>
      </c>
      <c r="J521" t="str" cm="1">
        <f t="array" ref="J521">_xlfn.IFS(C521&lt;18.5,"Underweight",C521&lt;25,"Normal",C521&lt;30,"Overweight",C521&gt;=30,"Obese")</f>
        <v>Overweight</v>
      </c>
      <c r="K521" t="str" cm="1">
        <f t="array" ref="K521">_xlfn.IFS(G521&lt;10000, "Low", G521&lt;=25000, "Medium", G521&gt;25000, "High")</f>
        <v>Low</v>
      </c>
    </row>
    <row r="522" spans="1:11" x14ac:dyDescent="0.3">
      <c r="A522">
        <v>33</v>
      </c>
      <c r="B522" s="1" t="s">
        <v>7</v>
      </c>
      <c r="C522">
        <v>28.6</v>
      </c>
      <c r="D522">
        <v>0</v>
      </c>
      <c r="E522" t="s">
        <v>10</v>
      </c>
      <c r="F522" t="s">
        <v>14</v>
      </c>
      <c r="G522" s="2">
        <v>7222.7862500000001</v>
      </c>
      <c r="H522" t="str" cm="1">
        <f t="array" ref="H522">_xlfn.IFS(A522&lt;=30, "Youth", A522&lt;=50, "Adult", A522&gt;50, "Older")</f>
        <v>Adult</v>
      </c>
      <c r="I522" t="str" cm="1">
        <f t="array" ref="I522">_xlfn.IFS(A522&lt;=25,"18-25",A522&lt;=35,"26-35",A522&lt;=45,"36-45",A522&lt;=60,"46-60",A522&gt;60,"60+")</f>
        <v>26-35</v>
      </c>
      <c r="J522" t="str" cm="1">
        <f t="array" ref="J522">_xlfn.IFS(C522&lt;18.5,"Underweight",C522&lt;25,"Normal",C522&lt;30,"Overweight",C522&gt;=30,"Obese")</f>
        <v>Overweight</v>
      </c>
      <c r="K522" t="str" cm="1">
        <f t="array" ref="K522">_xlfn.IFS(G522&lt;10000, "Low", G522&lt;=25000, "Medium", G522&gt;25000, "High")</f>
        <v>Low</v>
      </c>
    </row>
    <row r="523" spans="1:11" x14ac:dyDescent="0.3">
      <c r="A523">
        <v>33</v>
      </c>
      <c r="B523" s="1" t="s">
        <v>7</v>
      </c>
      <c r="C523">
        <v>28.6</v>
      </c>
      <c r="D523">
        <v>0</v>
      </c>
      <c r="E523" t="s">
        <v>10</v>
      </c>
      <c r="F523" t="s">
        <v>12</v>
      </c>
      <c r="G523" s="2">
        <v>7228.2156500000001</v>
      </c>
      <c r="H523" t="str" cm="1">
        <f t="array" ref="H523">_xlfn.IFS(A523&lt;=30, "Youth", A523&lt;=50, "Adult", A523&gt;50, "Older")</f>
        <v>Adult</v>
      </c>
      <c r="I523" t="str" cm="1">
        <f t="array" ref="I523">_xlfn.IFS(A523&lt;=25,"18-25",A523&lt;=35,"26-35",A523&lt;=45,"36-45",A523&lt;=60,"46-60",A523&gt;60,"60+")</f>
        <v>26-35</v>
      </c>
      <c r="J523" t="str" cm="1">
        <f t="array" ref="J523">_xlfn.IFS(C523&lt;18.5,"Underweight",C523&lt;25,"Normal",C523&lt;30,"Overweight",C523&gt;=30,"Obese")</f>
        <v>Overweight</v>
      </c>
      <c r="K523" t="str" cm="1">
        <f t="array" ref="K523">_xlfn.IFS(G523&lt;10000, "Low", G523&lt;=25000, "Medium", G523&gt;25000, "High")</f>
        <v>Low</v>
      </c>
    </row>
    <row r="524" spans="1:11" x14ac:dyDescent="0.3">
      <c r="A524">
        <v>34</v>
      </c>
      <c r="B524" s="1" t="s">
        <v>7</v>
      </c>
      <c r="C524">
        <v>28.69</v>
      </c>
      <c r="D524">
        <v>0</v>
      </c>
      <c r="E524" t="s">
        <v>10</v>
      </c>
      <c r="F524" t="s">
        <v>14</v>
      </c>
      <c r="G524" s="2">
        <v>7243.8136000000004</v>
      </c>
      <c r="H524" t="str" cm="1">
        <f t="array" ref="H524">_xlfn.IFS(A524&lt;=30, "Youth", A524&lt;=50, "Adult", A524&gt;50, "Older")</f>
        <v>Adult</v>
      </c>
      <c r="I524" t="str" cm="1">
        <f t="array" ref="I524">_xlfn.IFS(A524&lt;=25,"18-25",A524&lt;=35,"26-35",A524&lt;=45,"36-45",A524&lt;=60,"46-60",A524&gt;60,"60+")</f>
        <v>26-35</v>
      </c>
      <c r="J524" t="str" cm="1">
        <f t="array" ref="J524">_xlfn.IFS(C524&lt;18.5,"Underweight",C524&lt;25,"Normal",C524&lt;30,"Overweight",C524&gt;=30,"Obese")</f>
        <v>Overweight</v>
      </c>
      <c r="K524" t="str" cm="1">
        <f t="array" ref="K524">_xlfn.IFS(G524&lt;10000, "Low", G524&lt;=25000, "Medium", G524&gt;25000, "High")</f>
        <v>Low</v>
      </c>
    </row>
    <row r="525" spans="1:11" x14ac:dyDescent="0.3">
      <c r="A525">
        <v>34</v>
      </c>
      <c r="B525" s="1" t="s">
        <v>7</v>
      </c>
      <c r="C525">
        <v>28.69</v>
      </c>
      <c r="D525">
        <v>0</v>
      </c>
      <c r="E525" t="s">
        <v>10</v>
      </c>
      <c r="F525" t="s">
        <v>12</v>
      </c>
      <c r="G525" s="2">
        <v>7256.7231000000002</v>
      </c>
      <c r="H525" t="str" cm="1">
        <f t="array" ref="H525">_xlfn.IFS(A525&lt;=30, "Youth", A525&lt;=50, "Adult", A525&gt;50, "Older")</f>
        <v>Adult</v>
      </c>
      <c r="I525" t="str" cm="1">
        <f t="array" ref="I525">_xlfn.IFS(A525&lt;=25,"18-25",A525&lt;=35,"26-35",A525&lt;=45,"36-45",A525&lt;=60,"46-60",A525&gt;60,"60+")</f>
        <v>26-35</v>
      </c>
      <c r="J525" t="str" cm="1">
        <f t="array" ref="J525">_xlfn.IFS(C525&lt;18.5,"Underweight",C525&lt;25,"Normal",C525&lt;30,"Overweight",C525&gt;=30,"Obese")</f>
        <v>Overweight</v>
      </c>
      <c r="K525" t="str" cm="1">
        <f t="array" ref="K525">_xlfn.IFS(G525&lt;10000, "Low", G525&lt;=25000, "Medium", G525&gt;25000, "High")</f>
        <v>Low</v>
      </c>
    </row>
    <row r="526" spans="1:11" x14ac:dyDescent="0.3">
      <c r="A526">
        <v>34</v>
      </c>
      <c r="B526" s="1" t="s">
        <v>8</v>
      </c>
      <c r="C526">
        <v>28.69</v>
      </c>
      <c r="D526">
        <v>0</v>
      </c>
      <c r="E526" t="s">
        <v>9</v>
      </c>
      <c r="F526" t="s">
        <v>12</v>
      </c>
      <c r="G526" s="2">
        <v>7261.741</v>
      </c>
      <c r="H526" t="str" cm="1">
        <f t="array" ref="H526">_xlfn.IFS(A526&lt;=30, "Youth", A526&lt;=50, "Adult", A526&gt;50, "Older")</f>
        <v>Adult</v>
      </c>
      <c r="I526" t="str" cm="1">
        <f t="array" ref="I526">_xlfn.IFS(A526&lt;=25,"18-25",A526&lt;=35,"26-35",A526&lt;=45,"36-45",A526&lt;=60,"46-60",A526&gt;60,"60+")</f>
        <v>26-35</v>
      </c>
      <c r="J526" t="str" cm="1">
        <f t="array" ref="J526">_xlfn.IFS(C526&lt;18.5,"Underweight",C526&lt;25,"Normal",C526&lt;30,"Overweight",C526&gt;=30,"Obese")</f>
        <v>Overweight</v>
      </c>
      <c r="K526" t="str" cm="1">
        <f t="array" ref="K526">_xlfn.IFS(G526&lt;10000, "Low", G526&lt;=25000, "Medium", G526&gt;25000, "High")</f>
        <v>Low</v>
      </c>
    </row>
    <row r="527" spans="1:11" x14ac:dyDescent="0.3">
      <c r="A527">
        <v>34</v>
      </c>
      <c r="B527" s="1" t="s">
        <v>7</v>
      </c>
      <c r="C527">
        <v>28.7</v>
      </c>
      <c r="D527">
        <v>0</v>
      </c>
      <c r="E527" t="s">
        <v>10</v>
      </c>
      <c r="F527" t="s">
        <v>12</v>
      </c>
      <c r="G527" s="2">
        <v>7265.7025000000003</v>
      </c>
      <c r="H527" t="str" cm="1">
        <f t="array" ref="H527">_xlfn.IFS(A527&lt;=30, "Youth", A527&lt;=50, "Adult", A527&gt;50, "Older")</f>
        <v>Adult</v>
      </c>
      <c r="I527" t="str" cm="1">
        <f t="array" ref="I527">_xlfn.IFS(A527&lt;=25,"18-25",A527&lt;=35,"26-35",A527&lt;=45,"36-45",A527&lt;=60,"46-60",A527&gt;60,"60+")</f>
        <v>26-35</v>
      </c>
      <c r="J527" t="str" cm="1">
        <f t="array" ref="J527">_xlfn.IFS(C527&lt;18.5,"Underweight",C527&lt;25,"Normal",C527&lt;30,"Overweight",C527&gt;=30,"Obese")</f>
        <v>Overweight</v>
      </c>
      <c r="K527" t="str" cm="1">
        <f t="array" ref="K527">_xlfn.IFS(G527&lt;10000, "Low", G527&lt;=25000, "Medium", G527&gt;25000, "High")</f>
        <v>Low</v>
      </c>
    </row>
    <row r="528" spans="1:11" x14ac:dyDescent="0.3">
      <c r="A528">
        <v>34</v>
      </c>
      <c r="B528" s="1" t="s">
        <v>7</v>
      </c>
      <c r="C528">
        <v>28.7</v>
      </c>
      <c r="D528">
        <v>0</v>
      </c>
      <c r="E528" t="s">
        <v>10</v>
      </c>
      <c r="F528" t="s">
        <v>13</v>
      </c>
      <c r="G528" s="2">
        <v>7281.5056000000004</v>
      </c>
      <c r="H528" t="str" cm="1">
        <f t="array" ref="H528">_xlfn.IFS(A528&lt;=30, "Youth", A528&lt;=50, "Adult", A528&gt;50, "Older")</f>
        <v>Adult</v>
      </c>
      <c r="I528" t="str" cm="1">
        <f t="array" ref="I528">_xlfn.IFS(A528&lt;=25,"18-25",A528&lt;=35,"26-35",A528&lt;=45,"36-45",A528&lt;=60,"46-60",A528&gt;60,"60+")</f>
        <v>26-35</v>
      </c>
      <c r="J528" t="str" cm="1">
        <f t="array" ref="J528">_xlfn.IFS(C528&lt;18.5,"Underweight",C528&lt;25,"Normal",C528&lt;30,"Overweight",C528&gt;=30,"Obese")</f>
        <v>Overweight</v>
      </c>
      <c r="K528" t="str" cm="1">
        <f t="array" ref="K528">_xlfn.IFS(G528&lt;10000, "Low", G528&lt;=25000, "Medium", G528&gt;25000, "High")</f>
        <v>Low</v>
      </c>
    </row>
    <row r="529" spans="1:11" x14ac:dyDescent="0.3">
      <c r="A529">
        <v>34</v>
      </c>
      <c r="B529" s="1" t="s">
        <v>7</v>
      </c>
      <c r="C529">
        <v>28.7</v>
      </c>
      <c r="D529">
        <v>0</v>
      </c>
      <c r="E529" t="s">
        <v>10</v>
      </c>
      <c r="F529" t="s">
        <v>11</v>
      </c>
      <c r="G529" s="2">
        <v>7323.7348190000002</v>
      </c>
      <c r="H529" t="str" cm="1">
        <f t="array" ref="H529">_xlfn.IFS(A529&lt;=30, "Youth", A529&lt;=50, "Adult", A529&gt;50, "Older")</f>
        <v>Adult</v>
      </c>
      <c r="I529" t="str" cm="1">
        <f t="array" ref="I529">_xlfn.IFS(A529&lt;=25,"18-25",A529&lt;=35,"26-35",A529&lt;=45,"36-45",A529&lt;=60,"46-60",A529&gt;60,"60+")</f>
        <v>26-35</v>
      </c>
      <c r="J529" t="str" cm="1">
        <f t="array" ref="J529">_xlfn.IFS(C529&lt;18.5,"Underweight",C529&lt;25,"Normal",C529&lt;30,"Overweight",C529&gt;=30,"Obese")</f>
        <v>Overweight</v>
      </c>
      <c r="K529" t="str" cm="1">
        <f t="array" ref="K529">_xlfn.IFS(G529&lt;10000, "Low", G529&lt;=25000, "Medium", G529&gt;25000, "High")</f>
        <v>Low</v>
      </c>
    </row>
    <row r="530" spans="1:11" x14ac:dyDescent="0.3">
      <c r="A530">
        <v>34</v>
      </c>
      <c r="B530" s="1" t="s">
        <v>8</v>
      </c>
      <c r="C530">
        <v>28.7</v>
      </c>
      <c r="D530">
        <v>0</v>
      </c>
      <c r="E530" t="s">
        <v>10</v>
      </c>
      <c r="F530" t="s">
        <v>14</v>
      </c>
      <c r="G530" s="2">
        <v>7325.0482000000002</v>
      </c>
      <c r="H530" t="str" cm="1">
        <f t="array" ref="H530">_xlfn.IFS(A530&lt;=30, "Youth", A530&lt;=50, "Adult", A530&gt;50, "Older")</f>
        <v>Adult</v>
      </c>
      <c r="I530" t="str" cm="1">
        <f t="array" ref="I530">_xlfn.IFS(A530&lt;=25,"18-25",A530&lt;=35,"26-35",A530&lt;=45,"36-45",A530&lt;=60,"46-60",A530&gt;60,"60+")</f>
        <v>26-35</v>
      </c>
      <c r="J530" t="str" cm="1">
        <f t="array" ref="J530">_xlfn.IFS(C530&lt;18.5,"Underweight",C530&lt;25,"Normal",C530&lt;30,"Overweight",C530&gt;=30,"Obese")</f>
        <v>Overweight</v>
      </c>
      <c r="K530" t="str" cm="1">
        <f t="array" ref="K530">_xlfn.IFS(G530&lt;10000, "Low", G530&lt;=25000, "Medium", G530&gt;25000, "High")</f>
        <v>Low</v>
      </c>
    </row>
    <row r="531" spans="1:11" x14ac:dyDescent="0.3">
      <c r="A531">
        <v>34</v>
      </c>
      <c r="B531" s="1" t="s">
        <v>8</v>
      </c>
      <c r="C531">
        <v>28.7</v>
      </c>
      <c r="D531">
        <v>0</v>
      </c>
      <c r="E531" t="s">
        <v>10</v>
      </c>
      <c r="F531" t="s">
        <v>14</v>
      </c>
      <c r="G531" s="2">
        <v>7337.7479999999996</v>
      </c>
      <c r="H531" t="str" cm="1">
        <f t="array" ref="H531">_xlfn.IFS(A531&lt;=30, "Youth", A531&lt;=50, "Adult", A531&gt;50, "Older")</f>
        <v>Adult</v>
      </c>
      <c r="I531" t="str" cm="1">
        <f t="array" ref="I531">_xlfn.IFS(A531&lt;=25,"18-25",A531&lt;=35,"26-35",A531&lt;=45,"36-45",A531&lt;=60,"46-60",A531&gt;60,"60+")</f>
        <v>26-35</v>
      </c>
      <c r="J531" t="str" cm="1">
        <f t="array" ref="J531">_xlfn.IFS(C531&lt;18.5,"Underweight",C531&lt;25,"Normal",C531&lt;30,"Overweight",C531&gt;=30,"Obese")</f>
        <v>Overweight</v>
      </c>
      <c r="K531" t="str" cm="1">
        <f t="array" ref="K531">_xlfn.IFS(G531&lt;10000, "Low", G531&lt;=25000, "Medium", G531&gt;25000, "High")</f>
        <v>Low</v>
      </c>
    </row>
    <row r="532" spans="1:11" x14ac:dyDescent="0.3">
      <c r="A532">
        <v>34</v>
      </c>
      <c r="B532" s="1" t="s">
        <v>8</v>
      </c>
      <c r="C532">
        <v>28.785</v>
      </c>
      <c r="D532">
        <v>0</v>
      </c>
      <c r="E532" t="s">
        <v>9</v>
      </c>
      <c r="F532" t="s">
        <v>12</v>
      </c>
      <c r="G532" s="2">
        <v>7345.0839999999998</v>
      </c>
      <c r="H532" t="str" cm="1">
        <f t="array" ref="H532">_xlfn.IFS(A532&lt;=30, "Youth", A532&lt;=50, "Adult", A532&gt;50, "Older")</f>
        <v>Adult</v>
      </c>
      <c r="I532" t="str" cm="1">
        <f t="array" ref="I532">_xlfn.IFS(A532&lt;=25,"18-25",A532&lt;=35,"26-35",A532&lt;=45,"36-45",A532&lt;=60,"46-60",A532&gt;60,"60+")</f>
        <v>26-35</v>
      </c>
      <c r="J532" t="str" cm="1">
        <f t="array" ref="J532">_xlfn.IFS(C532&lt;18.5,"Underweight",C532&lt;25,"Normal",C532&lt;30,"Overweight",C532&gt;=30,"Obese")</f>
        <v>Overweight</v>
      </c>
      <c r="K532" t="str" cm="1">
        <f t="array" ref="K532">_xlfn.IFS(G532&lt;10000, "Low", G532&lt;=25000, "Medium", G532&gt;25000, "High")</f>
        <v>Low</v>
      </c>
    </row>
    <row r="533" spans="1:11" x14ac:dyDescent="0.3">
      <c r="A533">
        <v>34</v>
      </c>
      <c r="B533" s="1" t="s">
        <v>7</v>
      </c>
      <c r="C533">
        <v>28.785</v>
      </c>
      <c r="D533">
        <v>0</v>
      </c>
      <c r="E533" t="s">
        <v>10</v>
      </c>
      <c r="F533" t="s">
        <v>14</v>
      </c>
      <c r="G533" s="2">
        <v>7345.7266</v>
      </c>
      <c r="H533" t="str" cm="1">
        <f t="array" ref="H533">_xlfn.IFS(A533&lt;=30, "Youth", A533&lt;=50, "Adult", A533&gt;50, "Older")</f>
        <v>Adult</v>
      </c>
      <c r="I533" t="str" cm="1">
        <f t="array" ref="I533">_xlfn.IFS(A533&lt;=25,"18-25",A533&lt;=35,"26-35",A533&lt;=45,"36-45",A533&lt;=60,"46-60",A533&gt;60,"60+")</f>
        <v>26-35</v>
      </c>
      <c r="J533" t="str" cm="1">
        <f t="array" ref="J533">_xlfn.IFS(C533&lt;18.5,"Underweight",C533&lt;25,"Normal",C533&lt;30,"Overweight",C533&gt;=30,"Obese")</f>
        <v>Overweight</v>
      </c>
      <c r="K533" t="str" cm="1">
        <f t="array" ref="K533">_xlfn.IFS(G533&lt;10000, "Low", G533&lt;=25000, "Medium", G533&gt;25000, "High")</f>
        <v>Low</v>
      </c>
    </row>
    <row r="534" spans="1:11" x14ac:dyDescent="0.3">
      <c r="A534">
        <v>34</v>
      </c>
      <c r="B534" s="1" t="s">
        <v>8</v>
      </c>
      <c r="C534">
        <v>28.785</v>
      </c>
      <c r="D534">
        <v>0</v>
      </c>
      <c r="E534" t="s">
        <v>10</v>
      </c>
      <c r="F534" t="s">
        <v>12</v>
      </c>
      <c r="G534" s="2">
        <v>7348.1419999999998</v>
      </c>
      <c r="H534" t="str" cm="1">
        <f t="array" ref="H534">_xlfn.IFS(A534&lt;=30, "Youth", A534&lt;=50, "Adult", A534&gt;50, "Older")</f>
        <v>Adult</v>
      </c>
      <c r="I534" t="str" cm="1">
        <f t="array" ref="I534">_xlfn.IFS(A534&lt;=25,"18-25",A534&lt;=35,"26-35",A534&lt;=45,"36-45",A534&lt;=60,"46-60",A534&gt;60,"60+")</f>
        <v>26-35</v>
      </c>
      <c r="J534" t="str" cm="1">
        <f t="array" ref="J534">_xlfn.IFS(C534&lt;18.5,"Underweight",C534&lt;25,"Normal",C534&lt;30,"Overweight",C534&gt;=30,"Obese")</f>
        <v>Overweight</v>
      </c>
      <c r="K534" t="str" cm="1">
        <f t="array" ref="K534">_xlfn.IFS(G534&lt;10000, "Low", G534&lt;=25000, "Medium", G534&gt;25000, "High")</f>
        <v>Low</v>
      </c>
    </row>
    <row r="535" spans="1:11" x14ac:dyDescent="0.3">
      <c r="A535">
        <v>34</v>
      </c>
      <c r="B535" s="1" t="s">
        <v>8</v>
      </c>
      <c r="C535">
        <v>28.785</v>
      </c>
      <c r="D535">
        <v>0</v>
      </c>
      <c r="E535" t="s">
        <v>10</v>
      </c>
      <c r="F535" t="s">
        <v>12</v>
      </c>
      <c r="G535" s="2">
        <v>7358.1756500000001</v>
      </c>
      <c r="H535" t="str" cm="1">
        <f t="array" ref="H535">_xlfn.IFS(A535&lt;=30, "Youth", A535&lt;=50, "Adult", A535&gt;50, "Older")</f>
        <v>Adult</v>
      </c>
      <c r="I535" t="str" cm="1">
        <f t="array" ref="I535">_xlfn.IFS(A535&lt;=25,"18-25",A535&lt;=35,"26-35",A535&lt;=45,"36-45",A535&lt;=60,"46-60",A535&gt;60,"60+")</f>
        <v>26-35</v>
      </c>
      <c r="J535" t="str" cm="1">
        <f t="array" ref="J535">_xlfn.IFS(C535&lt;18.5,"Underweight",C535&lt;25,"Normal",C535&lt;30,"Overweight",C535&gt;=30,"Obese")</f>
        <v>Overweight</v>
      </c>
      <c r="K535" t="str" cm="1">
        <f t="array" ref="K535">_xlfn.IFS(G535&lt;10000, "Low", G535&lt;=25000, "Medium", G535&gt;25000, "High")</f>
        <v>Low</v>
      </c>
    </row>
    <row r="536" spans="1:11" x14ac:dyDescent="0.3">
      <c r="A536">
        <v>34</v>
      </c>
      <c r="B536" s="1" t="s">
        <v>8</v>
      </c>
      <c r="C536">
        <v>28.785</v>
      </c>
      <c r="D536">
        <v>0</v>
      </c>
      <c r="E536" t="s">
        <v>10</v>
      </c>
      <c r="F536" t="s">
        <v>12</v>
      </c>
      <c r="G536" s="2">
        <v>7371.7719999999999</v>
      </c>
      <c r="H536" t="str" cm="1">
        <f t="array" ref="H536">_xlfn.IFS(A536&lt;=30, "Youth", A536&lt;=50, "Adult", A536&gt;50, "Older")</f>
        <v>Adult</v>
      </c>
      <c r="I536" t="str" cm="1">
        <f t="array" ref="I536">_xlfn.IFS(A536&lt;=25,"18-25",A536&lt;=35,"26-35",A536&lt;=45,"36-45",A536&lt;=60,"46-60",A536&gt;60,"60+")</f>
        <v>26-35</v>
      </c>
      <c r="J536" t="str" cm="1">
        <f t="array" ref="J536">_xlfn.IFS(C536&lt;18.5,"Underweight",C536&lt;25,"Normal",C536&lt;30,"Overweight",C536&gt;=30,"Obese")</f>
        <v>Overweight</v>
      </c>
      <c r="K536" t="str" cm="1">
        <f t="array" ref="K536">_xlfn.IFS(G536&lt;10000, "Low", G536&lt;=25000, "Medium", G536&gt;25000, "High")</f>
        <v>Low</v>
      </c>
    </row>
    <row r="537" spans="1:11" x14ac:dyDescent="0.3">
      <c r="A537">
        <v>34</v>
      </c>
      <c r="B537" s="1" t="s">
        <v>8</v>
      </c>
      <c r="C537">
        <v>28.8</v>
      </c>
      <c r="D537">
        <v>0</v>
      </c>
      <c r="E537" t="s">
        <v>10</v>
      </c>
      <c r="F537" t="s">
        <v>14</v>
      </c>
      <c r="G537" s="2">
        <v>7418.5219999999999</v>
      </c>
      <c r="H537" t="str" cm="1">
        <f t="array" ref="H537">_xlfn.IFS(A537&lt;=30, "Youth", A537&lt;=50, "Adult", A537&gt;50, "Older")</f>
        <v>Adult</v>
      </c>
      <c r="I537" t="str" cm="1">
        <f t="array" ref="I537">_xlfn.IFS(A537&lt;=25,"18-25",A537&lt;=35,"26-35",A537&lt;=45,"36-45",A537&lt;=60,"46-60",A537&gt;60,"60+")</f>
        <v>26-35</v>
      </c>
      <c r="J537" t="str" cm="1">
        <f t="array" ref="J537">_xlfn.IFS(C537&lt;18.5,"Underweight",C537&lt;25,"Normal",C537&lt;30,"Overweight",C537&gt;=30,"Obese")</f>
        <v>Overweight</v>
      </c>
      <c r="K537" t="str" cm="1">
        <f t="array" ref="K537">_xlfn.IFS(G537&lt;10000, "Low", G537&lt;=25000, "Medium", G537&gt;25000, "High")</f>
        <v>Low</v>
      </c>
    </row>
    <row r="538" spans="1:11" x14ac:dyDescent="0.3">
      <c r="A538">
        <v>34</v>
      </c>
      <c r="B538" s="1" t="s">
        <v>7</v>
      </c>
      <c r="C538">
        <v>28.82</v>
      </c>
      <c r="D538">
        <v>0</v>
      </c>
      <c r="E538" t="s">
        <v>10</v>
      </c>
      <c r="F538" t="s">
        <v>11</v>
      </c>
      <c r="G538" s="2">
        <v>7419.4778999999999</v>
      </c>
      <c r="H538" t="str" cm="1">
        <f t="array" ref="H538">_xlfn.IFS(A538&lt;=30, "Youth", A538&lt;=50, "Adult", A538&gt;50, "Older")</f>
        <v>Adult</v>
      </c>
      <c r="I538" t="str" cm="1">
        <f t="array" ref="I538">_xlfn.IFS(A538&lt;=25,"18-25",A538&lt;=35,"26-35",A538&lt;=45,"36-45",A538&lt;=60,"46-60",A538&gt;60,"60+")</f>
        <v>26-35</v>
      </c>
      <c r="J538" t="str" cm="1">
        <f t="array" ref="J538">_xlfn.IFS(C538&lt;18.5,"Underweight",C538&lt;25,"Normal",C538&lt;30,"Overweight",C538&gt;=30,"Obese")</f>
        <v>Overweight</v>
      </c>
      <c r="K538" t="str" cm="1">
        <f t="array" ref="K538">_xlfn.IFS(G538&lt;10000, "Low", G538&lt;=25000, "Medium", G538&gt;25000, "High")</f>
        <v>Low</v>
      </c>
    </row>
    <row r="539" spans="1:11" x14ac:dyDescent="0.3">
      <c r="A539">
        <v>34</v>
      </c>
      <c r="B539" s="1" t="s">
        <v>7</v>
      </c>
      <c r="C539">
        <v>28.88</v>
      </c>
      <c r="D539">
        <v>0</v>
      </c>
      <c r="E539" t="s">
        <v>10</v>
      </c>
      <c r="F539" t="s">
        <v>11</v>
      </c>
      <c r="G539" s="2">
        <v>7421.1945500000002</v>
      </c>
      <c r="H539" t="str" cm="1">
        <f t="array" ref="H539">_xlfn.IFS(A539&lt;=30, "Youth", A539&lt;=50, "Adult", A539&gt;50, "Older")</f>
        <v>Adult</v>
      </c>
      <c r="I539" t="str" cm="1">
        <f t="array" ref="I539">_xlfn.IFS(A539&lt;=25,"18-25",A539&lt;=35,"26-35",A539&lt;=45,"36-45",A539&lt;=60,"46-60",A539&gt;60,"60+")</f>
        <v>26-35</v>
      </c>
      <c r="J539" t="str" cm="1">
        <f t="array" ref="J539">_xlfn.IFS(C539&lt;18.5,"Underweight",C539&lt;25,"Normal",C539&lt;30,"Overweight",C539&gt;=30,"Obese")</f>
        <v>Overweight</v>
      </c>
      <c r="K539" t="str" cm="1">
        <f t="array" ref="K539">_xlfn.IFS(G539&lt;10000, "Low", G539&lt;=25000, "Medium", G539&gt;25000, "High")</f>
        <v>Low</v>
      </c>
    </row>
    <row r="540" spans="1:11" x14ac:dyDescent="0.3">
      <c r="A540">
        <v>34</v>
      </c>
      <c r="B540" s="1" t="s">
        <v>7</v>
      </c>
      <c r="C540">
        <v>28.88</v>
      </c>
      <c r="D540">
        <v>0</v>
      </c>
      <c r="E540" t="s">
        <v>10</v>
      </c>
      <c r="F540" t="s">
        <v>12</v>
      </c>
      <c r="G540" s="2">
        <v>7441.0529999999999</v>
      </c>
      <c r="H540" t="str" cm="1">
        <f t="array" ref="H540">_xlfn.IFS(A540&lt;=30, "Youth", A540&lt;=50, "Adult", A540&gt;50, "Older")</f>
        <v>Adult</v>
      </c>
      <c r="I540" t="str" cm="1">
        <f t="array" ref="I540">_xlfn.IFS(A540&lt;=25,"18-25",A540&lt;=35,"26-35",A540&lt;=45,"36-45",A540&lt;=60,"46-60",A540&gt;60,"60+")</f>
        <v>26-35</v>
      </c>
      <c r="J540" t="str" cm="1">
        <f t="array" ref="J540">_xlfn.IFS(C540&lt;18.5,"Underweight",C540&lt;25,"Normal",C540&lt;30,"Overweight",C540&gt;=30,"Obese")</f>
        <v>Overweight</v>
      </c>
      <c r="K540" t="str" cm="1">
        <f t="array" ref="K540">_xlfn.IFS(G540&lt;10000, "Low", G540&lt;=25000, "Medium", G540&gt;25000, "High")</f>
        <v>Low</v>
      </c>
    </row>
    <row r="541" spans="1:11" x14ac:dyDescent="0.3">
      <c r="A541">
        <v>34</v>
      </c>
      <c r="B541" s="1" t="s">
        <v>8</v>
      </c>
      <c r="C541">
        <v>28.88</v>
      </c>
      <c r="D541">
        <v>0</v>
      </c>
      <c r="E541" t="s">
        <v>10</v>
      </c>
      <c r="F541" t="s">
        <v>12</v>
      </c>
      <c r="G541" s="2">
        <v>7441.5010000000002</v>
      </c>
      <c r="H541" t="str" cm="1">
        <f t="array" ref="H541">_xlfn.IFS(A541&lt;=30, "Youth", A541&lt;=50, "Adult", A541&gt;50, "Older")</f>
        <v>Adult</v>
      </c>
      <c r="I541" t="str" cm="1">
        <f t="array" ref="I541">_xlfn.IFS(A541&lt;=25,"18-25",A541&lt;=35,"26-35",A541&lt;=45,"36-45",A541&lt;=60,"46-60",A541&gt;60,"60+")</f>
        <v>26-35</v>
      </c>
      <c r="J541" t="str" cm="1">
        <f t="array" ref="J541">_xlfn.IFS(C541&lt;18.5,"Underweight",C541&lt;25,"Normal",C541&lt;30,"Overweight",C541&gt;=30,"Obese")</f>
        <v>Overweight</v>
      </c>
      <c r="K541" t="str" cm="1">
        <f t="array" ref="K541">_xlfn.IFS(G541&lt;10000, "Low", G541&lt;=25000, "Medium", G541&gt;25000, "High")</f>
        <v>Low</v>
      </c>
    </row>
    <row r="542" spans="1:11" x14ac:dyDescent="0.3">
      <c r="A542">
        <v>34</v>
      </c>
      <c r="B542" s="1" t="s">
        <v>7</v>
      </c>
      <c r="C542">
        <v>28.88</v>
      </c>
      <c r="D542">
        <v>0</v>
      </c>
      <c r="E542" t="s">
        <v>10</v>
      </c>
      <c r="F542" t="s">
        <v>11</v>
      </c>
      <c r="G542" s="2">
        <v>7443.6430499999997</v>
      </c>
      <c r="H542" t="str" cm="1">
        <f t="array" ref="H542">_xlfn.IFS(A542&lt;=30, "Youth", A542&lt;=50, "Adult", A542&gt;50, "Older")</f>
        <v>Adult</v>
      </c>
      <c r="I542" t="str" cm="1">
        <f t="array" ref="I542">_xlfn.IFS(A542&lt;=25,"18-25",A542&lt;=35,"26-35",A542&lt;=45,"36-45",A542&lt;=60,"46-60",A542&gt;60,"60+")</f>
        <v>26-35</v>
      </c>
      <c r="J542" t="str" cm="1">
        <f t="array" ref="J542">_xlfn.IFS(C542&lt;18.5,"Underweight",C542&lt;25,"Normal",C542&lt;30,"Overweight",C542&gt;=30,"Obese")</f>
        <v>Overweight</v>
      </c>
      <c r="K542" t="str" cm="1">
        <f t="array" ref="K542">_xlfn.IFS(G542&lt;10000, "Low", G542&lt;=25000, "Medium", G542&gt;25000, "High")</f>
        <v>Low</v>
      </c>
    </row>
    <row r="543" spans="1:11" x14ac:dyDescent="0.3">
      <c r="A543">
        <v>34</v>
      </c>
      <c r="B543" s="1" t="s">
        <v>7</v>
      </c>
      <c r="C543">
        <v>28.88</v>
      </c>
      <c r="D543">
        <v>0</v>
      </c>
      <c r="E543" t="s">
        <v>10</v>
      </c>
      <c r="F543" t="s">
        <v>12</v>
      </c>
      <c r="G543" s="2">
        <v>7445.9179999999997</v>
      </c>
      <c r="H543" t="str" cm="1">
        <f t="array" ref="H543">_xlfn.IFS(A543&lt;=30, "Youth", A543&lt;=50, "Adult", A543&gt;50, "Older")</f>
        <v>Adult</v>
      </c>
      <c r="I543" t="str" cm="1">
        <f t="array" ref="I543">_xlfn.IFS(A543&lt;=25,"18-25",A543&lt;=35,"26-35",A543&lt;=45,"36-45",A543&lt;=60,"46-60",A543&gt;60,"60+")</f>
        <v>26-35</v>
      </c>
      <c r="J543" t="str" cm="1">
        <f t="array" ref="J543">_xlfn.IFS(C543&lt;18.5,"Underweight",C543&lt;25,"Normal",C543&lt;30,"Overweight",C543&gt;=30,"Obese")</f>
        <v>Overweight</v>
      </c>
      <c r="K543" t="str" cm="1">
        <f t="array" ref="K543">_xlfn.IFS(G543&lt;10000, "Low", G543&lt;=25000, "Medium", G543&gt;25000, "High")</f>
        <v>Low</v>
      </c>
    </row>
    <row r="544" spans="1:11" x14ac:dyDescent="0.3">
      <c r="A544">
        <v>34</v>
      </c>
      <c r="B544" s="1" t="s">
        <v>7</v>
      </c>
      <c r="C544">
        <v>28.88</v>
      </c>
      <c r="D544">
        <v>0</v>
      </c>
      <c r="E544" t="s">
        <v>10</v>
      </c>
      <c r="F544" t="s">
        <v>12</v>
      </c>
      <c r="G544" s="2">
        <v>7448.4039499999999</v>
      </c>
      <c r="H544" t="str" cm="1">
        <f t="array" ref="H544">_xlfn.IFS(A544&lt;=30, "Youth", A544&lt;=50, "Adult", A544&gt;50, "Older")</f>
        <v>Adult</v>
      </c>
      <c r="I544" t="str" cm="1">
        <f t="array" ref="I544">_xlfn.IFS(A544&lt;=25,"18-25",A544&lt;=35,"26-35",A544&lt;=45,"36-45",A544&lt;=60,"46-60",A544&gt;60,"60+")</f>
        <v>26-35</v>
      </c>
      <c r="J544" t="str" cm="1">
        <f t="array" ref="J544">_xlfn.IFS(C544&lt;18.5,"Underweight",C544&lt;25,"Normal",C544&lt;30,"Overweight",C544&gt;=30,"Obese")</f>
        <v>Overweight</v>
      </c>
      <c r="K544" t="str" cm="1">
        <f t="array" ref="K544">_xlfn.IFS(G544&lt;10000, "Low", G544&lt;=25000, "Medium", G544&gt;25000, "High")</f>
        <v>Low</v>
      </c>
    </row>
    <row r="545" spans="1:11" x14ac:dyDescent="0.3">
      <c r="A545">
        <v>34</v>
      </c>
      <c r="B545" s="1" t="s">
        <v>7</v>
      </c>
      <c r="C545">
        <v>28.88</v>
      </c>
      <c r="D545">
        <v>0</v>
      </c>
      <c r="E545" t="s">
        <v>9</v>
      </c>
      <c r="F545" t="s">
        <v>12</v>
      </c>
      <c r="G545" s="2">
        <v>7512.2669999999998</v>
      </c>
      <c r="H545" t="str" cm="1">
        <f t="array" ref="H545">_xlfn.IFS(A545&lt;=30, "Youth", A545&lt;=50, "Adult", A545&gt;50, "Older")</f>
        <v>Adult</v>
      </c>
      <c r="I545" t="str" cm="1">
        <f t="array" ref="I545">_xlfn.IFS(A545&lt;=25,"18-25",A545&lt;=35,"26-35",A545&lt;=45,"36-45",A545&lt;=60,"46-60",A545&gt;60,"60+")</f>
        <v>26-35</v>
      </c>
      <c r="J545" t="str" cm="1">
        <f t="array" ref="J545">_xlfn.IFS(C545&lt;18.5,"Underweight",C545&lt;25,"Normal",C545&lt;30,"Overweight",C545&gt;=30,"Obese")</f>
        <v>Overweight</v>
      </c>
      <c r="K545" t="str" cm="1">
        <f t="array" ref="K545">_xlfn.IFS(G545&lt;10000, "Low", G545&lt;=25000, "Medium", G545&gt;25000, "High")</f>
        <v>Low</v>
      </c>
    </row>
    <row r="546" spans="1:11" x14ac:dyDescent="0.3">
      <c r="A546">
        <v>34</v>
      </c>
      <c r="B546" s="1" t="s">
        <v>8</v>
      </c>
      <c r="C546">
        <v>28.88</v>
      </c>
      <c r="D546">
        <v>0</v>
      </c>
      <c r="E546" t="s">
        <v>10</v>
      </c>
      <c r="F546" t="s">
        <v>13</v>
      </c>
      <c r="G546" s="2">
        <v>7518.0253499999999</v>
      </c>
      <c r="H546" t="str" cm="1">
        <f t="array" ref="H546">_xlfn.IFS(A546&lt;=30, "Youth", A546&lt;=50, "Adult", A546&gt;50, "Older")</f>
        <v>Adult</v>
      </c>
      <c r="I546" t="str" cm="1">
        <f t="array" ref="I546">_xlfn.IFS(A546&lt;=25,"18-25",A546&lt;=35,"26-35",A546&lt;=45,"36-45",A546&lt;=60,"46-60",A546&gt;60,"60+")</f>
        <v>26-35</v>
      </c>
      <c r="J546" t="str" cm="1">
        <f t="array" ref="J546">_xlfn.IFS(C546&lt;18.5,"Underweight",C546&lt;25,"Normal",C546&lt;30,"Overweight",C546&gt;=30,"Obese")</f>
        <v>Overweight</v>
      </c>
      <c r="K546" t="str" cm="1">
        <f t="array" ref="K546">_xlfn.IFS(G546&lt;10000, "Low", G546&lt;=25000, "Medium", G546&gt;25000, "High")</f>
        <v>Low</v>
      </c>
    </row>
    <row r="547" spans="1:11" x14ac:dyDescent="0.3">
      <c r="A547">
        <v>34</v>
      </c>
      <c r="B547" s="1" t="s">
        <v>8</v>
      </c>
      <c r="C547">
        <v>28.9</v>
      </c>
      <c r="D547">
        <v>0</v>
      </c>
      <c r="E547" t="s">
        <v>9</v>
      </c>
      <c r="F547" t="s">
        <v>13</v>
      </c>
      <c r="G547" s="2">
        <v>7526.7064499999997</v>
      </c>
      <c r="H547" t="str" cm="1">
        <f t="array" ref="H547">_xlfn.IFS(A547&lt;=30, "Youth", A547&lt;=50, "Adult", A547&gt;50, "Older")</f>
        <v>Adult</v>
      </c>
      <c r="I547" t="str" cm="1">
        <f t="array" ref="I547">_xlfn.IFS(A547&lt;=25,"18-25",A547&lt;=35,"26-35",A547&lt;=45,"36-45",A547&lt;=60,"46-60",A547&gt;60,"60+")</f>
        <v>26-35</v>
      </c>
      <c r="J547" t="str" cm="1">
        <f t="array" ref="J547">_xlfn.IFS(C547&lt;18.5,"Underweight",C547&lt;25,"Normal",C547&lt;30,"Overweight",C547&gt;=30,"Obese")</f>
        <v>Overweight</v>
      </c>
      <c r="K547" t="str" cm="1">
        <f t="array" ref="K547">_xlfn.IFS(G547&lt;10000, "Low", G547&lt;=25000, "Medium", G547&gt;25000, "High")</f>
        <v>Low</v>
      </c>
    </row>
    <row r="548" spans="1:11" x14ac:dyDescent="0.3">
      <c r="A548">
        <v>34</v>
      </c>
      <c r="B548" s="1" t="s">
        <v>8</v>
      </c>
      <c r="C548">
        <v>28.9</v>
      </c>
      <c r="D548">
        <v>0</v>
      </c>
      <c r="E548" t="s">
        <v>10</v>
      </c>
      <c r="F548" t="s">
        <v>14</v>
      </c>
      <c r="G548" s="2">
        <v>7537.1638999999996</v>
      </c>
      <c r="H548" t="str" cm="1">
        <f t="array" ref="H548">_xlfn.IFS(A548&lt;=30, "Youth", A548&lt;=50, "Adult", A548&gt;50, "Older")</f>
        <v>Adult</v>
      </c>
      <c r="I548" t="str" cm="1">
        <f t="array" ref="I548">_xlfn.IFS(A548&lt;=25,"18-25",A548&lt;=35,"26-35",A548&lt;=45,"36-45",A548&lt;=60,"46-60",A548&gt;60,"60+")</f>
        <v>26-35</v>
      </c>
      <c r="J548" t="str" cm="1">
        <f t="array" ref="J548">_xlfn.IFS(C548&lt;18.5,"Underweight",C548&lt;25,"Normal",C548&lt;30,"Overweight",C548&gt;=30,"Obese")</f>
        <v>Overweight</v>
      </c>
      <c r="K548" t="str" cm="1">
        <f t="array" ref="K548">_xlfn.IFS(G548&lt;10000, "Low", G548&lt;=25000, "Medium", G548&gt;25000, "High")</f>
        <v>Low</v>
      </c>
    </row>
    <row r="549" spans="1:11" x14ac:dyDescent="0.3">
      <c r="A549">
        <v>34</v>
      </c>
      <c r="B549" s="1" t="s">
        <v>7</v>
      </c>
      <c r="C549">
        <v>28.9</v>
      </c>
      <c r="D549">
        <v>0</v>
      </c>
      <c r="E549" t="s">
        <v>10</v>
      </c>
      <c r="F549" t="s">
        <v>11</v>
      </c>
      <c r="G549" s="2">
        <v>7623.518</v>
      </c>
      <c r="H549" t="str" cm="1">
        <f t="array" ref="H549">_xlfn.IFS(A549&lt;=30, "Youth", A549&lt;=50, "Adult", A549&gt;50, "Older")</f>
        <v>Adult</v>
      </c>
      <c r="I549" t="str" cm="1">
        <f t="array" ref="I549">_xlfn.IFS(A549&lt;=25,"18-25",A549&lt;=35,"26-35",A549&lt;=45,"36-45",A549&lt;=60,"46-60",A549&gt;60,"60+")</f>
        <v>26-35</v>
      </c>
      <c r="J549" t="str" cm="1">
        <f t="array" ref="J549">_xlfn.IFS(C549&lt;18.5,"Underweight",C549&lt;25,"Normal",C549&lt;30,"Overweight",C549&gt;=30,"Obese")</f>
        <v>Overweight</v>
      </c>
      <c r="K549" t="str" cm="1">
        <f t="array" ref="K549">_xlfn.IFS(G549&lt;10000, "Low", G549&lt;=25000, "Medium", G549&gt;25000, "High")</f>
        <v>Low</v>
      </c>
    </row>
    <row r="550" spans="1:11" x14ac:dyDescent="0.3">
      <c r="A550">
        <v>35</v>
      </c>
      <c r="B550" s="1" t="s">
        <v>7</v>
      </c>
      <c r="C550">
        <v>28.9</v>
      </c>
      <c r="D550">
        <v>0</v>
      </c>
      <c r="E550" t="s">
        <v>10</v>
      </c>
      <c r="F550" t="s">
        <v>14</v>
      </c>
      <c r="G550" s="2">
        <v>7624.63</v>
      </c>
      <c r="H550" t="str" cm="1">
        <f t="array" ref="H550">_xlfn.IFS(A550&lt;=30, "Youth", A550&lt;=50, "Adult", A550&gt;50, "Older")</f>
        <v>Adult</v>
      </c>
      <c r="I550" t="str" cm="1">
        <f t="array" ref="I550">_xlfn.IFS(A550&lt;=25,"18-25",A550&lt;=35,"26-35",A550&lt;=45,"36-45",A550&lt;=60,"46-60",A550&gt;60,"60+")</f>
        <v>26-35</v>
      </c>
      <c r="J550" t="str" cm="1">
        <f t="array" ref="J550">_xlfn.IFS(C550&lt;18.5,"Underweight",C550&lt;25,"Normal",C550&lt;30,"Overweight",C550&gt;=30,"Obese")</f>
        <v>Overweight</v>
      </c>
      <c r="K550" t="str" cm="1">
        <f t="array" ref="K550">_xlfn.IFS(G550&lt;10000, "Low", G550&lt;=25000, "Medium", G550&gt;25000, "High")</f>
        <v>Low</v>
      </c>
    </row>
    <row r="551" spans="1:11" x14ac:dyDescent="0.3">
      <c r="A551">
        <v>35</v>
      </c>
      <c r="B551" s="1" t="s">
        <v>7</v>
      </c>
      <c r="C551">
        <v>28.9</v>
      </c>
      <c r="D551">
        <v>0</v>
      </c>
      <c r="E551" t="s">
        <v>9</v>
      </c>
      <c r="F551" t="s">
        <v>12</v>
      </c>
      <c r="G551" s="2">
        <v>7626.9930000000004</v>
      </c>
      <c r="H551" t="str" cm="1">
        <f t="array" ref="H551">_xlfn.IFS(A551&lt;=30, "Youth", A551&lt;=50, "Adult", A551&gt;50, "Older")</f>
        <v>Adult</v>
      </c>
      <c r="I551" t="str" cm="1">
        <f t="array" ref="I551">_xlfn.IFS(A551&lt;=25,"18-25",A551&lt;=35,"26-35",A551&lt;=45,"36-45",A551&lt;=60,"46-60",A551&gt;60,"60+")</f>
        <v>26-35</v>
      </c>
      <c r="J551" t="str" cm="1">
        <f t="array" ref="J551">_xlfn.IFS(C551&lt;18.5,"Underweight",C551&lt;25,"Normal",C551&lt;30,"Overweight",C551&gt;=30,"Obese")</f>
        <v>Overweight</v>
      </c>
      <c r="K551" t="str" cm="1">
        <f t="array" ref="K551">_xlfn.IFS(G551&lt;10000, "Low", G551&lt;=25000, "Medium", G551&gt;25000, "High")</f>
        <v>Low</v>
      </c>
    </row>
    <row r="552" spans="1:11" x14ac:dyDescent="0.3">
      <c r="A552">
        <v>35</v>
      </c>
      <c r="B552" s="1" t="s">
        <v>8</v>
      </c>
      <c r="C552">
        <v>28.93</v>
      </c>
      <c r="D552">
        <v>0</v>
      </c>
      <c r="E552" t="s">
        <v>10</v>
      </c>
      <c r="F552" t="s">
        <v>11</v>
      </c>
      <c r="G552" s="2">
        <v>7633.7205999999996</v>
      </c>
      <c r="H552" t="str" cm="1">
        <f t="array" ref="H552">_xlfn.IFS(A552&lt;=30, "Youth", A552&lt;=50, "Adult", A552&gt;50, "Older")</f>
        <v>Adult</v>
      </c>
      <c r="I552" t="str" cm="1">
        <f t="array" ref="I552">_xlfn.IFS(A552&lt;=25,"18-25",A552&lt;=35,"26-35",A552&lt;=45,"36-45",A552&lt;=60,"46-60",A552&gt;60,"60+")</f>
        <v>26-35</v>
      </c>
      <c r="J552" t="str" cm="1">
        <f t="array" ref="J552">_xlfn.IFS(C552&lt;18.5,"Underweight",C552&lt;25,"Normal",C552&lt;30,"Overweight",C552&gt;=30,"Obese")</f>
        <v>Overweight</v>
      </c>
      <c r="K552" t="str" cm="1">
        <f t="array" ref="K552">_xlfn.IFS(G552&lt;10000, "Low", G552&lt;=25000, "Medium", G552&gt;25000, "High")</f>
        <v>Low</v>
      </c>
    </row>
    <row r="553" spans="1:11" x14ac:dyDescent="0.3">
      <c r="A553">
        <v>35</v>
      </c>
      <c r="B553" s="1" t="s">
        <v>7</v>
      </c>
      <c r="C553">
        <v>28.93</v>
      </c>
      <c r="D553">
        <v>0</v>
      </c>
      <c r="E553" t="s">
        <v>10</v>
      </c>
      <c r="F553" t="s">
        <v>12</v>
      </c>
      <c r="G553" s="2">
        <v>7639.4174499999999</v>
      </c>
      <c r="H553" t="str" cm="1">
        <f t="array" ref="H553">_xlfn.IFS(A553&lt;=30, "Youth", A553&lt;=50, "Adult", A553&gt;50, "Older")</f>
        <v>Adult</v>
      </c>
      <c r="I553" t="str" cm="1">
        <f t="array" ref="I553">_xlfn.IFS(A553&lt;=25,"18-25",A553&lt;=35,"26-35",A553&lt;=45,"36-45",A553&lt;=60,"46-60",A553&gt;60,"60+")</f>
        <v>26-35</v>
      </c>
      <c r="J553" t="str" cm="1">
        <f t="array" ref="J553">_xlfn.IFS(C553&lt;18.5,"Underweight",C553&lt;25,"Normal",C553&lt;30,"Overweight",C553&gt;=30,"Obese")</f>
        <v>Overweight</v>
      </c>
      <c r="K553" t="str" cm="1">
        <f t="array" ref="K553">_xlfn.IFS(G553&lt;10000, "Low", G553&lt;=25000, "Medium", G553&gt;25000, "High")</f>
        <v>Low</v>
      </c>
    </row>
    <row r="554" spans="1:11" x14ac:dyDescent="0.3">
      <c r="A554">
        <v>35</v>
      </c>
      <c r="B554" s="1" t="s">
        <v>8</v>
      </c>
      <c r="C554">
        <v>28.93</v>
      </c>
      <c r="D554">
        <v>0</v>
      </c>
      <c r="E554" t="s">
        <v>10</v>
      </c>
      <c r="F554" t="s">
        <v>11</v>
      </c>
      <c r="G554" s="2">
        <v>7640.3091999999997</v>
      </c>
      <c r="H554" t="str" cm="1">
        <f t="array" ref="H554">_xlfn.IFS(A554&lt;=30, "Youth", A554&lt;=50, "Adult", A554&gt;50, "Older")</f>
        <v>Adult</v>
      </c>
      <c r="I554" t="str" cm="1">
        <f t="array" ref="I554">_xlfn.IFS(A554&lt;=25,"18-25",A554&lt;=35,"26-35",A554&lt;=45,"36-45",A554&lt;=60,"46-60",A554&gt;60,"60+")</f>
        <v>26-35</v>
      </c>
      <c r="J554" t="str" cm="1">
        <f t="array" ref="J554">_xlfn.IFS(C554&lt;18.5,"Underweight",C554&lt;25,"Normal",C554&lt;30,"Overweight",C554&gt;=30,"Obese")</f>
        <v>Overweight</v>
      </c>
      <c r="K554" t="str" cm="1">
        <f t="array" ref="K554">_xlfn.IFS(G554&lt;10000, "Low", G554&lt;=25000, "Medium", G554&gt;25000, "High")</f>
        <v>Low</v>
      </c>
    </row>
    <row r="555" spans="1:11" x14ac:dyDescent="0.3">
      <c r="A555">
        <v>35</v>
      </c>
      <c r="B555" s="1" t="s">
        <v>7</v>
      </c>
      <c r="C555">
        <v>28.975000000000001</v>
      </c>
      <c r="D555">
        <v>0</v>
      </c>
      <c r="E555" t="s">
        <v>10</v>
      </c>
      <c r="F555" t="s">
        <v>13</v>
      </c>
      <c r="G555" s="2">
        <v>7650.7737500000003</v>
      </c>
      <c r="H555" t="str" cm="1">
        <f t="array" ref="H555">_xlfn.IFS(A555&lt;=30, "Youth", A555&lt;=50, "Adult", A555&gt;50, "Older")</f>
        <v>Adult</v>
      </c>
      <c r="I555" t="str" cm="1">
        <f t="array" ref="I555">_xlfn.IFS(A555&lt;=25,"18-25",A555&lt;=35,"26-35",A555&lt;=45,"36-45",A555&lt;=60,"46-60",A555&gt;60,"60+")</f>
        <v>26-35</v>
      </c>
      <c r="J555" t="str" cm="1">
        <f t="array" ref="J555">_xlfn.IFS(C555&lt;18.5,"Underweight",C555&lt;25,"Normal",C555&lt;30,"Overweight",C555&gt;=30,"Obese")</f>
        <v>Overweight</v>
      </c>
      <c r="K555" t="str" cm="1">
        <f t="array" ref="K555">_xlfn.IFS(G555&lt;10000, "Low", G555&lt;=25000, "Medium", G555&gt;25000, "High")</f>
        <v>Low</v>
      </c>
    </row>
    <row r="556" spans="1:11" x14ac:dyDescent="0.3">
      <c r="A556">
        <v>35</v>
      </c>
      <c r="B556" s="1" t="s">
        <v>7</v>
      </c>
      <c r="C556">
        <v>28.975000000000001</v>
      </c>
      <c r="D556">
        <v>0</v>
      </c>
      <c r="E556" t="s">
        <v>10</v>
      </c>
      <c r="F556" t="s">
        <v>14</v>
      </c>
      <c r="G556" s="2">
        <v>7682.67</v>
      </c>
      <c r="H556" t="str" cm="1">
        <f t="array" ref="H556">_xlfn.IFS(A556&lt;=30, "Youth", A556&lt;=50, "Adult", A556&gt;50, "Older")</f>
        <v>Adult</v>
      </c>
      <c r="I556" t="str" cm="1">
        <f t="array" ref="I556">_xlfn.IFS(A556&lt;=25,"18-25",A556&lt;=35,"26-35",A556&lt;=45,"36-45",A556&lt;=60,"46-60",A556&gt;60,"60+")</f>
        <v>26-35</v>
      </c>
      <c r="J556" t="str" cm="1">
        <f t="array" ref="J556">_xlfn.IFS(C556&lt;18.5,"Underweight",C556&lt;25,"Normal",C556&lt;30,"Overweight",C556&gt;=30,"Obese")</f>
        <v>Overweight</v>
      </c>
      <c r="K556" t="str" cm="1">
        <f t="array" ref="K556">_xlfn.IFS(G556&lt;10000, "Low", G556&lt;=25000, "Medium", G556&gt;25000, "High")</f>
        <v>Low</v>
      </c>
    </row>
    <row r="557" spans="1:11" x14ac:dyDescent="0.3">
      <c r="A557">
        <v>35</v>
      </c>
      <c r="B557" s="1" t="s">
        <v>8</v>
      </c>
      <c r="C557">
        <v>28.975000000000001</v>
      </c>
      <c r="D557">
        <v>0</v>
      </c>
      <c r="E557" t="s">
        <v>10</v>
      </c>
      <c r="F557" t="s">
        <v>11</v>
      </c>
      <c r="G557" s="2">
        <v>7726.8540000000003</v>
      </c>
      <c r="H557" t="str" cm="1">
        <f t="array" ref="H557">_xlfn.IFS(A557&lt;=30, "Youth", A557&lt;=50, "Adult", A557&gt;50, "Older")</f>
        <v>Adult</v>
      </c>
      <c r="I557" t="str" cm="1">
        <f t="array" ref="I557">_xlfn.IFS(A557&lt;=25,"18-25",A557&lt;=35,"26-35",A557&lt;=45,"36-45",A557&lt;=60,"46-60",A557&gt;60,"60+")</f>
        <v>26-35</v>
      </c>
      <c r="J557" t="str" cm="1">
        <f t="array" ref="J557">_xlfn.IFS(C557&lt;18.5,"Underweight",C557&lt;25,"Normal",C557&lt;30,"Overweight",C557&gt;=30,"Obese")</f>
        <v>Overweight</v>
      </c>
      <c r="K557" t="str" cm="1">
        <f t="array" ref="K557">_xlfn.IFS(G557&lt;10000, "Low", G557&lt;=25000, "Medium", G557&gt;25000, "High")</f>
        <v>Low</v>
      </c>
    </row>
    <row r="558" spans="1:11" x14ac:dyDescent="0.3">
      <c r="A558">
        <v>35</v>
      </c>
      <c r="B558" s="1" t="s">
        <v>8</v>
      </c>
      <c r="C558">
        <v>28.975000000000001</v>
      </c>
      <c r="D558">
        <v>0</v>
      </c>
      <c r="E558" t="s">
        <v>10</v>
      </c>
      <c r="F558" t="s">
        <v>14</v>
      </c>
      <c r="G558" s="2">
        <v>7727.2532000000001</v>
      </c>
      <c r="H558" t="str" cm="1">
        <f t="array" ref="H558">_xlfn.IFS(A558&lt;=30, "Youth", A558&lt;=50, "Adult", A558&gt;50, "Older")</f>
        <v>Adult</v>
      </c>
      <c r="I558" t="str" cm="1">
        <f t="array" ref="I558">_xlfn.IFS(A558&lt;=25,"18-25",A558&lt;=35,"26-35",A558&lt;=45,"36-45",A558&lt;=60,"46-60",A558&gt;60,"60+")</f>
        <v>26-35</v>
      </c>
      <c r="J558" t="str" cm="1">
        <f t="array" ref="J558">_xlfn.IFS(C558&lt;18.5,"Underweight",C558&lt;25,"Normal",C558&lt;30,"Overweight",C558&gt;=30,"Obese")</f>
        <v>Overweight</v>
      </c>
      <c r="K558" t="str" cm="1">
        <f t="array" ref="K558">_xlfn.IFS(G558&lt;10000, "Low", G558&lt;=25000, "Medium", G558&gt;25000, "High")</f>
        <v>Low</v>
      </c>
    </row>
    <row r="559" spans="1:11" x14ac:dyDescent="0.3">
      <c r="A559">
        <v>35</v>
      </c>
      <c r="B559" s="1" t="s">
        <v>8</v>
      </c>
      <c r="C559">
        <v>28.975000000000001</v>
      </c>
      <c r="D559">
        <v>0</v>
      </c>
      <c r="E559" t="s">
        <v>10</v>
      </c>
      <c r="F559" t="s">
        <v>12</v>
      </c>
      <c r="G559" s="2">
        <v>7729.6457499999997</v>
      </c>
      <c r="H559" t="str" cm="1">
        <f t="array" ref="H559">_xlfn.IFS(A559&lt;=30, "Youth", A559&lt;=50, "Adult", A559&gt;50, "Older")</f>
        <v>Adult</v>
      </c>
      <c r="I559" t="str" cm="1">
        <f t="array" ref="I559">_xlfn.IFS(A559&lt;=25,"18-25",A559&lt;=35,"26-35",A559&lt;=45,"36-45",A559&lt;=60,"46-60",A559&gt;60,"60+")</f>
        <v>26-35</v>
      </c>
      <c r="J559" t="str" cm="1">
        <f t="array" ref="J559">_xlfn.IFS(C559&lt;18.5,"Underweight",C559&lt;25,"Normal",C559&lt;30,"Overweight",C559&gt;=30,"Obese")</f>
        <v>Overweight</v>
      </c>
      <c r="K559" t="str" cm="1">
        <f t="array" ref="K559">_xlfn.IFS(G559&lt;10000, "Low", G559&lt;=25000, "Medium", G559&gt;25000, "High")</f>
        <v>Low</v>
      </c>
    </row>
    <row r="560" spans="1:11" x14ac:dyDescent="0.3">
      <c r="A560">
        <v>35</v>
      </c>
      <c r="B560" s="1" t="s">
        <v>7</v>
      </c>
      <c r="C560">
        <v>29</v>
      </c>
      <c r="D560">
        <v>0</v>
      </c>
      <c r="E560" t="s">
        <v>9</v>
      </c>
      <c r="F560" t="s">
        <v>13</v>
      </c>
      <c r="G560" s="2">
        <v>7731.4270999999999</v>
      </c>
      <c r="H560" t="str" cm="1">
        <f t="array" ref="H560">_xlfn.IFS(A560&lt;=30, "Youth", A560&lt;=50, "Adult", A560&gt;50, "Older")</f>
        <v>Adult</v>
      </c>
      <c r="I560" t="str" cm="1">
        <f t="array" ref="I560">_xlfn.IFS(A560&lt;=25,"18-25",A560&lt;=35,"26-35",A560&lt;=45,"36-45",A560&lt;=60,"46-60",A560&gt;60,"60+")</f>
        <v>26-35</v>
      </c>
      <c r="J560" t="str" cm="1">
        <f t="array" ref="J560">_xlfn.IFS(C560&lt;18.5,"Underweight",C560&lt;25,"Normal",C560&lt;30,"Overweight",C560&gt;=30,"Obese")</f>
        <v>Overweight</v>
      </c>
      <c r="K560" t="str" cm="1">
        <f t="array" ref="K560">_xlfn.IFS(G560&lt;10000, "Low", G560&lt;=25000, "Medium", G560&gt;25000, "High")</f>
        <v>Low</v>
      </c>
    </row>
    <row r="561" spans="1:11" x14ac:dyDescent="0.3">
      <c r="A561">
        <v>35</v>
      </c>
      <c r="B561" s="1" t="s">
        <v>8</v>
      </c>
      <c r="C561">
        <v>29</v>
      </c>
      <c r="D561">
        <v>0</v>
      </c>
      <c r="E561" t="s">
        <v>10</v>
      </c>
      <c r="F561" t="s">
        <v>13</v>
      </c>
      <c r="G561" s="2">
        <v>7731.8578500000003</v>
      </c>
      <c r="H561" t="str" cm="1">
        <f t="array" ref="H561">_xlfn.IFS(A561&lt;=30, "Youth", A561&lt;=50, "Adult", A561&gt;50, "Older")</f>
        <v>Adult</v>
      </c>
      <c r="I561" t="str" cm="1">
        <f t="array" ref="I561">_xlfn.IFS(A561&lt;=25,"18-25",A561&lt;=35,"26-35",A561&lt;=45,"36-45",A561&lt;=60,"46-60",A561&gt;60,"60+")</f>
        <v>26-35</v>
      </c>
      <c r="J561" t="str" cm="1">
        <f t="array" ref="J561">_xlfn.IFS(C561&lt;18.5,"Underweight",C561&lt;25,"Normal",C561&lt;30,"Overweight",C561&gt;=30,"Obese")</f>
        <v>Overweight</v>
      </c>
      <c r="K561" t="str" cm="1">
        <f t="array" ref="K561">_xlfn.IFS(G561&lt;10000, "Low", G561&lt;=25000, "Medium", G561&gt;25000, "High")</f>
        <v>Low</v>
      </c>
    </row>
    <row r="562" spans="1:11" x14ac:dyDescent="0.3">
      <c r="A562">
        <v>35</v>
      </c>
      <c r="B562" s="1" t="s">
        <v>7</v>
      </c>
      <c r="C562">
        <v>29.04</v>
      </c>
      <c r="D562">
        <v>0</v>
      </c>
      <c r="E562" t="s">
        <v>10</v>
      </c>
      <c r="F562" t="s">
        <v>13</v>
      </c>
      <c r="G562" s="2">
        <v>7740.3370000000004</v>
      </c>
      <c r="H562" t="str" cm="1">
        <f t="array" ref="H562">_xlfn.IFS(A562&lt;=30, "Youth", A562&lt;=50, "Adult", A562&gt;50, "Older")</f>
        <v>Adult</v>
      </c>
      <c r="I562" t="str" cm="1">
        <f t="array" ref="I562">_xlfn.IFS(A562&lt;=25,"18-25",A562&lt;=35,"26-35",A562&lt;=45,"36-45",A562&lt;=60,"46-60",A562&gt;60,"60+")</f>
        <v>26-35</v>
      </c>
      <c r="J562" t="str" cm="1">
        <f t="array" ref="J562">_xlfn.IFS(C562&lt;18.5,"Underweight",C562&lt;25,"Normal",C562&lt;30,"Overweight",C562&gt;=30,"Obese")</f>
        <v>Overweight</v>
      </c>
      <c r="K562" t="str" cm="1">
        <f t="array" ref="K562">_xlfn.IFS(G562&lt;10000, "Low", G562&lt;=25000, "Medium", G562&gt;25000, "High")</f>
        <v>Low</v>
      </c>
    </row>
    <row r="563" spans="1:11" x14ac:dyDescent="0.3">
      <c r="A563">
        <v>35</v>
      </c>
      <c r="B563" s="1" t="s">
        <v>7</v>
      </c>
      <c r="C563">
        <v>29.07</v>
      </c>
      <c r="D563">
        <v>0</v>
      </c>
      <c r="E563" t="s">
        <v>10</v>
      </c>
      <c r="F563" t="s">
        <v>14</v>
      </c>
      <c r="G563" s="2">
        <v>7742.1098000000002</v>
      </c>
      <c r="H563" t="str" cm="1">
        <f t="array" ref="H563">_xlfn.IFS(A563&lt;=30, "Youth", A563&lt;=50, "Adult", A563&gt;50, "Older")</f>
        <v>Adult</v>
      </c>
      <c r="I563" t="str" cm="1">
        <f t="array" ref="I563">_xlfn.IFS(A563&lt;=25,"18-25",A563&lt;=35,"26-35",A563&lt;=45,"36-45",A563&lt;=60,"46-60",A563&gt;60,"60+")</f>
        <v>26-35</v>
      </c>
      <c r="J563" t="str" cm="1">
        <f t="array" ref="J563">_xlfn.IFS(C563&lt;18.5,"Underweight",C563&lt;25,"Normal",C563&lt;30,"Overweight",C563&gt;=30,"Obese")</f>
        <v>Overweight</v>
      </c>
      <c r="K563" t="str" cm="1">
        <f t="array" ref="K563">_xlfn.IFS(G563&lt;10000, "Low", G563&lt;=25000, "Medium", G563&gt;25000, "High")</f>
        <v>Low</v>
      </c>
    </row>
    <row r="564" spans="1:11" x14ac:dyDescent="0.3">
      <c r="A564">
        <v>35</v>
      </c>
      <c r="B564" s="1" t="s">
        <v>8</v>
      </c>
      <c r="C564">
        <v>29.07</v>
      </c>
      <c r="D564">
        <v>0</v>
      </c>
      <c r="E564" t="s">
        <v>10</v>
      </c>
      <c r="F564" t="s">
        <v>11</v>
      </c>
      <c r="G564" s="2">
        <v>7749.1563999999998</v>
      </c>
      <c r="H564" t="str" cm="1">
        <f t="array" ref="H564">_xlfn.IFS(A564&lt;=30, "Youth", A564&lt;=50, "Adult", A564&gt;50, "Older")</f>
        <v>Adult</v>
      </c>
      <c r="I564" t="str" cm="1">
        <f t="array" ref="I564">_xlfn.IFS(A564&lt;=25,"18-25",A564&lt;=35,"26-35",A564&lt;=45,"36-45",A564&lt;=60,"46-60",A564&gt;60,"60+")</f>
        <v>26-35</v>
      </c>
      <c r="J564" t="str" cm="1">
        <f t="array" ref="J564">_xlfn.IFS(C564&lt;18.5,"Underweight",C564&lt;25,"Normal",C564&lt;30,"Overweight",C564&gt;=30,"Obese")</f>
        <v>Overweight</v>
      </c>
      <c r="K564" t="str" cm="1">
        <f t="array" ref="K564">_xlfn.IFS(G564&lt;10000, "Low", G564&lt;=25000, "Medium", G564&gt;25000, "High")</f>
        <v>Low</v>
      </c>
    </row>
    <row r="565" spans="1:11" x14ac:dyDescent="0.3">
      <c r="A565">
        <v>35</v>
      </c>
      <c r="B565" s="1" t="s">
        <v>8</v>
      </c>
      <c r="C565">
        <v>29.1</v>
      </c>
      <c r="D565">
        <v>0</v>
      </c>
      <c r="E565" t="s">
        <v>10</v>
      </c>
      <c r="F565" t="s">
        <v>12</v>
      </c>
      <c r="G565" s="2">
        <v>7789.6350000000002</v>
      </c>
      <c r="H565" t="str" cm="1">
        <f t="array" ref="H565">_xlfn.IFS(A565&lt;=30, "Youth", A565&lt;=50, "Adult", A565&gt;50, "Older")</f>
        <v>Adult</v>
      </c>
      <c r="I565" t="str" cm="1">
        <f t="array" ref="I565">_xlfn.IFS(A565&lt;=25,"18-25",A565&lt;=35,"26-35",A565&lt;=45,"36-45",A565&lt;=60,"46-60",A565&gt;60,"60+")</f>
        <v>26-35</v>
      </c>
      <c r="J565" t="str" cm="1">
        <f t="array" ref="J565">_xlfn.IFS(C565&lt;18.5,"Underweight",C565&lt;25,"Normal",C565&lt;30,"Overweight",C565&gt;=30,"Obese")</f>
        <v>Overweight</v>
      </c>
      <c r="K565" t="str" cm="1">
        <f t="array" ref="K565">_xlfn.IFS(G565&lt;10000, "Low", G565&lt;=25000, "Medium", G565&gt;25000, "High")</f>
        <v>Low</v>
      </c>
    </row>
    <row r="566" spans="1:11" x14ac:dyDescent="0.3">
      <c r="A566">
        <v>35</v>
      </c>
      <c r="B566" s="1" t="s">
        <v>7</v>
      </c>
      <c r="C566">
        <v>29.15</v>
      </c>
      <c r="D566">
        <v>0</v>
      </c>
      <c r="E566" t="s">
        <v>10</v>
      </c>
      <c r="F566" t="s">
        <v>12</v>
      </c>
      <c r="G566" s="2">
        <v>7804.1605</v>
      </c>
      <c r="H566" t="str" cm="1">
        <f t="array" ref="H566">_xlfn.IFS(A566&lt;=30, "Youth", A566&lt;=50, "Adult", A566&gt;50, "Older")</f>
        <v>Adult</v>
      </c>
      <c r="I566" t="str" cm="1">
        <f t="array" ref="I566">_xlfn.IFS(A566&lt;=25,"18-25",A566&lt;=35,"26-35",A566&lt;=45,"36-45",A566&lt;=60,"46-60",A566&gt;60,"60+")</f>
        <v>26-35</v>
      </c>
      <c r="J566" t="str" cm="1">
        <f t="array" ref="J566">_xlfn.IFS(C566&lt;18.5,"Underweight",C566&lt;25,"Normal",C566&lt;30,"Overweight",C566&gt;=30,"Obese")</f>
        <v>Overweight</v>
      </c>
      <c r="K566" t="str" cm="1">
        <f t="array" ref="K566">_xlfn.IFS(G566&lt;10000, "Low", G566&lt;=25000, "Medium", G566&gt;25000, "High")</f>
        <v>Low</v>
      </c>
    </row>
    <row r="567" spans="1:11" x14ac:dyDescent="0.3">
      <c r="A567">
        <v>35</v>
      </c>
      <c r="B567" s="1" t="s">
        <v>7</v>
      </c>
      <c r="C567">
        <v>29.15</v>
      </c>
      <c r="D567">
        <v>0</v>
      </c>
      <c r="E567" t="s">
        <v>10</v>
      </c>
      <c r="F567" t="s">
        <v>13</v>
      </c>
      <c r="G567" s="2">
        <v>7935.29115</v>
      </c>
      <c r="H567" t="str" cm="1">
        <f t="array" ref="H567">_xlfn.IFS(A567&lt;=30, "Youth", A567&lt;=50, "Adult", A567&gt;50, "Older")</f>
        <v>Adult</v>
      </c>
      <c r="I567" t="str" cm="1">
        <f t="array" ref="I567">_xlfn.IFS(A567&lt;=25,"18-25",A567&lt;=35,"26-35",A567&lt;=45,"36-45",A567&lt;=60,"46-60",A567&gt;60,"60+")</f>
        <v>26-35</v>
      </c>
      <c r="J567" t="str" cm="1">
        <f t="array" ref="J567">_xlfn.IFS(C567&lt;18.5,"Underweight",C567&lt;25,"Normal",C567&lt;30,"Overweight",C567&gt;=30,"Obese")</f>
        <v>Overweight</v>
      </c>
      <c r="K567" t="str" cm="1">
        <f t="array" ref="K567">_xlfn.IFS(G567&lt;10000, "Low", G567&lt;=25000, "Medium", G567&gt;25000, "High")</f>
        <v>Low</v>
      </c>
    </row>
    <row r="568" spans="1:11" x14ac:dyDescent="0.3">
      <c r="A568">
        <v>35</v>
      </c>
      <c r="B568" s="1" t="s">
        <v>7</v>
      </c>
      <c r="C568">
        <v>29.164999999999999</v>
      </c>
      <c r="D568">
        <v>0</v>
      </c>
      <c r="E568" t="s">
        <v>10</v>
      </c>
      <c r="F568" t="s">
        <v>13</v>
      </c>
      <c r="G568" s="2">
        <v>7954.5169999999998</v>
      </c>
      <c r="H568" t="str" cm="1">
        <f t="array" ref="H568">_xlfn.IFS(A568&lt;=30, "Youth", A568&lt;=50, "Adult", A568&gt;50, "Older")</f>
        <v>Adult</v>
      </c>
      <c r="I568" t="str" cm="1">
        <f t="array" ref="I568">_xlfn.IFS(A568&lt;=25,"18-25",A568&lt;=35,"26-35",A568&lt;=45,"36-45",A568&lt;=60,"46-60",A568&gt;60,"60+")</f>
        <v>26-35</v>
      </c>
      <c r="J568" t="str" cm="1">
        <f t="array" ref="J568">_xlfn.IFS(C568&lt;18.5,"Underweight",C568&lt;25,"Normal",C568&lt;30,"Overweight",C568&gt;=30,"Obese")</f>
        <v>Overweight</v>
      </c>
      <c r="K568" t="str" cm="1">
        <f t="array" ref="K568">_xlfn.IFS(G568&lt;10000, "Low", G568&lt;=25000, "Medium", G568&gt;25000, "High")</f>
        <v>Low</v>
      </c>
    </row>
    <row r="569" spans="1:11" x14ac:dyDescent="0.3">
      <c r="A569">
        <v>35</v>
      </c>
      <c r="B569" s="1" t="s">
        <v>8</v>
      </c>
      <c r="C569">
        <v>29.2</v>
      </c>
      <c r="D569">
        <v>0</v>
      </c>
      <c r="E569" t="s">
        <v>10</v>
      </c>
      <c r="F569" t="s">
        <v>13</v>
      </c>
      <c r="G569" s="2">
        <v>7985.8149999999996</v>
      </c>
      <c r="H569" t="str" cm="1">
        <f t="array" ref="H569">_xlfn.IFS(A569&lt;=30, "Youth", A569&lt;=50, "Adult", A569&gt;50, "Older")</f>
        <v>Adult</v>
      </c>
      <c r="I569" t="str" cm="1">
        <f t="array" ref="I569">_xlfn.IFS(A569&lt;=25,"18-25",A569&lt;=35,"26-35",A569&lt;=45,"36-45",A569&lt;=60,"46-60",A569&gt;60,"60+")</f>
        <v>26-35</v>
      </c>
      <c r="J569" t="str" cm="1">
        <f t="array" ref="J569">_xlfn.IFS(C569&lt;18.5,"Underweight",C569&lt;25,"Normal",C569&lt;30,"Overweight",C569&gt;=30,"Obese")</f>
        <v>Overweight</v>
      </c>
      <c r="K569" t="str" cm="1">
        <f t="array" ref="K569">_xlfn.IFS(G569&lt;10000, "Low", G569&lt;=25000, "Medium", G569&gt;25000, "High")</f>
        <v>Low</v>
      </c>
    </row>
    <row r="570" spans="1:11" x14ac:dyDescent="0.3">
      <c r="A570">
        <v>35</v>
      </c>
      <c r="B570" s="1" t="s">
        <v>7</v>
      </c>
      <c r="C570">
        <v>29.26</v>
      </c>
      <c r="D570">
        <v>0</v>
      </c>
      <c r="E570" t="s">
        <v>10</v>
      </c>
      <c r="F570" t="s">
        <v>11</v>
      </c>
      <c r="G570" s="2">
        <v>7986.4752500000004</v>
      </c>
      <c r="H570" t="str" cm="1">
        <f t="array" ref="H570">_xlfn.IFS(A570&lt;=30, "Youth", A570&lt;=50, "Adult", A570&gt;50, "Older")</f>
        <v>Adult</v>
      </c>
      <c r="I570" t="str" cm="1">
        <f t="array" ref="I570">_xlfn.IFS(A570&lt;=25,"18-25",A570&lt;=35,"26-35",A570&lt;=45,"36-45",A570&lt;=60,"46-60",A570&gt;60,"60+")</f>
        <v>26-35</v>
      </c>
      <c r="J570" t="str" cm="1">
        <f t="array" ref="J570">_xlfn.IFS(C570&lt;18.5,"Underweight",C570&lt;25,"Normal",C570&lt;30,"Overweight",C570&gt;=30,"Obese")</f>
        <v>Overweight</v>
      </c>
      <c r="K570" t="str" cm="1">
        <f t="array" ref="K570">_xlfn.IFS(G570&lt;10000, "Low", G570&lt;=25000, "Medium", G570&gt;25000, "High")</f>
        <v>Low</v>
      </c>
    </row>
    <row r="571" spans="1:11" x14ac:dyDescent="0.3">
      <c r="A571">
        <v>35</v>
      </c>
      <c r="B571" s="1" t="s">
        <v>8</v>
      </c>
      <c r="C571">
        <v>29.26</v>
      </c>
      <c r="D571">
        <v>0</v>
      </c>
      <c r="E571" t="s">
        <v>9</v>
      </c>
      <c r="F571" t="s">
        <v>13</v>
      </c>
      <c r="G571" s="2">
        <v>8017.0611500000005</v>
      </c>
      <c r="H571" t="str" cm="1">
        <f t="array" ref="H571">_xlfn.IFS(A571&lt;=30, "Youth", A571&lt;=50, "Adult", A571&gt;50, "Older")</f>
        <v>Adult</v>
      </c>
      <c r="I571" t="str" cm="1">
        <f t="array" ref="I571">_xlfn.IFS(A571&lt;=25,"18-25",A571&lt;=35,"26-35",A571&lt;=45,"36-45",A571&lt;=60,"46-60",A571&gt;60,"60+")</f>
        <v>26-35</v>
      </c>
      <c r="J571" t="str" cm="1">
        <f t="array" ref="J571">_xlfn.IFS(C571&lt;18.5,"Underweight",C571&lt;25,"Normal",C571&lt;30,"Overweight",C571&gt;=30,"Obese")</f>
        <v>Overweight</v>
      </c>
      <c r="K571" t="str" cm="1">
        <f t="array" ref="K571">_xlfn.IFS(G571&lt;10000, "Low", G571&lt;=25000, "Medium", G571&gt;25000, "High")</f>
        <v>Low</v>
      </c>
    </row>
    <row r="572" spans="1:11" x14ac:dyDescent="0.3">
      <c r="A572">
        <v>35</v>
      </c>
      <c r="B572" s="1" t="s">
        <v>7</v>
      </c>
      <c r="C572">
        <v>29.26</v>
      </c>
      <c r="D572">
        <v>0</v>
      </c>
      <c r="E572" t="s">
        <v>10</v>
      </c>
      <c r="F572" t="s">
        <v>11</v>
      </c>
      <c r="G572" s="2">
        <v>8023.1354499999998</v>
      </c>
      <c r="H572" t="str" cm="1">
        <f t="array" ref="H572">_xlfn.IFS(A572&lt;=30, "Youth", A572&lt;=50, "Adult", A572&gt;50, "Older")</f>
        <v>Adult</v>
      </c>
      <c r="I572" t="str" cm="1">
        <f t="array" ref="I572">_xlfn.IFS(A572&lt;=25,"18-25",A572&lt;=35,"26-35",A572&lt;=45,"36-45",A572&lt;=60,"46-60",A572&gt;60,"60+")</f>
        <v>26-35</v>
      </c>
      <c r="J572" t="str" cm="1">
        <f t="array" ref="J572">_xlfn.IFS(C572&lt;18.5,"Underweight",C572&lt;25,"Normal",C572&lt;30,"Overweight",C572&gt;=30,"Obese")</f>
        <v>Overweight</v>
      </c>
      <c r="K572" t="str" cm="1">
        <f t="array" ref="K572">_xlfn.IFS(G572&lt;10000, "Low", G572&lt;=25000, "Medium", G572&gt;25000, "High")</f>
        <v>Low</v>
      </c>
    </row>
    <row r="573" spans="1:11" x14ac:dyDescent="0.3">
      <c r="A573">
        <v>35</v>
      </c>
      <c r="B573" s="1" t="s">
        <v>7</v>
      </c>
      <c r="C573">
        <v>29.26</v>
      </c>
      <c r="D573">
        <v>0</v>
      </c>
      <c r="E573" t="s">
        <v>10</v>
      </c>
      <c r="F573" t="s">
        <v>12</v>
      </c>
      <c r="G573" s="2">
        <v>8026.6665999999996</v>
      </c>
      <c r="H573" t="str" cm="1">
        <f t="array" ref="H573">_xlfn.IFS(A573&lt;=30, "Youth", A573&lt;=50, "Adult", A573&gt;50, "Older")</f>
        <v>Adult</v>
      </c>
      <c r="I573" t="str" cm="1">
        <f t="array" ref="I573">_xlfn.IFS(A573&lt;=25,"18-25",A573&lt;=35,"26-35",A573&lt;=45,"36-45",A573&lt;=60,"46-60",A573&gt;60,"60+")</f>
        <v>26-35</v>
      </c>
      <c r="J573" t="str" cm="1">
        <f t="array" ref="J573">_xlfn.IFS(C573&lt;18.5,"Underweight",C573&lt;25,"Normal",C573&lt;30,"Overweight",C573&gt;=30,"Obese")</f>
        <v>Overweight</v>
      </c>
      <c r="K573" t="str" cm="1">
        <f t="array" ref="K573">_xlfn.IFS(G573&lt;10000, "Low", G573&lt;=25000, "Medium", G573&gt;25000, "High")</f>
        <v>Low</v>
      </c>
    </row>
    <row r="574" spans="1:11" x14ac:dyDescent="0.3">
      <c r="A574">
        <v>35</v>
      </c>
      <c r="B574" s="1" t="s">
        <v>7</v>
      </c>
      <c r="C574">
        <v>29.3</v>
      </c>
      <c r="D574">
        <v>0</v>
      </c>
      <c r="E574" t="s">
        <v>10</v>
      </c>
      <c r="F574" t="s">
        <v>12</v>
      </c>
      <c r="G574" s="2">
        <v>8027.9679999999998</v>
      </c>
      <c r="H574" t="str" cm="1">
        <f t="array" ref="H574">_xlfn.IFS(A574&lt;=30, "Youth", A574&lt;=50, "Adult", A574&gt;50, "Older")</f>
        <v>Adult</v>
      </c>
      <c r="I574" t="str" cm="1">
        <f t="array" ref="I574">_xlfn.IFS(A574&lt;=25,"18-25",A574&lt;=35,"26-35",A574&lt;=45,"36-45",A574&lt;=60,"46-60",A574&gt;60,"60+")</f>
        <v>26-35</v>
      </c>
      <c r="J574" t="str" cm="1">
        <f t="array" ref="J574">_xlfn.IFS(C574&lt;18.5,"Underweight",C574&lt;25,"Normal",C574&lt;30,"Overweight",C574&gt;=30,"Obese")</f>
        <v>Overweight</v>
      </c>
      <c r="K574" t="str" cm="1">
        <f t="array" ref="K574">_xlfn.IFS(G574&lt;10000, "Low", G574&lt;=25000, "Medium", G574&gt;25000, "High")</f>
        <v>Low</v>
      </c>
    </row>
    <row r="575" spans="1:11" x14ac:dyDescent="0.3">
      <c r="A575">
        <v>36</v>
      </c>
      <c r="B575" s="1" t="s">
        <v>7</v>
      </c>
      <c r="C575">
        <v>29.3</v>
      </c>
      <c r="D575">
        <v>1</v>
      </c>
      <c r="E575" t="s">
        <v>10</v>
      </c>
      <c r="F575" t="s">
        <v>14</v>
      </c>
      <c r="G575" s="2">
        <v>8059.6791000000003</v>
      </c>
      <c r="H575" t="str" cm="1">
        <f t="array" ref="H575">_xlfn.IFS(A575&lt;=30, "Youth", A575&lt;=50, "Adult", A575&gt;50, "Older")</f>
        <v>Adult</v>
      </c>
      <c r="I575" t="str" cm="1">
        <f t="array" ref="I575">_xlfn.IFS(A575&lt;=25,"18-25",A575&lt;=35,"26-35",A575&lt;=45,"36-45",A575&lt;=60,"46-60",A575&gt;60,"60+")</f>
        <v>36-45</v>
      </c>
      <c r="J575" t="str" cm="1">
        <f t="array" ref="J575">_xlfn.IFS(C575&lt;18.5,"Underweight",C575&lt;25,"Normal",C575&lt;30,"Overweight",C575&gt;=30,"Obese")</f>
        <v>Overweight</v>
      </c>
      <c r="K575" t="str" cm="1">
        <f t="array" ref="K575">_xlfn.IFS(G575&lt;10000, "Low", G575&lt;=25000, "Medium", G575&gt;25000, "High")</f>
        <v>Low</v>
      </c>
    </row>
    <row r="576" spans="1:11" x14ac:dyDescent="0.3">
      <c r="A576">
        <v>36</v>
      </c>
      <c r="B576" s="1" t="s">
        <v>7</v>
      </c>
      <c r="C576">
        <v>29.355</v>
      </c>
      <c r="D576">
        <v>1</v>
      </c>
      <c r="E576" t="s">
        <v>10</v>
      </c>
      <c r="F576" t="s">
        <v>14</v>
      </c>
      <c r="G576" s="2">
        <v>8062.7640000000001</v>
      </c>
      <c r="H576" t="str" cm="1">
        <f t="array" ref="H576">_xlfn.IFS(A576&lt;=30, "Youth", A576&lt;=50, "Adult", A576&gt;50, "Older")</f>
        <v>Adult</v>
      </c>
      <c r="I576" t="str" cm="1">
        <f t="array" ref="I576">_xlfn.IFS(A576&lt;=25,"18-25",A576&lt;=35,"26-35",A576&lt;=45,"36-45",A576&lt;=60,"46-60",A576&gt;60,"60+")</f>
        <v>36-45</v>
      </c>
      <c r="J576" t="str" cm="1">
        <f t="array" ref="J576">_xlfn.IFS(C576&lt;18.5,"Underweight",C576&lt;25,"Normal",C576&lt;30,"Overweight",C576&gt;=30,"Obese")</f>
        <v>Overweight</v>
      </c>
      <c r="K576" t="str" cm="1">
        <f t="array" ref="K576">_xlfn.IFS(G576&lt;10000, "Low", G576&lt;=25000, "Medium", G576&gt;25000, "High")</f>
        <v>Low</v>
      </c>
    </row>
    <row r="577" spans="1:11" x14ac:dyDescent="0.3">
      <c r="A577">
        <v>36</v>
      </c>
      <c r="B577" s="1" t="s">
        <v>7</v>
      </c>
      <c r="C577">
        <v>29.355</v>
      </c>
      <c r="D577">
        <v>1</v>
      </c>
      <c r="E577" t="s">
        <v>10</v>
      </c>
      <c r="F577" t="s">
        <v>13</v>
      </c>
      <c r="G577" s="2">
        <v>8068.1850000000004</v>
      </c>
      <c r="H577" t="str" cm="1">
        <f t="array" ref="H577">_xlfn.IFS(A577&lt;=30, "Youth", A577&lt;=50, "Adult", A577&gt;50, "Older")</f>
        <v>Adult</v>
      </c>
      <c r="I577" t="str" cm="1">
        <f t="array" ref="I577">_xlfn.IFS(A577&lt;=25,"18-25",A577&lt;=35,"26-35",A577&lt;=45,"36-45",A577&lt;=60,"46-60",A577&gt;60,"60+")</f>
        <v>36-45</v>
      </c>
      <c r="J577" t="str" cm="1">
        <f t="array" ref="J577">_xlfn.IFS(C577&lt;18.5,"Underweight",C577&lt;25,"Normal",C577&lt;30,"Overweight",C577&gt;=30,"Obese")</f>
        <v>Overweight</v>
      </c>
      <c r="K577" t="str" cm="1">
        <f t="array" ref="K577">_xlfn.IFS(G577&lt;10000, "Low", G577&lt;=25000, "Medium", G577&gt;25000, "High")</f>
        <v>Low</v>
      </c>
    </row>
    <row r="578" spans="1:11" x14ac:dyDescent="0.3">
      <c r="A578">
        <v>36</v>
      </c>
      <c r="B578" s="1" t="s">
        <v>8</v>
      </c>
      <c r="C578">
        <v>29.37</v>
      </c>
      <c r="D578">
        <v>1</v>
      </c>
      <c r="E578" t="s">
        <v>10</v>
      </c>
      <c r="F578" t="s">
        <v>12</v>
      </c>
      <c r="G578" s="2">
        <v>8083.9197999999997</v>
      </c>
      <c r="H578" t="str" cm="1">
        <f t="array" ref="H578">_xlfn.IFS(A578&lt;=30, "Youth", A578&lt;=50, "Adult", A578&gt;50, "Older")</f>
        <v>Adult</v>
      </c>
      <c r="I578" t="str" cm="1">
        <f t="array" ref="I578">_xlfn.IFS(A578&lt;=25,"18-25",A578&lt;=35,"26-35",A578&lt;=45,"36-45",A578&lt;=60,"46-60",A578&gt;60,"60+")</f>
        <v>36-45</v>
      </c>
      <c r="J578" t="str" cm="1">
        <f t="array" ref="J578">_xlfn.IFS(C578&lt;18.5,"Underweight",C578&lt;25,"Normal",C578&lt;30,"Overweight",C578&gt;=30,"Obese")</f>
        <v>Overweight</v>
      </c>
      <c r="K578" t="str" cm="1">
        <f t="array" ref="K578">_xlfn.IFS(G578&lt;10000, "Low", G578&lt;=25000, "Medium", G578&gt;25000, "High")</f>
        <v>Low</v>
      </c>
    </row>
    <row r="579" spans="1:11" x14ac:dyDescent="0.3">
      <c r="A579">
        <v>36</v>
      </c>
      <c r="B579" s="1" t="s">
        <v>7</v>
      </c>
      <c r="C579">
        <v>29.37</v>
      </c>
      <c r="D579">
        <v>1</v>
      </c>
      <c r="E579" t="s">
        <v>9</v>
      </c>
      <c r="F579" t="s">
        <v>14</v>
      </c>
      <c r="G579" s="2">
        <v>8116.2688500000004</v>
      </c>
      <c r="H579" t="str" cm="1">
        <f t="array" ref="H579">_xlfn.IFS(A579&lt;=30, "Youth", A579&lt;=50, "Adult", A579&gt;50, "Older")</f>
        <v>Adult</v>
      </c>
      <c r="I579" t="str" cm="1">
        <f t="array" ref="I579">_xlfn.IFS(A579&lt;=25,"18-25",A579&lt;=35,"26-35",A579&lt;=45,"36-45",A579&lt;=60,"46-60",A579&gt;60,"60+")</f>
        <v>36-45</v>
      </c>
      <c r="J579" t="str" cm="1">
        <f t="array" ref="J579">_xlfn.IFS(C579&lt;18.5,"Underweight",C579&lt;25,"Normal",C579&lt;30,"Overweight",C579&gt;=30,"Obese")</f>
        <v>Overweight</v>
      </c>
      <c r="K579" t="str" cm="1">
        <f t="array" ref="K579">_xlfn.IFS(G579&lt;10000, "Low", G579&lt;=25000, "Medium", G579&gt;25000, "High")</f>
        <v>Low</v>
      </c>
    </row>
    <row r="580" spans="1:11" x14ac:dyDescent="0.3">
      <c r="A580">
        <v>36</v>
      </c>
      <c r="B580" s="1" t="s">
        <v>8</v>
      </c>
      <c r="C580">
        <v>29.4</v>
      </c>
      <c r="D580">
        <v>1</v>
      </c>
      <c r="E580" t="s">
        <v>10</v>
      </c>
      <c r="F580" t="s">
        <v>11</v>
      </c>
      <c r="G580" s="2">
        <v>8116.68</v>
      </c>
      <c r="H580" t="str" cm="1">
        <f t="array" ref="H580">_xlfn.IFS(A580&lt;=30, "Youth", A580&lt;=50, "Adult", A580&gt;50, "Older")</f>
        <v>Adult</v>
      </c>
      <c r="I580" t="str" cm="1">
        <f t="array" ref="I580">_xlfn.IFS(A580&lt;=25,"18-25",A580&lt;=35,"26-35",A580&lt;=45,"36-45",A580&lt;=60,"46-60",A580&gt;60,"60+")</f>
        <v>36-45</v>
      </c>
      <c r="J580" t="str" cm="1">
        <f t="array" ref="J580">_xlfn.IFS(C580&lt;18.5,"Underweight",C580&lt;25,"Normal",C580&lt;30,"Overweight",C580&gt;=30,"Obese")</f>
        <v>Overweight</v>
      </c>
      <c r="K580" t="str" cm="1">
        <f t="array" ref="K580">_xlfn.IFS(G580&lt;10000, "Low", G580&lt;=25000, "Medium", G580&gt;25000, "High")</f>
        <v>Low</v>
      </c>
    </row>
    <row r="581" spans="1:11" x14ac:dyDescent="0.3">
      <c r="A581">
        <v>36</v>
      </c>
      <c r="B581" s="1" t="s">
        <v>7</v>
      </c>
      <c r="C581">
        <v>29.45</v>
      </c>
      <c r="D581">
        <v>1</v>
      </c>
      <c r="E581" t="s">
        <v>10</v>
      </c>
      <c r="F581" t="s">
        <v>14</v>
      </c>
      <c r="G581" s="2">
        <v>8124.4084000000003</v>
      </c>
      <c r="H581" t="str" cm="1">
        <f t="array" ref="H581">_xlfn.IFS(A581&lt;=30, "Youth", A581&lt;=50, "Adult", A581&gt;50, "Older")</f>
        <v>Adult</v>
      </c>
      <c r="I581" t="str" cm="1">
        <f t="array" ref="I581">_xlfn.IFS(A581&lt;=25,"18-25",A581&lt;=35,"26-35",A581&lt;=45,"36-45",A581&lt;=60,"46-60",A581&gt;60,"60+")</f>
        <v>36-45</v>
      </c>
      <c r="J581" t="str" cm="1">
        <f t="array" ref="J581">_xlfn.IFS(C581&lt;18.5,"Underweight",C581&lt;25,"Normal",C581&lt;30,"Overweight",C581&gt;=30,"Obese")</f>
        <v>Overweight</v>
      </c>
      <c r="K581" t="str" cm="1">
        <f t="array" ref="K581">_xlfn.IFS(G581&lt;10000, "Low", G581&lt;=25000, "Medium", G581&gt;25000, "High")</f>
        <v>Low</v>
      </c>
    </row>
    <row r="582" spans="1:11" x14ac:dyDescent="0.3">
      <c r="A582">
        <v>36</v>
      </c>
      <c r="B582" s="1" t="s">
        <v>8</v>
      </c>
      <c r="C582">
        <v>29.48</v>
      </c>
      <c r="D582">
        <v>1</v>
      </c>
      <c r="E582" t="s">
        <v>10</v>
      </c>
      <c r="F582" t="s">
        <v>14</v>
      </c>
      <c r="G582" s="2">
        <v>8125.7844999999998</v>
      </c>
      <c r="H582" t="str" cm="1">
        <f t="array" ref="H582">_xlfn.IFS(A582&lt;=30, "Youth", A582&lt;=50, "Adult", A582&gt;50, "Older")</f>
        <v>Adult</v>
      </c>
      <c r="I582" t="str" cm="1">
        <f t="array" ref="I582">_xlfn.IFS(A582&lt;=25,"18-25",A582&lt;=35,"26-35",A582&lt;=45,"36-45",A582&lt;=60,"46-60",A582&gt;60,"60+")</f>
        <v>36-45</v>
      </c>
      <c r="J582" t="str" cm="1">
        <f t="array" ref="J582">_xlfn.IFS(C582&lt;18.5,"Underweight",C582&lt;25,"Normal",C582&lt;30,"Overweight",C582&gt;=30,"Obese")</f>
        <v>Overweight</v>
      </c>
      <c r="K582" t="str" cm="1">
        <f t="array" ref="K582">_xlfn.IFS(G582&lt;10000, "Low", G582&lt;=25000, "Medium", G582&gt;25000, "High")</f>
        <v>Low</v>
      </c>
    </row>
    <row r="583" spans="1:11" x14ac:dyDescent="0.3">
      <c r="A583">
        <v>36</v>
      </c>
      <c r="B583" s="1" t="s">
        <v>8</v>
      </c>
      <c r="C583">
        <v>29.48</v>
      </c>
      <c r="D583">
        <v>1</v>
      </c>
      <c r="E583" t="s">
        <v>10</v>
      </c>
      <c r="F583" t="s">
        <v>12</v>
      </c>
      <c r="G583" s="2">
        <v>8162.7162500000004</v>
      </c>
      <c r="H583" t="str" cm="1">
        <f t="array" ref="H583">_xlfn.IFS(A583&lt;=30, "Youth", A583&lt;=50, "Adult", A583&gt;50, "Older")</f>
        <v>Adult</v>
      </c>
      <c r="I583" t="str" cm="1">
        <f t="array" ref="I583">_xlfn.IFS(A583&lt;=25,"18-25",A583&lt;=35,"26-35",A583&lt;=45,"36-45",A583&lt;=60,"46-60",A583&gt;60,"60+")</f>
        <v>36-45</v>
      </c>
      <c r="J583" t="str" cm="1">
        <f t="array" ref="J583">_xlfn.IFS(C583&lt;18.5,"Underweight",C583&lt;25,"Normal",C583&lt;30,"Overweight",C583&gt;=30,"Obese")</f>
        <v>Overweight</v>
      </c>
      <c r="K583" t="str" cm="1">
        <f t="array" ref="K583">_xlfn.IFS(G583&lt;10000, "Low", G583&lt;=25000, "Medium", G583&gt;25000, "High")</f>
        <v>Low</v>
      </c>
    </row>
    <row r="584" spans="1:11" x14ac:dyDescent="0.3">
      <c r="A584">
        <v>36</v>
      </c>
      <c r="B584" s="1" t="s">
        <v>7</v>
      </c>
      <c r="C584">
        <v>29.48</v>
      </c>
      <c r="D584">
        <v>1</v>
      </c>
      <c r="E584" t="s">
        <v>10</v>
      </c>
      <c r="F584" t="s">
        <v>12</v>
      </c>
      <c r="G584" s="2">
        <v>8211.1002000000008</v>
      </c>
      <c r="H584" t="str" cm="1">
        <f t="array" ref="H584">_xlfn.IFS(A584&lt;=30, "Youth", A584&lt;=50, "Adult", A584&gt;50, "Older")</f>
        <v>Adult</v>
      </c>
      <c r="I584" t="str" cm="1">
        <f t="array" ref="I584">_xlfn.IFS(A584&lt;=25,"18-25",A584&lt;=35,"26-35",A584&lt;=45,"36-45",A584&lt;=60,"46-60",A584&gt;60,"60+")</f>
        <v>36-45</v>
      </c>
      <c r="J584" t="str" cm="1">
        <f t="array" ref="J584">_xlfn.IFS(C584&lt;18.5,"Underweight",C584&lt;25,"Normal",C584&lt;30,"Overweight",C584&gt;=30,"Obese")</f>
        <v>Overweight</v>
      </c>
      <c r="K584" t="str" cm="1">
        <f t="array" ref="K584">_xlfn.IFS(G584&lt;10000, "Low", G584&lt;=25000, "Medium", G584&gt;25000, "High")</f>
        <v>Low</v>
      </c>
    </row>
    <row r="585" spans="1:11" x14ac:dyDescent="0.3">
      <c r="A585">
        <v>36</v>
      </c>
      <c r="B585" s="1" t="s">
        <v>8</v>
      </c>
      <c r="C585">
        <v>29.5</v>
      </c>
      <c r="D585">
        <v>1</v>
      </c>
      <c r="E585" t="s">
        <v>10</v>
      </c>
      <c r="F585" t="s">
        <v>11</v>
      </c>
      <c r="G585" s="2">
        <v>8219.2039000000004</v>
      </c>
      <c r="H585" t="str" cm="1">
        <f t="array" ref="H585">_xlfn.IFS(A585&lt;=30, "Youth", A585&lt;=50, "Adult", A585&gt;50, "Older")</f>
        <v>Adult</v>
      </c>
      <c r="I585" t="str" cm="1">
        <f t="array" ref="I585">_xlfn.IFS(A585&lt;=25,"18-25",A585&lt;=35,"26-35",A585&lt;=45,"36-45",A585&lt;=60,"46-60",A585&gt;60,"60+")</f>
        <v>36-45</v>
      </c>
      <c r="J585" t="str" cm="1">
        <f t="array" ref="J585">_xlfn.IFS(C585&lt;18.5,"Underweight",C585&lt;25,"Normal",C585&lt;30,"Overweight",C585&gt;=30,"Obese")</f>
        <v>Overweight</v>
      </c>
      <c r="K585" t="str" cm="1">
        <f t="array" ref="K585">_xlfn.IFS(G585&lt;10000, "Low", G585&lt;=25000, "Medium", G585&gt;25000, "High")</f>
        <v>Low</v>
      </c>
    </row>
    <row r="586" spans="1:11" x14ac:dyDescent="0.3">
      <c r="A586">
        <v>36</v>
      </c>
      <c r="B586" s="1" t="s">
        <v>7</v>
      </c>
      <c r="C586">
        <v>29.545000000000002</v>
      </c>
      <c r="D586">
        <v>1</v>
      </c>
      <c r="E586" t="s">
        <v>10</v>
      </c>
      <c r="F586" t="s">
        <v>12</v>
      </c>
      <c r="G586" s="2">
        <v>8232.6388000000006</v>
      </c>
      <c r="H586" t="str" cm="1">
        <f t="array" ref="H586">_xlfn.IFS(A586&lt;=30, "Youth", A586&lt;=50, "Adult", A586&gt;50, "Older")</f>
        <v>Adult</v>
      </c>
      <c r="I586" t="str" cm="1">
        <f t="array" ref="I586">_xlfn.IFS(A586&lt;=25,"18-25",A586&lt;=35,"26-35",A586&lt;=45,"36-45",A586&lt;=60,"46-60",A586&gt;60,"60+")</f>
        <v>36-45</v>
      </c>
      <c r="J586" t="str" cm="1">
        <f t="array" ref="J586">_xlfn.IFS(C586&lt;18.5,"Underweight",C586&lt;25,"Normal",C586&lt;30,"Overweight",C586&gt;=30,"Obese")</f>
        <v>Overweight</v>
      </c>
      <c r="K586" t="str" cm="1">
        <f t="array" ref="K586">_xlfn.IFS(G586&lt;10000, "Low", G586&lt;=25000, "Medium", G586&gt;25000, "High")</f>
        <v>Low</v>
      </c>
    </row>
    <row r="587" spans="1:11" x14ac:dyDescent="0.3">
      <c r="A587">
        <v>36</v>
      </c>
      <c r="B587" s="1" t="s">
        <v>8</v>
      </c>
      <c r="C587">
        <v>29.59</v>
      </c>
      <c r="D587">
        <v>1</v>
      </c>
      <c r="E587" t="s">
        <v>10</v>
      </c>
      <c r="F587" t="s">
        <v>14</v>
      </c>
      <c r="G587" s="2">
        <v>8233.0974999999999</v>
      </c>
      <c r="H587" t="str" cm="1">
        <f t="array" ref="H587">_xlfn.IFS(A587&lt;=30, "Youth", A587&lt;=50, "Adult", A587&gt;50, "Older")</f>
        <v>Adult</v>
      </c>
      <c r="I587" t="str" cm="1">
        <f t="array" ref="I587">_xlfn.IFS(A587&lt;=25,"18-25",A587&lt;=35,"26-35",A587&lt;=45,"36-45",A587&lt;=60,"46-60",A587&gt;60,"60+")</f>
        <v>36-45</v>
      </c>
      <c r="J587" t="str" cm="1">
        <f t="array" ref="J587">_xlfn.IFS(C587&lt;18.5,"Underweight",C587&lt;25,"Normal",C587&lt;30,"Overweight",C587&gt;=30,"Obese")</f>
        <v>Overweight</v>
      </c>
      <c r="K587" t="str" cm="1">
        <f t="array" ref="K587">_xlfn.IFS(G587&lt;10000, "Low", G587&lt;=25000, "Medium", G587&gt;25000, "High")</f>
        <v>Low</v>
      </c>
    </row>
    <row r="588" spans="1:11" x14ac:dyDescent="0.3">
      <c r="A588">
        <v>36</v>
      </c>
      <c r="B588" s="1" t="s">
        <v>7</v>
      </c>
      <c r="C588">
        <v>29.59</v>
      </c>
      <c r="D588">
        <v>1</v>
      </c>
      <c r="E588" t="s">
        <v>9</v>
      </c>
      <c r="F588" t="s">
        <v>13</v>
      </c>
      <c r="G588" s="2">
        <v>8240.5895999999993</v>
      </c>
      <c r="H588" t="str" cm="1">
        <f t="array" ref="H588">_xlfn.IFS(A588&lt;=30, "Youth", A588&lt;=50, "Adult", A588&gt;50, "Older")</f>
        <v>Adult</v>
      </c>
      <c r="I588" t="str" cm="1">
        <f t="array" ref="I588">_xlfn.IFS(A588&lt;=25,"18-25",A588&lt;=35,"26-35",A588&lt;=45,"36-45",A588&lt;=60,"46-60",A588&gt;60,"60+")</f>
        <v>36-45</v>
      </c>
      <c r="J588" t="str" cm="1">
        <f t="array" ref="J588">_xlfn.IFS(C588&lt;18.5,"Underweight",C588&lt;25,"Normal",C588&lt;30,"Overweight",C588&gt;=30,"Obese")</f>
        <v>Overweight</v>
      </c>
      <c r="K588" t="str" cm="1">
        <f t="array" ref="K588">_xlfn.IFS(G588&lt;10000, "Low", G588&lt;=25000, "Medium", G588&gt;25000, "High")</f>
        <v>Low</v>
      </c>
    </row>
    <row r="589" spans="1:11" x14ac:dyDescent="0.3">
      <c r="A589">
        <v>36</v>
      </c>
      <c r="B589" s="1" t="s">
        <v>7</v>
      </c>
      <c r="C589">
        <v>29.6</v>
      </c>
      <c r="D589">
        <v>1</v>
      </c>
      <c r="E589" t="s">
        <v>10</v>
      </c>
      <c r="F589" t="s">
        <v>14</v>
      </c>
      <c r="G589" s="2">
        <v>8252.2842999999993</v>
      </c>
      <c r="H589" t="str" cm="1">
        <f t="array" ref="H589">_xlfn.IFS(A589&lt;=30, "Youth", A589&lt;=50, "Adult", A589&gt;50, "Older")</f>
        <v>Adult</v>
      </c>
      <c r="I589" t="str" cm="1">
        <f t="array" ref="I589">_xlfn.IFS(A589&lt;=25,"18-25",A589&lt;=35,"26-35",A589&lt;=45,"36-45",A589&lt;=60,"46-60",A589&gt;60,"60+")</f>
        <v>36-45</v>
      </c>
      <c r="J589" t="str" cm="1">
        <f t="array" ref="J589">_xlfn.IFS(C589&lt;18.5,"Underweight",C589&lt;25,"Normal",C589&lt;30,"Overweight",C589&gt;=30,"Obese")</f>
        <v>Overweight</v>
      </c>
      <c r="K589" t="str" cm="1">
        <f t="array" ref="K589">_xlfn.IFS(G589&lt;10000, "Low", G589&lt;=25000, "Medium", G589&gt;25000, "High")</f>
        <v>Low</v>
      </c>
    </row>
    <row r="590" spans="1:11" x14ac:dyDescent="0.3">
      <c r="A590">
        <v>36</v>
      </c>
      <c r="B590" s="1" t="s">
        <v>7</v>
      </c>
      <c r="C590">
        <v>29.6</v>
      </c>
      <c r="D590">
        <v>1</v>
      </c>
      <c r="E590" t="s">
        <v>10</v>
      </c>
      <c r="F590" t="s">
        <v>12</v>
      </c>
      <c r="G590" s="2">
        <v>8269.0439999999999</v>
      </c>
      <c r="H590" t="str" cm="1">
        <f t="array" ref="H590">_xlfn.IFS(A590&lt;=30, "Youth", A590&lt;=50, "Adult", A590&gt;50, "Older")</f>
        <v>Adult</v>
      </c>
      <c r="I590" t="str" cm="1">
        <f t="array" ref="I590">_xlfn.IFS(A590&lt;=25,"18-25",A590&lt;=35,"26-35",A590&lt;=45,"36-45",A590&lt;=60,"46-60",A590&gt;60,"60+")</f>
        <v>36-45</v>
      </c>
      <c r="J590" t="str" cm="1">
        <f t="array" ref="J590">_xlfn.IFS(C590&lt;18.5,"Underweight",C590&lt;25,"Normal",C590&lt;30,"Overweight",C590&gt;=30,"Obese")</f>
        <v>Overweight</v>
      </c>
      <c r="K590" t="str" cm="1">
        <f t="array" ref="K590">_xlfn.IFS(G590&lt;10000, "Low", G590&lt;=25000, "Medium", G590&gt;25000, "High")</f>
        <v>Low</v>
      </c>
    </row>
    <row r="591" spans="1:11" x14ac:dyDescent="0.3">
      <c r="A591">
        <v>36</v>
      </c>
      <c r="B591" s="1" t="s">
        <v>7</v>
      </c>
      <c r="C591">
        <v>29.6</v>
      </c>
      <c r="D591">
        <v>1</v>
      </c>
      <c r="E591" t="s">
        <v>10</v>
      </c>
      <c r="F591" t="s">
        <v>11</v>
      </c>
      <c r="G591" s="2">
        <v>8277.5229999999992</v>
      </c>
      <c r="H591" t="str" cm="1">
        <f t="array" ref="H591">_xlfn.IFS(A591&lt;=30, "Youth", A591&lt;=50, "Adult", A591&gt;50, "Older")</f>
        <v>Adult</v>
      </c>
      <c r="I591" t="str" cm="1">
        <f t="array" ref="I591">_xlfn.IFS(A591&lt;=25,"18-25",A591&lt;=35,"26-35",A591&lt;=45,"36-45",A591&lt;=60,"46-60",A591&gt;60,"60+")</f>
        <v>36-45</v>
      </c>
      <c r="J591" t="str" cm="1">
        <f t="array" ref="J591">_xlfn.IFS(C591&lt;18.5,"Underweight",C591&lt;25,"Normal",C591&lt;30,"Overweight",C591&gt;=30,"Obese")</f>
        <v>Overweight</v>
      </c>
      <c r="K591" t="str" cm="1">
        <f t="array" ref="K591">_xlfn.IFS(G591&lt;10000, "Low", G591&lt;=25000, "Medium", G591&gt;25000, "High")</f>
        <v>Low</v>
      </c>
    </row>
    <row r="592" spans="1:11" x14ac:dyDescent="0.3">
      <c r="A592">
        <v>36</v>
      </c>
      <c r="B592" s="1" t="s">
        <v>8</v>
      </c>
      <c r="C592">
        <v>29.6</v>
      </c>
      <c r="D592">
        <v>1</v>
      </c>
      <c r="E592" t="s">
        <v>10</v>
      </c>
      <c r="F592" t="s">
        <v>13</v>
      </c>
      <c r="G592" s="2">
        <v>8280.6226999999999</v>
      </c>
      <c r="H592" t="str" cm="1">
        <f t="array" ref="H592">_xlfn.IFS(A592&lt;=30, "Youth", A592&lt;=50, "Adult", A592&gt;50, "Older")</f>
        <v>Adult</v>
      </c>
      <c r="I592" t="str" cm="1">
        <f t="array" ref="I592">_xlfn.IFS(A592&lt;=25,"18-25",A592&lt;=35,"26-35",A592&lt;=45,"36-45",A592&lt;=60,"46-60",A592&gt;60,"60+")</f>
        <v>36-45</v>
      </c>
      <c r="J592" t="str" cm="1">
        <f t="array" ref="J592">_xlfn.IFS(C592&lt;18.5,"Underweight",C592&lt;25,"Normal",C592&lt;30,"Overweight",C592&gt;=30,"Obese")</f>
        <v>Overweight</v>
      </c>
      <c r="K592" t="str" cm="1">
        <f t="array" ref="K592">_xlfn.IFS(G592&lt;10000, "Low", G592&lt;=25000, "Medium", G592&gt;25000, "High")</f>
        <v>Low</v>
      </c>
    </row>
    <row r="593" spans="1:11" x14ac:dyDescent="0.3">
      <c r="A593">
        <v>36</v>
      </c>
      <c r="B593" s="1" t="s">
        <v>8</v>
      </c>
      <c r="C593">
        <v>29.64</v>
      </c>
      <c r="D593">
        <v>1</v>
      </c>
      <c r="E593" t="s">
        <v>10</v>
      </c>
      <c r="F593" t="s">
        <v>12</v>
      </c>
      <c r="G593" s="2">
        <v>8283.6807000000008</v>
      </c>
      <c r="H593" t="str" cm="1">
        <f t="array" ref="H593">_xlfn.IFS(A593&lt;=30, "Youth", A593&lt;=50, "Adult", A593&gt;50, "Older")</f>
        <v>Adult</v>
      </c>
      <c r="I593" t="str" cm="1">
        <f t="array" ref="I593">_xlfn.IFS(A593&lt;=25,"18-25",A593&lt;=35,"26-35",A593&lt;=45,"36-45",A593&lt;=60,"46-60",A593&gt;60,"60+")</f>
        <v>36-45</v>
      </c>
      <c r="J593" t="str" cm="1">
        <f t="array" ref="J593">_xlfn.IFS(C593&lt;18.5,"Underweight",C593&lt;25,"Normal",C593&lt;30,"Overweight",C593&gt;=30,"Obese")</f>
        <v>Overweight</v>
      </c>
      <c r="K593" t="str" cm="1">
        <f t="array" ref="K593">_xlfn.IFS(G593&lt;10000, "Low", G593&lt;=25000, "Medium", G593&gt;25000, "High")</f>
        <v>Low</v>
      </c>
    </row>
    <row r="594" spans="1:11" x14ac:dyDescent="0.3">
      <c r="A594">
        <v>36</v>
      </c>
      <c r="B594" s="1" t="s">
        <v>7</v>
      </c>
      <c r="C594">
        <v>29.64</v>
      </c>
      <c r="D594">
        <v>1</v>
      </c>
      <c r="E594" t="s">
        <v>9</v>
      </c>
      <c r="F594" t="s">
        <v>14</v>
      </c>
      <c r="G594" s="2">
        <v>8302.5356499999998</v>
      </c>
      <c r="H594" t="str" cm="1">
        <f t="array" ref="H594">_xlfn.IFS(A594&lt;=30, "Youth", A594&lt;=50, "Adult", A594&gt;50, "Older")</f>
        <v>Adult</v>
      </c>
      <c r="I594" t="str" cm="1">
        <f t="array" ref="I594">_xlfn.IFS(A594&lt;=25,"18-25",A594&lt;=35,"26-35",A594&lt;=45,"36-45",A594&lt;=60,"46-60",A594&gt;60,"60+")</f>
        <v>36-45</v>
      </c>
      <c r="J594" t="str" cm="1">
        <f t="array" ref="J594">_xlfn.IFS(C594&lt;18.5,"Underweight",C594&lt;25,"Normal",C594&lt;30,"Overweight",C594&gt;=30,"Obese")</f>
        <v>Overweight</v>
      </c>
      <c r="K594" t="str" cm="1">
        <f t="array" ref="K594">_xlfn.IFS(G594&lt;10000, "Low", G594&lt;=25000, "Medium", G594&gt;25000, "High")</f>
        <v>Low</v>
      </c>
    </row>
    <row r="595" spans="1:11" x14ac:dyDescent="0.3">
      <c r="A595">
        <v>36</v>
      </c>
      <c r="B595" s="1" t="s">
        <v>8</v>
      </c>
      <c r="C595">
        <v>29.64</v>
      </c>
      <c r="D595">
        <v>1</v>
      </c>
      <c r="E595" t="s">
        <v>10</v>
      </c>
      <c r="F595" t="s">
        <v>12</v>
      </c>
      <c r="G595" s="2">
        <v>8310.8391499999998</v>
      </c>
      <c r="H595" t="str" cm="1">
        <f t="array" ref="H595">_xlfn.IFS(A595&lt;=30, "Youth", A595&lt;=50, "Adult", A595&gt;50, "Older")</f>
        <v>Adult</v>
      </c>
      <c r="I595" t="str" cm="1">
        <f t="array" ref="I595">_xlfn.IFS(A595&lt;=25,"18-25",A595&lt;=35,"26-35",A595&lt;=45,"36-45",A595&lt;=60,"46-60",A595&gt;60,"60+")</f>
        <v>36-45</v>
      </c>
      <c r="J595" t="str" cm="1">
        <f t="array" ref="J595">_xlfn.IFS(C595&lt;18.5,"Underweight",C595&lt;25,"Normal",C595&lt;30,"Overweight",C595&gt;=30,"Obese")</f>
        <v>Overweight</v>
      </c>
      <c r="K595" t="str" cm="1">
        <f t="array" ref="K595">_xlfn.IFS(G595&lt;10000, "Low", G595&lt;=25000, "Medium", G595&gt;25000, "High")</f>
        <v>Low</v>
      </c>
    </row>
    <row r="596" spans="1:11" x14ac:dyDescent="0.3">
      <c r="A596">
        <v>36</v>
      </c>
      <c r="B596" s="1" t="s">
        <v>7</v>
      </c>
      <c r="C596">
        <v>29.64</v>
      </c>
      <c r="D596">
        <v>1</v>
      </c>
      <c r="E596" t="s">
        <v>10</v>
      </c>
      <c r="F596" t="s">
        <v>14</v>
      </c>
      <c r="G596" s="2">
        <v>8334.4575499999992</v>
      </c>
      <c r="H596" t="str" cm="1">
        <f t="array" ref="H596">_xlfn.IFS(A596&lt;=30, "Youth", A596&lt;=50, "Adult", A596&gt;50, "Older")</f>
        <v>Adult</v>
      </c>
      <c r="I596" t="str" cm="1">
        <f t="array" ref="I596">_xlfn.IFS(A596&lt;=25,"18-25",A596&lt;=35,"26-35",A596&lt;=45,"36-45",A596&lt;=60,"46-60",A596&gt;60,"60+")</f>
        <v>36-45</v>
      </c>
      <c r="J596" t="str" cm="1">
        <f t="array" ref="J596">_xlfn.IFS(C596&lt;18.5,"Underweight",C596&lt;25,"Normal",C596&lt;30,"Overweight",C596&gt;=30,"Obese")</f>
        <v>Overweight</v>
      </c>
      <c r="K596" t="str" cm="1">
        <f t="array" ref="K596">_xlfn.IFS(G596&lt;10000, "Low", G596&lt;=25000, "Medium", G596&gt;25000, "High")</f>
        <v>Low</v>
      </c>
    </row>
    <row r="597" spans="1:11" x14ac:dyDescent="0.3">
      <c r="A597">
        <v>36</v>
      </c>
      <c r="B597" s="1" t="s">
        <v>7</v>
      </c>
      <c r="C597">
        <v>29.64</v>
      </c>
      <c r="D597">
        <v>1</v>
      </c>
      <c r="E597" t="s">
        <v>10</v>
      </c>
      <c r="F597" t="s">
        <v>12</v>
      </c>
      <c r="G597" s="2">
        <v>8334.5895999999993</v>
      </c>
      <c r="H597" t="str" cm="1">
        <f t="array" ref="H597">_xlfn.IFS(A597&lt;=30, "Youth", A597&lt;=50, "Adult", A597&gt;50, "Older")</f>
        <v>Adult</v>
      </c>
      <c r="I597" t="str" cm="1">
        <f t="array" ref="I597">_xlfn.IFS(A597&lt;=25,"18-25",A597&lt;=35,"26-35",A597&lt;=45,"36-45",A597&lt;=60,"46-60",A597&gt;60,"60+")</f>
        <v>36-45</v>
      </c>
      <c r="J597" t="str" cm="1">
        <f t="array" ref="J597">_xlfn.IFS(C597&lt;18.5,"Underweight",C597&lt;25,"Normal",C597&lt;30,"Overweight",C597&gt;=30,"Obese")</f>
        <v>Overweight</v>
      </c>
      <c r="K597" t="str" cm="1">
        <f t="array" ref="K597">_xlfn.IFS(G597&lt;10000, "Low", G597&lt;=25000, "Medium", G597&gt;25000, "High")</f>
        <v>Low</v>
      </c>
    </row>
    <row r="598" spans="1:11" x14ac:dyDescent="0.3">
      <c r="A598">
        <v>36</v>
      </c>
      <c r="B598" s="1" t="s">
        <v>7</v>
      </c>
      <c r="C598">
        <v>29.7</v>
      </c>
      <c r="D598">
        <v>1</v>
      </c>
      <c r="E598" t="s">
        <v>10</v>
      </c>
      <c r="F598" t="s">
        <v>14</v>
      </c>
      <c r="G598" s="2">
        <v>8342.9087500000005</v>
      </c>
      <c r="H598" t="str" cm="1">
        <f t="array" ref="H598">_xlfn.IFS(A598&lt;=30, "Youth", A598&lt;=50, "Adult", A598&gt;50, "Older")</f>
        <v>Adult</v>
      </c>
      <c r="I598" t="str" cm="1">
        <f t="array" ref="I598">_xlfn.IFS(A598&lt;=25,"18-25",A598&lt;=35,"26-35",A598&lt;=45,"36-45",A598&lt;=60,"46-60",A598&gt;60,"60+")</f>
        <v>36-45</v>
      </c>
      <c r="J598" t="str" cm="1">
        <f t="array" ref="J598">_xlfn.IFS(C598&lt;18.5,"Underweight",C598&lt;25,"Normal",C598&lt;30,"Overweight",C598&gt;=30,"Obese")</f>
        <v>Overweight</v>
      </c>
      <c r="K598" t="str" cm="1">
        <f t="array" ref="K598">_xlfn.IFS(G598&lt;10000, "Low", G598&lt;=25000, "Medium", G598&gt;25000, "High")</f>
        <v>Low</v>
      </c>
    </row>
    <row r="599" spans="1:11" x14ac:dyDescent="0.3">
      <c r="A599">
        <v>36</v>
      </c>
      <c r="B599" s="1" t="s">
        <v>8</v>
      </c>
      <c r="C599">
        <v>29.7</v>
      </c>
      <c r="D599">
        <v>1</v>
      </c>
      <c r="E599" t="s">
        <v>10</v>
      </c>
      <c r="F599" t="s">
        <v>11</v>
      </c>
      <c r="G599" s="2">
        <v>8347.1643000000004</v>
      </c>
      <c r="H599" t="str" cm="1">
        <f t="array" ref="H599">_xlfn.IFS(A599&lt;=30, "Youth", A599&lt;=50, "Adult", A599&gt;50, "Older")</f>
        <v>Adult</v>
      </c>
      <c r="I599" t="str" cm="1">
        <f t="array" ref="I599">_xlfn.IFS(A599&lt;=25,"18-25",A599&lt;=35,"26-35",A599&lt;=45,"36-45",A599&lt;=60,"46-60",A599&gt;60,"60+")</f>
        <v>36-45</v>
      </c>
      <c r="J599" t="str" cm="1">
        <f t="array" ref="J599">_xlfn.IFS(C599&lt;18.5,"Underweight",C599&lt;25,"Normal",C599&lt;30,"Overweight",C599&gt;=30,"Obese")</f>
        <v>Overweight</v>
      </c>
      <c r="K599" t="str" cm="1">
        <f t="array" ref="K599">_xlfn.IFS(G599&lt;10000, "Low", G599&lt;=25000, "Medium", G599&gt;25000, "High")</f>
        <v>Low</v>
      </c>
    </row>
    <row r="600" spans="1:11" x14ac:dyDescent="0.3">
      <c r="A600">
        <v>37</v>
      </c>
      <c r="B600" s="1" t="s">
        <v>7</v>
      </c>
      <c r="C600">
        <v>29.7</v>
      </c>
      <c r="D600">
        <v>1</v>
      </c>
      <c r="E600" t="s">
        <v>10</v>
      </c>
      <c r="F600" t="s">
        <v>13</v>
      </c>
      <c r="G600" s="2">
        <v>8410.0468500000006</v>
      </c>
      <c r="H600" t="str" cm="1">
        <f t="array" ref="H600">_xlfn.IFS(A600&lt;=30, "Youth", A600&lt;=50, "Adult", A600&gt;50, "Older")</f>
        <v>Adult</v>
      </c>
      <c r="I600" t="str" cm="1">
        <f t="array" ref="I600">_xlfn.IFS(A600&lt;=25,"18-25",A600&lt;=35,"26-35",A600&lt;=45,"36-45",A600&lt;=60,"46-60",A600&gt;60,"60+")</f>
        <v>36-45</v>
      </c>
      <c r="J600" t="str" cm="1">
        <f t="array" ref="J600">_xlfn.IFS(C600&lt;18.5,"Underweight",C600&lt;25,"Normal",C600&lt;30,"Overweight",C600&gt;=30,"Obese")</f>
        <v>Overweight</v>
      </c>
      <c r="K600" t="str" cm="1">
        <f t="array" ref="K600">_xlfn.IFS(G600&lt;10000, "Low", G600&lt;=25000, "Medium", G600&gt;25000, "High")</f>
        <v>Low</v>
      </c>
    </row>
    <row r="601" spans="1:11" x14ac:dyDescent="0.3">
      <c r="A601">
        <v>37</v>
      </c>
      <c r="B601" s="1" t="s">
        <v>7</v>
      </c>
      <c r="C601">
        <v>29.7</v>
      </c>
      <c r="D601">
        <v>1</v>
      </c>
      <c r="E601" t="s">
        <v>10</v>
      </c>
      <c r="F601" t="s">
        <v>12</v>
      </c>
      <c r="G601" s="2">
        <v>8413.4630500000003</v>
      </c>
      <c r="H601" t="str" cm="1">
        <f t="array" ref="H601">_xlfn.IFS(A601&lt;=30, "Youth", A601&lt;=50, "Adult", A601&gt;50, "Older")</f>
        <v>Adult</v>
      </c>
      <c r="I601" t="str" cm="1">
        <f t="array" ref="I601">_xlfn.IFS(A601&lt;=25,"18-25",A601&lt;=35,"26-35",A601&lt;=45,"36-45",A601&lt;=60,"46-60",A601&gt;60,"60+")</f>
        <v>36-45</v>
      </c>
      <c r="J601" t="str" cm="1">
        <f t="array" ref="J601">_xlfn.IFS(C601&lt;18.5,"Underweight",C601&lt;25,"Normal",C601&lt;30,"Overweight",C601&gt;=30,"Obese")</f>
        <v>Overweight</v>
      </c>
      <c r="K601" t="str" cm="1">
        <f t="array" ref="K601">_xlfn.IFS(G601&lt;10000, "Low", G601&lt;=25000, "Medium", G601&gt;25000, "High")</f>
        <v>Low</v>
      </c>
    </row>
    <row r="602" spans="1:11" x14ac:dyDescent="0.3">
      <c r="A602">
        <v>37</v>
      </c>
      <c r="B602" s="1" t="s">
        <v>8</v>
      </c>
      <c r="C602">
        <v>29.7</v>
      </c>
      <c r="D602">
        <v>1</v>
      </c>
      <c r="E602" t="s">
        <v>10</v>
      </c>
      <c r="F602" t="s">
        <v>13</v>
      </c>
      <c r="G602" s="2">
        <v>8428.0692999999992</v>
      </c>
      <c r="H602" t="str" cm="1">
        <f t="array" ref="H602">_xlfn.IFS(A602&lt;=30, "Youth", A602&lt;=50, "Adult", A602&gt;50, "Older")</f>
        <v>Adult</v>
      </c>
      <c r="I602" t="str" cm="1">
        <f t="array" ref="I602">_xlfn.IFS(A602&lt;=25,"18-25",A602&lt;=35,"26-35",A602&lt;=45,"36-45",A602&lt;=60,"46-60",A602&gt;60,"60+")</f>
        <v>36-45</v>
      </c>
      <c r="J602" t="str" cm="1">
        <f t="array" ref="J602">_xlfn.IFS(C602&lt;18.5,"Underweight",C602&lt;25,"Normal",C602&lt;30,"Overweight",C602&gt;=30,"Obese")</f>
        <v>Overweight</v>
      </c>
      <c r="K602" t="str" cm="1">
        <f t="array" ref="K602">_xlfn.IFS(G602&lt;10000, "Low", G602&lt;=25000, "Medium", G602&gt;25000, "High")</f>
        <v>Low</v>
      </c>
    </row>
    <row r="603" spans="1:11" x14ac:dyDescent="0.3">
      <c r="A603">
        <v>37</v>
      </c>
      <c r="B603" s="1" t="s">
        <v>7</v>
      </c>
      <c r="C603">
        <v>29.734999999999999</v>
      </c>
      <c r="D603">
        <v>1</v>
      </c>
      <c r="E603" t="s">
        <v>10</v>
      </c>
      <c r="F603" t="s">
        <v>11</v>
      </c>
      <c r="G603" s="2">
        <v>8442.6669999999995</v>
      </c>
      <c r="H603" t="str" cm="1">
        <f t="array" ref="H603">_xlfn.IFS(A603&lt;=30, "Youth", A603&lt;=50, "Adult", A603&gt;50, "Older")</f>
        <v>Adult</v>
      </c>
      <c r="I603" t="str" cm="1">
        <f t="array" ref="I603">_xlfn.IFS(A603&lt;=25,"18-25",A603&lt;=35,"26-35",A603&lt;=45,"36-45",A603&lt;=60,"46-60",A603&gt;60,"60+")</f>
        <v>36-45</v>
      </c>
      <c r="J603" t="str" cm="1">
        <f t="array" ref="J603">_xlfn.IFS(C603&lt;18.5,"Underweight",C603&lt;25,"Normal",C603&lt;30,"Overweight",C603&gt;=30,"Obese")</f>
        <v>Overweight</v>
      </c>
      <c r="K603" t="str" cm="1">
        <f t="array" ref="K603">_xlfn.IFS(G603&lt;10000, "Low", G603&lt;=25000, "Medium", G603&gt;25000, "High")</f>
        <v>Low</v>
      </c>
    </row>
    <row r="604" spans="1:11" x14ac:dyDescent="0.3">
      <c r="A604">
        <v>37</v>
      </c>
      <c r="B604" s="1" t="s">
        <v>7</v>
      </c>
      <c r="C604">
        <v>29.734999999999999</v>
      </c>
      <c r="D604">
        <v>1</v>
      </c>
      <c r="E604" t="s">
        <v>10</v>
      </c>
      <c r="F604" t="s">
        <v>12</v>
      </c>
      <c r="G604" s="2">
        <v>8444.4740000000002</v>
      </c>
      <c r="H604" t="str" cm="1">
        <f t="array" ref="H604">_xlfn.IFS(A604&lt;=30, "Youth", A604&lt;=50, "Adult", A604&gt;50, "Older")</f>
        <v>Adult</v>
      </c>
      <c r="I604" t="str" cm="1">
        <f t="array" ref="I604">_xlfn.IFS(A604&lt;=25,"18-25",A604&lt;=35,"26-35",A604&lt;=45,"36-45",A604&lt;=60,"46-60",A604&gt;60,"60+")</f>
        <v>36-45</v>
      </c>
      <c r="J604" t="str" cm="1">
        <f t="array" ref="J604">_xlfn.IFS(C604&lt;18.5,"Underweight",C604&lt;25,"Normal",C604&lt;30,"Overweight",C604&gt;=30,"Obese")</f>
        <v>Overweight</v>
      </c>
      <c r="K604" t="str" cm="1">
        <f t="array" ref="K604">_xlfn.IFS(G604&lt;10000, "Low", G604&lt;=25000, "Medium", G604&gt;25000, "High")</f>
        <v>Low</v>
      </c>
    </row>
    <row r="605" spans="1:11" x14ac:dyDescent="0.3">
      <c r="A605">
        <v>37</v>
      </c>
      <c r="B605" s="1" t="s">
        <v>7</v>
      </c>
      <c r="C605">
        <v>29.734999999999999</v>
      </c>
      <c r="D605">
        <v>1</v>
      </c>
      <c r="E605" t="s">
        <v>9</v>
      </c>
      <c r="F605" t="s">
        <v>13</v>
      </c>
      <c r="G605" s="2">
        <v>8457.8179999999993</v>
      </c>
      <c r="H605" t="str" cm="1">
        <f t="array" ref="H605">_xlfn.IFS(A605&lt;=30, "Youth", A605&lt;=50, "Adult", A605&gt;50, "Older")</f>
        <v>Adult</v>
      </c>
      <c r="I605" t="str" cm="1">
        <f t="array" ref="I605">_xlfn.IFS(A605&lt;=25,"18-25",A605&lt;=35,"26-35",A605&lt;=45,"36-45",A605&lt;=60,"46-60",A605&gt;60,"60+")</f>
        <v>36-45</v>
      </c>
      <c r="J605" t="str" cm="1">
        <f t="array" ref="J605">_xlfn.IFS(C605&lt;18.5,"Underweight",C605&lt;25,"Normal",C605&lt;30,"Overweight",C605&gt;=30,"Obese")</f>
        <v>Overweight</v>
      </c>
      <c r="K605" t="str" cm="1">
        <f t="array" ref="K605">_xlfn.IFS(G605&lt;10000, "Low", G605&lt;=25000, "Medium", G605&gt;25000, "High")</f>
        <v>Low</v>
      </c>
    </row>
    <row r="606" spans="1:11" x14ac:dyDescent="0.3">
      <c r="A606">
        <v>37</v>
      </c>
      <c r="B606" s="1" t="s">
        <v>7</v>
      </c>
      <c r="C606">
        <v>29.734999999999999</v>
      </c>
      <c r="D606">
        <v>1</v>
      </c>
      <c r="E606" t="s">
        <v>10</v>
      </c>
      <c r="F606" t="s">
        <v>12</v>
      </c>
      <c r="G606" s="2">
        <v>8515.7587000000003</v>
      </c>
      <c r="H606" t="str" cm="1">
        <f t="array" ref="H606">_xlfn.IFS(A606&lt;=30, "Youth", A606&lt;=50, "Adult", A606&gt;50, "Older")</f>
        <v>Adult</v>
      </c>
      <c r="I606" t="str" cm="1">
        <f t="array" ref="I606">_xlfn.IFS(A606&lt;=25,"18-25",A606&lt;=35,"26-35",A606&lt;=45,"36-45",A606&lt;=60,"46-60",A606&gt;60,"60+")</f>
        <v>36-45</v>
      </c>
      <c r="J606" t="str" cm="1">
        <f t="array" ref="J606">_xlfn.IFS(C606&lt;18.5,"Underweight",C606&lt;25,"Normal",C606&lt;30,"Overweight",C606&gt;=30,"Obese")</f>
        <v>Overweight</v>
      </c>
      <c r="K606" t="str" cm="1">
        <f t="array" ref="K606">_xlfn.IFS(G606&lt;10000, "Low", G606&lt;=25000, "Medium", G606&gt;25000, "High")</f>
        <v>Low</v>
      </c>
    </row>
    <row r="607" spans="1:11" x14ac:dyDescent="0.3">
      <c r="A607">
        <v>37</v>
      </c>
      <c r="B607" s="1" t="s">
        <v>7</v>
      </c>
      <c r="C607">
        <v>29.8</v>
      </c>
      <c r="D607">
        <v>1</v>
      </c>
      <c r="E607" t="s">
        <v>10</v>
      </c>
      <c r="F607" t="s">
        <v>14</v>
      </c>
      <c r="G607" s="2">
        <v>8516.8289999999997</v>
      </c>
      <c r="H607" t="str" cm="1">
        <f t="array" ref="H607">_xlfn.IFS(A607&lt;=30, "Youth", A607&lt;=50, "Adult", A607&gt;50, "Older")</f>
        <v>Adult</v>
      </c>
      <c r="I607" t="str" cm="1">
        <f t="array" ref="I607">_xlfn.IFS(A607&lt;=25,"18-25",A607&lt;=35,"26-35",A607&lt;=45,"36-45",A607&lt;=60,"46-60",A607&gt;60,"60+")</f>
        <v>36-45</v>
      </c>
      <c r="J607" t="str" cm="1">
        <f t="array" ref="J607">_xlfn.IFS(C607&lt;18.5,"Underweight",C607&lt;25,"Normal",C607&lt;30,"Overweight",C607&gt;=30,"Obese")</f>
        <v>Overweight</v>
      </c>
      <c r="K607" t="str" cm="1">
        <f t="array" ref="K607">_xlfn.IFS(G607&lt;10000, "Low", G607&lt;=25000, "Medium", G607&gt;25000, "High")</f>
        <v>Low</v>
      </c>
    </row>
    <row r="608" spans="1:11" x14ac:dyDescent="0.3">
      <c r="A608">
        <v>37</v>
      </c>
      <c r="B608" s="1" t="s">
        <v>7</v>
      </c>
      <c r="C608">
        <v>29.8</v>
      </c>
      <c r="D608">
        <v>1</v>
      </c>
      <c r="E608" t="s">
        <v>9</v>
      </c>
      <c r="F608" t="s">
        <v>13</v>
      </c>
      <c r="G608" s="2">
        <v>8520.0259999999998</v>
      </c>
      <c r="H608" t="str" cm="1">
        <f t="array" ref="H608">_xlfn.IFS(A608&lt;=30, "Youth", A608&lt;=50, "Adult", A608&gt;50, "Older")</f>
        <v>Adult</v>
      </c>
      <c r="I608" t="str" cm="1">
        <f t="array" ref="I608">_xlfn.IFS(A608&lt;=25,"18-25",A608&lt;=35,"26-35",A608&lt;=45,"36-45",A608&lt;=60,"46-60",A608&gt;60,"60+")</f>
        <v>36-45</v>
      </c>
      <c r="J608" t="str" cm="1">
        <f t="array" ref="J608">_xlfn.IFS(C608&lt;18.5,"Underweight",C608&lt;25,"Normal",C608&lt;30,"Overweight",C608&gt;=30,"Obese")</f>
        <v>Overweight</v>
      </c>
      <c r="K608" t="str" cm="1">
        <f t="array" ref="K608">_xlfn.IFS(G608&lt;10000, "Low", G608&lt;=25000, "Medium", G608&gt;25000, "High")</f>
        <v>Low</v>
      </c>
    </row>
    <row r="609" spans="1:11" x14ac:dyDescent="0.3">
      <c r="A609">
        <v>37</v>
      </c>
      <c r="B609" s="1" t="s">
        <v>8</v>
      </c>
      <c r="C609">
        <v>29.8</v>
      </c>
      <c r="D609">
        <v>1</v>
      </c>
      <c r="E609" t="s">
        <v>10</v>
      </c>
      <c r="F609" t="s">
        <v>14</v>
      </c>
      <c r="G609" s="2">
        <v>8522.0030000000006</v>
      </c>
      <c r="H609" t="str" cm="1">
        <f t="array" ref="H609">_xlfn.IFS(A609&lt;=30, "Youth", A609&lt;=50, "Adult", A609&gt;50, "Older")</f>
        <v>Adult</v>
      </c>
      <c r="I609" t="str" cm="1">
        <f t="array" ref="I609">_xlfn.IFS(A609&lt;=25,"18-25",A609&lt;=35,"26-35",A609&lt;=45,"36-45",A609&lt;=60,"46-60",A609&gt;60,"60+")</f>
        <v>36-45</v>
      </c>
      <c r="J609" t="str" cm="1">
        <f t="array" ref="J609">_xlfn.IFS(C609&lt;18.5,"Underweight",C609&lt;25,"Normal",C609&lt;30,"Overweight",C609&gt;=30,"Obese")</f>
        <v>Overweight</v>
      </c>
      <c r="K609" t="str" cm="1">
        <f t="array" ref="K609">_xlfn.IFS(G609&lt;10000, "Low", G609&lt;=25000, "Medium", G609&gt;25000, "High")</f>
        <v>Low</v>
      </c>
    </row>
    <row r="610" spans="1:11" x14ac:dyDescent="0.3">
      <c r="A610">
        <v>37</v>
      </c>
      <c r="B610" s="1" t="s">
        <v>8</v>
      </c>
      <c r="C610">
        <v>29.8</v>
      </c>
      <c r="D610">
        <v>1</v>
      </c>
      <c r="E610" t="s">
        <v>9</v>
      </c>
      <c r="F610" t="s">
        <v>11</v>
      </c>
      <c r="G610" s="2">
        <v>8527.5319999999992</v>
      </c>
      <c r="H610" t="str" cm="1">
        <f t="array" ref="H610">_xlfn.IFS(A610&lt;=30, "Youth", A610&lt;=50, "Adult", A610&gt;50, "Older")</f>
        <v>Adult</v>
      </c>
      <c r="I610" t="str" cm="1">
        <f t="array" ref="I610">_xlfn.IFS(A610&lt;=25,"18-25",A610&lt;=35,"26-35",A610&lt;=45,"36-45",A610&lt;=60,"46-60",A610&gt;60,"60+")</f>
        <v>36-45</v>
      </c>
      <c r="J610" t="str" cm="1">
        <f t="array" ref="J610">_xlfn.IFS(C610&lt;18.5,"Underweight",C610&lt;25,"Normal",C610&lt;30,"Overweight",C610&gt;=30,"Obese")</f>
        <v>Overweight</v>
      </c>
      <c r="K610" t="str" cm="1">
        <f t="array" ref="K610">_xlfn.IFS(G610&lt;10000, "Low", G610&lt;=25000, "Medium", G610&gt;25000, "High")</f>
        <v>Low</v>
      </c>
    </row>
    <row r="611" spans="1:11" x14ac:dyDescent="0.3">
      <c r="A611">
        <v>37</v>
      </c>
      <c r="B611" s="1" t="s">
        <v>7</v>
      </c>
      <c r="C611">
        <v>29.81</v>
      </c>
      <c r="D611">
        <v>1</v>
      </c>
      <c r="E611" t="s">
        <v>10</v>
      </c>
      <c r="F611" t="s">
        <v>12</v>
      </c>
      <c r="G611" s="2">
        <v>8534.6718000000001</v>
      </c>
      <c r="H611" t="str" cm="1">
        <f t="array" ref="H611">_xlfn.IFS(A611&lt;=30, "Youth", A611&lt;=50, "Adult", A611&gt;50, "Older")</f>
        <v>Adult</v>
      </c>
      <c r="I611" t="str" cm="1">
        <f t="array" ref="I611">_xlfn.IFS(A611&lt;=25,"18-25",A611&lt;=35,"26-35",A611&lt;=45,"36-45",A611&lt;=60,"46-60",A611&gt;60,"60+")</f>
        <v>36-45</v>
      </c>
      <c r="J611" t="str" cm="1">
        <f t="array" ref="J611">_xlfn.IFS(C611&lt;18.5,"Underweight",C611&lt;25,"Normal",C611&lt;30,"Overweight",C611&gt;=30,"Obese")</f>
        <v>Overweight</v>
      </c>
      <c r="K611" t="str" cm="1">
        <f t="array" ref="K611">_xlfn.IFS(G611&lt;10000, "Low", G611&lt;=25000, "Medium", G611&gt;25000, "High")</f>
        <v>Low</v>
      </c>
    </row>
    <row r="612" spans="1:11" x14ac:dyDescent="0.3">
      <c r="A612">
        <v>37</v>
      </c>
      <c r="B612" s="1" t="s">
        <v>7</v>
      </c>
      <c r="C612">
        <v>29.81</v>
      </c>
      <c r="D612">
        <v>1</v>
      </c>
      <c r="E612" t="s">
        <v>10</v>
      </c>
      <c r="F612" t="s">
        <v>11</v>
      </c>
      <c r="G612" s="2">
        <v>8538.28845</v>
      </c>
      <c r="H612" t="str" cm="1">
        <f t="array" ref="H612">_xlfn.IFS(A612&lt;=30, "Youth", A612&lt;=50, "Adult", A612&gt;50, "Older")</f>
        <v>Adult</v>
      </c>
      <c r="I612" t="str" cm="1">
        <f t="array" ref="I612">_xlfn.IFS(A612&lt;=25,"18-25",A612&lt;=35,"26-35",A612&lt;=45,"36-45",A612&lt;=60,"46-60",A612&gt;60,"60+")</f>
        <v>36-45</v>
      </c>
      <c r="J612" t="str" cm="1">
        <f t="array" ref="J612">_xlfn.IFS(C612&lt;18.5,"Underweight",C612&lt;25,"Normal",C612&lt;30,"Overweight",C612&gt;=30,"Obese")</f>
        <v>Overweight</v>
      </c>
      <c r="K612" t="str" cm="1">
        <f t="array" ref="K612">_xlfn.IFS(G612&lt;10000, "Low", G612&lt;=25000, "Medium", G612&gt;25000, "High")</f>
        <v>Low</v>
      </c>
    </row>
    <row r="613" spans="1:11" x14ac:dyDescent="0.3">
      <c r="A613">
        <v>37</v>
      </c>
      <c r="B613" s="1" t="s">
        <v>7</v>
      </c>
      <c r="C613">
        <v>29.81</v>
      </c>
      <c r="D613">
        <v>1</v>
      </c>
      <c r="E613" t="s">
        <v>10</v>
      </c>
      <c r="F613" t="s">
        <v>14</v>
      </c>
      <c r="G613" s="2">
        <v>8539.6710000000003</v>
      </c>
      <c r="H613" t="str" cm="1">
        <f t="array" ref="H613">_xlfn.IFS(A613&lt;=30, "Youth", A613&lt;=50, "Adult", A613&gt;50, "Older")</f>
        <v>Adult</v>
      </c>
      <c r="I613" t="str" cm="1">
        <f t="array" ref="I613">_xlfn.IFS(A613&lt;=25,"18-25",A613&lt;=35,"26-35",A613&lt;=45,"36-45",A613&lt;=60,"46-60",A613&gt;60,"60+")</f>
        <v>36-45</v>
      </c>
      <c r="J613" t="str" cm="1">
        <f t="array" ref="J613">_xlfn.IFS(C613&lt;18.5,"Underweight",C613&lt;25,"Normal",C613&lt;30,"Overweight",C613&gt;=30,"Obese")</f>
        <v>Overweight</v>
      </c>
      <c r="K613" t="str" cm="1">
        <f t="array" ref="K613">_xlfn.IFS(G613&lt;10000, "Low", G613&lt;=25000, "Medium", G613&gt;25000, "High")</f>
        <v>Low</v>
      </c>
    </row>
    <row r="614" spans="1:11" x14ac:dyDescent="0.3">
      <c r="A614">
        <v>37</v>
      </c>
      <c r="B614" s="1" t="s">
        <v>7</v>
      </c>
      <c r="C614">
        <v>29.81</v>
      </c>
      <c r="D614">
        <v>1</v>
      </c>
      <c r="E614" t="s">
        <v>10</v>
      </c>
      <c r="F614" t="s">
        <v>14</v>
      </c>
      <c r="G614" s="2">
        <v>8547.6913000000004</v>
      </c>
      <c r="H614" t="str" cm="1">
        <f t="array" ref="H614">_xlfn.IFS(A614&lt;=30, "Youth", A614&lt;=50, "Adult", A614&gt;50, "Older")</f>
        <v>Adult</v>
      </c>
      <c r="I614" t="str" cm="1">
        <f t="array" ref="I614">_xlfn.IFS(A614&lt;=25,"18-25",A614&lt;=35,"26-35",A614&lt;=45,"36-45",A614&lt;=60,"46-60",A614&gt;60,"60+")</f>
        <v>36-45</v>
      </c>
      <c r="J614" t="str" cm="1">
        <f t="array" ref="J614">_xlfn.IFS(C614&lt;18.5,"Underweight",C614&lt;25,"Normal",C614&lt;30,"Overweight",C614&gt;=30,"Obese")</f>
        <v>Overweight</v>
      </c>
      <c r="K614" t="str" cm="1">
        <f t="array" ref="K614">_xlfn.IFS(G614&lt;10000, "Low", G614&lt;=25000, "Medium", G614&gt;25000, "High")</f>
        <v>Low</v>
      </c>
    </row>
    <row r="615" spans="1:11" x14ac:dyDescent="0.3">
      <c r="A615">
        <v>37</v>
      </c>
      <c r="B615" s="1" t="s">
        <v>7</v>
      </c>
      <c r="C615">
        <v>29.83</v>
      </c>
      <c r="D615">
        <v>1</v>
      </c>
      <c r="E615" t="s">
        <v>10</v>
      </c>
      <c r="F615" t="s">
        <v>12</v>
      </c>
      <c r="G615" s="2">
        <v>8551.3469999999998</v>
      </c>
      <c r="H615" t="str" cm="1">
        <f t="array" ref="H615">_xlfn.IFS(A615&lt;=30, "Youth", A615&lt;=50, "Adult", A615&gt;50, "Older")</f>
        <v>Adult</v>
      </c>
      <c r="I615" t="str" cm="1">
        <f t="array" ref="I615">_xlfn.IFS(A615&lt;=25,"18-25",A615&lt;=35,"26-35",A615&lt;=45,"36-45",A615&lt;=60,"46-60",A615&gt;60,"60+")</f>
        <v>36-45</v>
      </c>
      <c r="J615" t="str" cm="1">
        <f t="array" ref="J615">_xlfn.IFS(C615&lt;18.5,"Underweight",C615&lt;25,"Normal",C615&lt;30,"Overweight",C615&gt;=30,"Obese")</f>
        <v>Overweight</v>
      </c>
      <c r="K615" t="str" cm="1">
        <f t="array" ref="K615">_xlfn.IFS(G615&lt;10000, "Low", G615&lt;=25000, "Medium", G615&gt;25000, "High")</f>
        <v>Low</v>
      </c>
    </row>
    <row r="616" spans="1:11" x14ac:dyDescent="0.3">
      <c r="A616">
        <v>37</v>
      </c>
      <c r="B616" s="1" t="s">
        <v>7</v>
      </c>
      <c r="C616">
        <v>29.83</v>
      </c>
      <c r="D616">
        <v>1</v>
      </c>
      <c r="E616" t="s">
        <v>9</v>
      </c>
      <c r="F616" t="s">
        <v>12</v>
      </c>
      <c r="G616" s="2">
        <v>8556.9069999999992</v>
      </c>
      <c r="H616" t="str" cm="1">
        <f t="array" ref="H616">_xlfn.IFS(A616&lt;=30, "Youth", A616&lt;=50, "Adult", A616&gt;50, "Older")</f>
        <v>Adult</v>
      </c>
      <c r="I616" t="str" cm="1">
        <f t="array" ref="I616">_xlfn.IFS(A616&lt;=25,"18-25",A616&lt;=35,"26-35",A616&lt;=45,"36-45",A616&lt;=60,"46-60",A616&gt;60,"60+")</f>
        <v>36-45</v>
      </c>
      <c r="J616" t="str" cm="1">
        <f t="array" ref="J616">_xlfn.IFS(C616&lt;18.5,"Underweight",C616&lt;25,"Normal",C616&lt;30,"Overweight",C616&gt;=30,"Obese")</f>
        <v>Overweight</v>
      </c>
      <c r="K616" t="str" cm="1">
        <f t="array" ref="K616">_xlfn.IFS(G616&lt;10000, "Low", G616&lt;=25000, "Medium", G616&gt;25000, "High")</f>
        <v>Low</v>
      </c>
    </row>
    <row r="617" spans="1:11" x14ac:dyDescent="0.3">
      <c r="A617">
        <v>37</v>
      </c>
      <c r="B617" s="1" t="s">
        <v>7</v>
      </c>
      <c r="C617">
        <v>29.83</v>
      </c>
      <c r="D617">
        <v>1</v>
      </c>
      <c r="E617" t="s">
        <v>10</v>
      </c>
      <c r="F617" t="s">
        <v>14</v>
      </c>
      <c r="G617" s="2">
        <v>8569.8618000000006</v>
      </c>
      <c r="H617" t="str" cm="1">
        <f t="array" ref="H617">_xlfn.IFS(A617&lt;=30, "Youth", A617&lt;=50, "Adult", A617&gt;50, "Older")</f>
        <v>Adult</v>
      </c>
      <c r="I617" t="str" cm="1">
        <f t="array" ref="I617">_xlfn.IFS(A617&lt;=25,"18-25",A617&lt;=35,"26-35",A617&lt;=45,"36-45",A617&lt;=60,"46-60",A617&gt;60,"60+")</f>
        <v>36-45</v>
      </c>
      <c r="J617" t="str" cm="1">
        <f t="array" ref="J617">_xlfn.IFS(C617&lt;18.5,"Underweight",C617&lt;25,"Normal",C617&lt;30,"Overweight",C617&gt;=30,"Obese")</f>
        <v>Overweight</v>
      </c>
      <c r="K617" t="str" cm="1">
        <f t="array" ref="K617">_xlfn.IFS(G617&lt;10000, "Low", G617&lt;=25000, "Medium", G617&gt;25000, "High")</f>
        <v>Low</v>
      </c>
    </row>
    <row r="618" spans="1:11" x14ac:dyDescent="0.3">
      <c r="A618">
        <v>37</v>
      </c>
      <c r="B618" s="1" t="s">
        <v>8</v>
      </c>
      <c r="C618">
        <v>29.83</v>
      </c>
      <c r="D618">
        <v>1</v>
      </c>
      <c r="E618" t="s">
        <v>9</v>
      </c>
      <c r="F618" t="s">
        <v>11</v>
      </c>
      <c r="G618" s="2">
        <v>8582.3022999999994</v>
      </c>
      <c r="H618" t="str" cm="1">
        <f t="array" ref="H618">_xlfn.IFS(A618&lt;=30, "Youth", A618&lt;=50, "Adult", A618&gt;50, "Older")</f>
        <v>Adult</v>
      </c>
      <c r="I618" t="str" cm="1">
        <f t="array" ref="I618">_xlfn.IFS(A618&lt;=25,"18-25",A618&lt;=35,"26-35",A618&lt;=45,"36-45",A618&lt;=60,"46-60",A618&gt;60,"60+")</f>
        <v>36-45</v>
      </c>
      <c r="J618" t="str" cm="1">
        <f t="array" ref="J618">_xlfn.IFS(C618&lt;18.5,"Underweight",C618&lt;25,"Normal",C618&lt;30,"Overweight",C618&gt;=30,"Obese")</f>
        <v>Overweight</v>
      </c>
      <c r="K618" t="str" cm="1">
        <f t="array" ref="K618">_xlfn.IFS(G618&lt;10000, "Low", G618&lt;=25000, "Medium", G618&gt;25000, "High")</f>
        <v>Low</v>
      </c>
    </row>
    <row r="619" spans="1:11" x14ac:dyDescent="0.3">
      <c r="A619">
        <v>37</v>
      </c>
      <c r="B619" s="1" t="s">
        <v>7</v>
      </c>
      <c r="C619">
        <v>29.83</v>
      </c>
      <c r="D619">
        <v>1</v>
      </c>
      <c r="E619" t="s">
        <v>9</v>
      </c>
      <c r="F619" t="s">
        <v>12</v>
      </c>
      <c r="G619" s="2">
        <v>8596.8277999999991</v>
      </c>
      <c r="H619" t="str" cm="1">
        <f t="array" ref="H619">_xlfn.IFS(A619&lt;=30, "Youth", A619&lt;=50, "Adult", A619&gt;50, "Older")</f>
        <v>Adult</v>
      </c>
      <c r="I619" t="str" cm="1">
        <f t="array" ref="I619">_xlfn.IFS(A619&lt;=25,"18-25",A619&lt;=35,"26-35",A619&lt;=45,"36-45",A619&lt;=60,"46-60",A619&gt;60,"60+")</f>
        <v>36-45</v>
      </c>
      <c r="J619" t="str" cm="1">
        <f t="array" ref="J619">_xlfn.IFS(C619&lt;18.5,"Underweight",C619&lt;25,"Normal",C619&lt;30,"Overweight",C619&gt;=30,"Obese")</f>
        <v>Overweight</v>
      </c>
      <c r="K619" t="str" cm="1">
        <f t="array" ref="K619">_xlfn.IFS(G619&lt;10000, "Low", G619&lt;=25000, "Medium", G619&gt;25000, "High")</f>
        <v>Low</v>
      </c>
    </row>
    <row r="620" spans="1:11" x14ac:dyDescent="0.3">
      <c r="A620">
        <v>37</v>
      </c>
      <c r="B620" s="1" t="s">
        <v>7</v>
      </c>
      <c r="C620">
        <v>29.83</v>
      </c>
      <c r="D620">
        <v>1</v>
      </c>
      <c r="E620" t="s">
        <v>10</v>
      </c>
      <c r="F620" t="s">
        <v>11</v>
      </c>
      <c r="G620" s="2">
        <v>8601.3292999999994</v>
      </c>
      <c r="H620" t="str" cm="1">
        <f t="array" ref="H620">_xlfn.IFS(A620&lt;=30, "Youth", A620&lt;=50, "Adult", A620&gt;50, "Older")</f>
        <v>Adult</v>
      </c>
      <c r="I620" t="str" cm="1">
        <f t="array" ref="I620">_xlfn.IFS(A620&lt;=25,"18-25",A620&lt;=35,"26-35",A620&lt;=45,"36-45",A620&lt;=60,"46-60",A620&gt;60,"60+")</f>
        <v>36-45</v>
      </c>
      <c r="J620" t="str" cm="1">
        <f t="array" ref="J620">_xlfn.IFS(C620&lt;18.5,"Underweight",C620&lt;25,"Normal",C620&lt;30,"Overweight",C620&gt;=30,"Obese")</f>
        <v>Overweight</v>
      </c>
      <c r="K620" t="str" cm="1">
        <f t="array" ref="K620">_xlfn.IFS(G620&lt;10000, "Low", G620&lt;=25000, "Medium", G620&gt;25000, "High")</f>
        <v>Low</v>
      </c>
    </row>
    <row r="621" spans="1:11" x14ac:dyDescent="0.3">
      <c r="A621">
        <v>37</v>
      </c>
      <c r="B621" s="1" t="s">
        <v>8</v>
      </c>
      <c r="C621">
        <v>29.9</v>
      </c>
      <c r="D621">
        <v>1</v>
      </c>
      <c r="E621" t="s">
        <v>10</v>
      </c>
      <c r="F621" t="s">
        <v>11</v>
      </c>
      <c r="G621" s="2">
        <v>8603.8233999999993</v>
      </c>
      <c r="H621" t="str" cm="1">
        <f t="array" ref="H621">_xlfn.IFS(A621&lt;=30, "Youth", A621&lt;=50, "Adult", A621&gt;50, "Older")</f>
        <v>Adult</v>
      </c>
      <c r="I621" t="str" cm="1">
        <f t="array" ref="I621">_xlfn.IFS(A621&lt;=25,"18-25",A621&lt;=35,"26-35",A621&lt;=45,"36-45",A621&lt;=60,"46-60",A621&gt;60,"60+")</f>
        <v>36-45</v>
      </c>
      <c r="J621" t="str" cm="1">
        <f t="array" ref="J621">_xlfn.IFS(C621&lt;18.5,"Underweight",C621&lt;25,"Normal",C621&lt;30,"Overweight",C621&gt;=30,"Obese")</f>
        <v>Overweight</v>
      </c>
      <c r="K621" t="str" cm="1">
        <f t="array" ref="K621">_xlfn.IFS(G621&lt;10000, "Low", G621&lt;=25000, "Medium", G621&gt;25000, "High")</f>
        <v>Low</v>
      </c>
    </row>
    <row r="622" spans="1:11" x14ac:dyDescent="0.3">
      <c r="A622">
        <v>37</v>
      </c>
      <c r="B622" s="1" t="s">
        <v>8</v>
      </c>
      <c r="C622">
        <v>29.9</v>
      </c>
      <c r="D622">
        <v>1</v>
      </c>
      <c r="E622" t="s">
        <v>9</v>
      </c>
      <c r="F622" t="s">
        <v>11</v>
      </c>
      <c r="G622" s="2">
        <v>8604.4836500000001</v>
      </c>
      <c r="H622" t="str" cm="1">
        <f t="array" ref="H622">_xlfn.IFS(A622&lt;=30, "Youth", A622&lt;=50, "Adult", A622&gt;50, "Older")</f>
        <v>Adult</v>
      </c>
      <c r="I622" t="str" cm="1">
        <f t="array" ref="I622">_xlfn.IFS(A622&lt;=25,"18-25",A622&lt;=35,"26-35",A622&lt;=45,"36-45",A622&lt;=60,"46-60",A622&gt;60,"60+")</f>
        <v>36-45</v>
      </c>
      <c r="J622" t="str" cm="1">
        <f t="array" ref="J622">_xlfn.IFS(C622&lt;18.5,"Underweight",C622&lt;25,"Normal",C622&lt;30,"Overweight",C622&gt;=30,"Obese")</f>
        <v>Overweight</v>
      </c>
      <c r="K622" t="str" cm="1">
        <f t="array" ref="K622">_xlfn.IFS(G622&lt;10000, "Low", G622&lt;=25000, "Medium", G622&gt;25000, "High")</f>
        <v>Low</v>
      </c>
    </row>
    <row r="623" spans="1:11" x14ac:dyDescent="0.3">
      <c r="A623">
        <v>37</v>
      </c>
      <c r="B623" s="1" t="s">
        <v>7</v>
      </c>
      <c r="C623">
        <v>29.9</v>
      </c>
      <c r="D623">
        <v>1</v>
      </c>
      <c r="E623" t="s">
        <v>10</v>
      </c>
      <c r="F623" t="s">
        <v>11</v>
      </c>
      <c r="G623" s="2">
        <v>8605.3615000000009</v>
      </c>
      <c r="H623" t="str" cm="1">
        <f t="array" ref="H623">_xlfn.IFS(A623&lt;=30, "Youth", A623&lt;=50, "Adult", A623&gt;50, "Older")</f>
        <v>Adult</v>
      </c>
      <c r="I623" t="str" cm="1">
        <f t="array" ref="I623">_xlfn.IFS(A623&lt;=25,"18-25",A623&lt;=35,"26-35",A623&lt;=45,"36-45",A623&lt;=60,"46-60",A623&gt;60,"60+")</f>
        <v>36-45</v>
      </c>
      <c r="J623" t="str" cm="1">
        <f t="array" ref="J623">_xlfn.IFS(C623&lt;18.5,"Underweight",C623&lt;25,"Normal",C623&lt;30,"Overweight",C623&gt;=30,"Obese")</f>
        <v>Overweight</v>
      </c>
      <c r="K623" t="str" cm="1">
        <f t="array" ref="K623">_xlfn.IFS(G623&lt;10000, "Low", G623&lt;=25000, "Medium", G623&gt;25000, "High")</f>
        <v>Low</v>
      </c>
    </row>
    <row r="624" spans="1:11" x14ac:dyDescent="0.3">
      <c r="A624">
        <v>37</v>
      </c>
      <c r="B624" s="1" t="s">
        <v>8</v>
      </c>
      <c r="C624">
        <v>29.92</v>
      </c>
      <c r="D624">
        <v>1</v>
      </c>
      <c r="E624" t="s">
        <v>9</v>
      </c>
      <c r="F624" t="s">
        <v>14</v>
      </c>
      <c r="G624" s="2">
        <v>8606.2173999999995</v>
      </c>
      <c r="H624" t="str" cm="1">
        <f t="array" ref="H624">_xlfn.IFS(A624&lt;=30, "Youth", A624&lt;=50, "Adult", A624&gt;50, "Older")</f>
        <v>Adult</v>
      </c>
      <c r="I624" t="str" cm="1">
        <f t="array" ref="I624">_xlfn.IFS(A624&lt;=25,"18-25",A624&lt;=35,"26-35",A624&lt;=45,"36-45",A624&lt;=60,"46-60",A624&gt;60,"60+")</f>
        <v>36-45</v>
      </c>
      <c r="J624" t="str" cm="1">
        <f t="array" ref="J624">_xlfn.IFS(C624&lt;18.5,"Underweight",C624&lt;25,"Normal",C624&lt;30,"Overweight",C624&gt;=30,"Obese")</f>
        <v>Overweight</v>
      </c>
      <c r="K624" t="str" cm="1">
        <f t="array" ref="K624">_xlfn.IFS(G624&lt;10000, "Low", G624&lt;=25000, "Medium", G624&gt;25000, "High")</f>
        <v>Low</v>
      </c>
    </row>
    <row r="625" spans="1:11" x14ac:dyDescent="0.3">
      <c r="A625">
        <v>38</v>
      </c>
      <c r="B625" s="1" t="s">
        <v>8</v>
      </c>
      <c r="C625">
        <v>29.92</v>
      </c>
      <c r="D625">
        <v>1</v>
      </c>
      <c r="E625" t="s">
        <v>10</v>
      </c>
      <c r="F625" t="s">
        <v>13</v>
      </c>
      <c r="G625" s="2">
        <v>8615.2999999999993</v>
      </c>
      <c r="H625" t="str" cm="1">
        <f t="array" ref="H625">_xlfn.IFS(A625&lt;=30, "Youth", A625&lt;=50, "Adult", A625&gt;50, "Older")</f>
        <v>Adult</v>
      </c>
      <c r="I625" t="str" cm="1">
        <f t="array" ref="I625">_xlfn.IFS(A625&lt;=25,"18-25",A625&lt;=35,"26-35",A625&lt;=45,"36-45",A625&lt;=60,"46-60",A625&gt;60,"60+")</f>
        <v>36-45</v>
      </c>
      <c r="J625" t="str" cm="1">
        <f t="array" ref="J625">_xlfn.IFS(C625&lt;18.5,"Underweight",C625&lt;25,"Normal",C625&lt;30,"Overweight",C625&gt;=30,"Obese")</f>
        <v>Overweight</v>
      </c>
      <c r="K625" t="str" cm="1">
        <f t="array" ref="K625">_xlfn.IFS(G625&lt;10000, "Low", G625&lt;=25000, "Medium", G625&gt;25000, "High")</f>
        <v>Low</v>
      </c>
    </row>
    <row r="626" spans="1:11" x14ac:dyDescent="0.3">
      <c r="A626">
        <v>38</v>
      </c>
      <c r="B626" s="1" t="s">
        <v>7</v>
      </c>
      <c r="C626">
        <v>29.92</v>
      </c>
      <c r="D626">
        <v>1</v>
      </c>
      <c r="E626" t="s">
        <v>10</v>
      </c>
      <c r="F626" t="s">
        <v>13</v>
      </c>
      <c r="G626" s="2">
        <v>8627.5411000000004</v>
      </c>
      <c r="H626" t="str" cm="1">
        <f t="array" ref="H626">_xlfn.IFS(A626&lt;=30, "Youth", A626&lt;=50, "Adult", A626&gt;50, "Older")</f>
        <v>Adult</v>
      </c>
      <c r="I626" t="str" cm="1">
        <f t="array" ref="I626">_xlfn.IFS(A626&lt;=25,"18-25",A626&lt;=35,"26-35",A626&lt;=45,"36-45",A626&lt;=60,"46-60",A626&gt;60,"60+")</f>
        <v>36-45</v>
      </c>
      <c r="J626" t="str" cm="1">
        <f t="array" ref="J626">_xlfn.IFS(C626&lt;18.5,"Underweight",C626&lt;25,"Normal",C626&lt;30,"Overweight",C626&gt;=30,"Obese")</f>
        <v>Overweight</v>
      </c>
      <c r="K626" t="str" cm="1">
        <f t="array" ref="K626">_xlfn.IFS(G626&lt;10000, "Low", G626&lt;=25000, "Medium", G626&gt;25000, "High")</f>
        <v>Low</v>
      </c>
    </row>
    <row r="627" spans="1:11" x14ac:dyDescent="0.3">
      <c r="A627">
        <v>38</v>
      </c>
      <c r="B627" s="1" t="s">
        <v>8</v>
      </c>
      <c r="C627">
        <v>29.92</v>
      </c>
      <c r="D627">
        <v>1</v>
      </c>
      <c r="E627" t="s">
        <v>10</v>
      </c>
      <c r="F627" t="s">
        <v>14</v>
      </c>
      <c r="G627" s="2">
        <v>8671.1912499999999</v>
      </c>
      <c r="H627" t="str" cm="1">
        <f t="array" ref="H627">_xlfn.IFS(A627&lt;=30, "Youth", A627&lt;=50, "Adult", A627&gt;50, "Older")</f>
        <v>Adult</v>
      </c>
      <c r="I627" t="str" cm="1">
        <f t="array" ref="I627">_xlfn.IFS(A627&lt;=25,"18-25",A627&lt;=35,"26-35",A627&lt;=45,"36-45",A627&lt;=60,"46-60",A627&gt;60,"60+")</f>
        <v>36-45</v>
      </c>
      <c r="J627" t="str" cm="1">
        <f t="array" ref="J627">_xlfn.IFS(C627&lt;18.5,"Underweight",C627&lt;25,"Normal",C627&lt;30,"Overweight",C627&gt;=30,"Obese")</f>
        <v>Overweight</v>
      </c>
      <c r="K627" t="str" cm="1">
        <f t="array" ref="K627">_xlfn.IFS(G627&lt;10000, "Low", G627&lt;=25000, "Medium", G627&gt;25000, "High")</f>
        <v>Low</v>
      </c>
    </row>
    <row r="628" spans="1:11" x14ac:dyDescent="0.3">
      <c r="A628">
        <v>38</v>
      </c>
      <c r="B628" s="1" t="s">
        <v>8</v>
      </c>
      <c r="C628">
        <v>29.92</v>
      </c>
      <c r="D628">
        <v>1</v>
      </c>
      <c r="E628" t="s">
        <v>10</v>
      </c>
      <c r="F628" t="s">
        <v>12</v>
      </c>
      <c r="G628" s="2">
        <v>8688.8588500000005</v>
      </c>
      <c r="H628" t="str" cm="1">
        <f t="array" ref="H628">_xlfn.IFS(A628&lt;=30, "Youth", A628&lt;=50, "Adult", A628&gt;50, "Older")</f>
        <v>Adult</v>
      </c>
      <c r="I628" t="str" cm="1">
        <f t="array" ref="I628">_xlfn.IFS(A628&lt;=25,"18-25",A628&lt;=35,"26-35",A628&lt;=45,"36-45",A628&lt;=60,"46-60",A628&gt;60,"60+")</f>
        <v>36-45</v>
      </c>
      <c r="J628" t="str" cm="1">
        <f t="array" ref="J628">_xlfn.IFS(C628&lt;18.5,"Underweight",C628&lt;25,"Normal",C628&lt;30,"Overweight",C628&gt;=30,"Obese")</f>
        <v>Overweight</v>
      </c>
      <c r="K628" t="str" cm="1">
        <f t="array" ref="K628">_xlfn.IFS(G628&lt;10000, "Low", G628&lt;=25000, "Medium", G628&gt;25000, "High")</f>
        <v>Low</v>
      </c>
    </row>
    <row r="629" spans="1:11" x14ac:dyDescent="0.3">
      <c r="A629">
        <v>38</v>
      </c>
      <c r="B629" s="1" t="s">
        <v>8</v>
      </c>
      <c r="C629">
        <v>29.92</v>
      </c>
      <c r="D629">
        <v>1</v>
      </c>
      <c r="E629" t="s">
        <v>10</v>
      </c>
      <c r="F629" t="s">
        <v>11</v>
      </c>
      <c r="G629" s="2">
        <v>8703.4560000000001</v>
      </c>
      <c r="H629" t="str" cm="1">
        <f t="array" ref="H629">_xlfn.IFS(A629&lt;=30, "Youth", A629&lt;=50, "Adult", A629&gt;50, "Older")</f>
        <v>Adult</v>
      </c>
      <c r="I629" t="str" cm="1">
        <f t="array" ref="I629">_xlfn.IFS(A629&lt;=25,"18-25",A629&lt;=35,"26-35",A629&lt;=45,"36-45",A629&lt;=60,"46-60",A629&gt;60,"60+")</f>
        <v>36-45</v>
      </c>
      <c r="J629" t="str" cm="1">
        <f t="array" ref="J629">_xlfn.IFS(C629&lt;18.5,"Underweight",C629&lt;25,"Normal",C629&lt;30,"Overweight",C629&gt;=30,"Obese")</f>
        <v>Overweight</v>
      </c>
      <c r="K629" t="str" cm="1">
        <f t="array" ref="K629">_xlfn.IFS(G629&lt;10000, "Low", G629&lt;=25000, "Medium", G629&gt;25000, "High")</f>
        <v>Low</v>
      </c>
    </row>
    <row r="630" spans="1:11" x14ac:dyDescent="0.3">
      <c r="A630">
        <v>38</v>
      </c>
      <c r="B630" s="1" t="s">
        <v>7</v>
      </c>
      <c r="C630">
        <v>29.925000000000001</v>
      </c>
      <c r="D630">
        <v>1</v>
      </c>
      <c r="E630" t="s">
        <v>9</v>
      </c>
      <c r="F630" t="s">
        <v>13</v>
      </c>
      <c r="G630" s="2">
        <v>8733.2292500000003</v>
      </c>
      <c r="H630" t="str" cm="1">
        <f t="array" ref="H630">_xlfn.IFS(A630&lt;=30, "Youth", A630&lt;=50, "Adult", A630&gt;50, "Older")</f>
        <v>Adult</v>
      </c>
      <c r="I630" t="str" cm="1">
        <f t="array" ref="I630">_xlfn.IFS(A630&lt;=25,"18-25",A630&lt;=35,"26-35",A630&lt;=45,"36-45",A630&lt;=60,"46-60",A630&gt;60,"60+")</f>
        <v>36-45</v>
      </c>
      <c r="J630" t="str" cm="1">
        <f t="array" ref="J630">_xlfn.IFS(C630&lt;18.5,"Underweight",C630&lt;25,"Normal",C630&lt;30,"Overweight",C630&gt;=30,"Obese")</f>
        <v>Overweight</v>
      </c>
      <c r="K630" t="str" cm="1">
        <f t="array" ref="K630">_xlfn.IFS(G630&lt;10000, "Low", G630&lt;=25000, "Medium", G630&gt;25000, "High")</f>
        <v>Low</v>
      </c>
    </row>
    <row r="631" spans="1:11" x14ac:dyDescent="0.3">
      <c r="A631">
        <v>38</v>
      </c>
      <c r="B631" s="1" t="s">
        <v>8</v>
      </c>
      <c r="C631">
        <v>29.925000000000001</v>
      </c>
      <c r="D631">
        <v>1</v>
      </c>
      <c r="E631" t="s">
        <v>10</v>
      </c>
      <c r="F631" t="s">
        <v>11</v>
      </c>
      <c r="G631" s="2">
        <v>8765.2489999999998</v>
      </c>
      <c r="H631" t="str" cm="1">
        <f t="array" ref="H631">_xlfn.IFS(A631&lt;=30, "Youth", A631&lt;=50, "Adult", A631&gt;50, "Older")</f>
        <v>Adult</v>
      </c>
      <c r="I631" t="str" cm="1">
        <f t="array" ref="I631">_xlfn.IFS(A631&lt;=25,"18-25",A631&lt;=35,"26-35",A631&lt;=45,"36-45",A631&lt;=60,"46-60",A631&gt;60,"60+")</f>
        <v>36-45</v>
      </c>
      <c r="J631" t="str" cm="1">
        <f t="array" ref="J631">_xlfn.IFS(C631&lt;18.5,"Underweight",C631&lt;25,"Normal",C631&lt;30,"Overweight",C631&gt;=30,"Obese")</f>
        <v>Overweight</v>
      </c>
      <c r="K631" t="str" cm="1">
        <f t="array" ref="K631">_xlfn.IFS(G631&lt;10000, "Low", G631&lt;=25000, "Medium", G631&gt;25000, "High")</f>
        <v>Low</v>
      </c>
    </row>
    <row r="632" spans="1:11" x14ac:dyDescent="0.3">
      <c r="A632">
        <v>38</v>
      </c>
      <c r="B632" s="1" t="s">
        <v>8</v>
      </c>
      <c r="C632">
        <v>29.925000000000001</v>
      </c>
      <c r="D632">
        <v>1</v>
      </c>
      <c r="E632" t="s">
        <v>10</v>
      </c>
      <c r="F632" t="s">
        <v>11</v>
      </c>
      <c r="G632" s="2">
        <v>8782.4689999999991</v>
      </c>
      <c r="H632" t="str" cm="1">
        <f t="array" ref="H632">_xlfn.IFS(A632&lt;=30, "Youth", A632&lt;=50, "Adult", A632&gt;50, "Older")</f>
        <v>Adult</v>
      </c>
      <c r="I632" t="str" cm="1">
        <f t="array" ref="I632">_xlfn.IFS(A632&lt;=25,"18-25",A632&lt;=35,"26-35",A632&lt;=45,"36-45",A632&lt;=60,"46-60",A632&gt;60,"60+")</f>
        <v>36-45</v>
      </c>
      <c r="J632" t="str" cm="1">
        <f t="array" ref="J632">_xlfn.IFS(C632&lt;18.5,"Underweight",C632&lt;25,"Normal",C632&lt;30,"Overweight",C632&gt;=30,"Obese")</f>
        <v>Overweight</v>
      </c>
      <c r="K632" t="str" cm="1">
        <f t="array" ref="K632">_xlfn.IFS(G632&lt;10000, "Low", G632&lt;=25000, "Medium", G632&gt;25000, "High")</f>
        <v>Low</v>
      </c>
    </row>
    <row r="633" spans="1:11" x14ac:dyDescent="0.3">
      <c r="A633">
        <v>38</v>
      </c>
      <c r="B633" s="1" t="s">
        <v>7</v>
      </c>
      <c r="C633">
        <v>30</v>
      </c>
      <c r="D633">
        <v>1</v>
      </c>
      <c r="E633" t="s">
        <v>10</v>
      </c>
      <c r="F633" t="s">
        <v>12</v>
      </c>
      <c r="G633" s="2">
        <v>8798.5930000000008</v>
      </c>
      <c r="H633" t="str" cm="1">
        <f t="array" ref="H633">_xlfn.IFS(A633&lt;=30, "Youth", A633&lt;=50, "Adult", A633&gt;50, "Older")</f>
        <v>Adult</v>
      </c>
      <c r="I633" t="str" cm="1">
        <f t="array" ref="I633">_xlfn.IFS(A633&lt;=25,"18-25",A633&lt;=35,"26-35",A633&lt;=45,"36-45",A633&lt;=60,"46-60",A633&gt;60,"60+")</f>
        <v>36-45</v>
      </c>
      <c r="J633" t="str" cm="1">
        <f t="array" ref="J633">_xlfn.IFS(C633&lt;18.5,"Underweight",C633&lt;25,"Normal",C633&lt;30,"Overweight",C633&gt;=30,"Obese")</f>
        <v>Obese</v>
      </c>
      <c r="K633" t="str" cm="1">
        <f t="array" ref="K633">_xlfn.IFS(G633&lt;10000, "Low", G633&lt;=25000, "Medium", G633&gt;25000, "High")</f>
        <v>Low</v>
      </c>
    </row>
    <row r="634" spans="1:11" x14ac:dyDescent="0.3">
      <c r="A634">
        <v>38</v>
      </c>
      <c r="B634" s="1" t="s">
        <v>8</v>
      </c>
      <c r="C634">
        <v>30</v>
      </c>
      <c r="D634">
        <v>1</v>
      </c>
      <c r="E634" t="s">
        <v>10</v>
      </c>
      <c r="F634" t="s">
        <v>14</v>
      </c>
      <c r="G634" s="2">
        <v>8823.2790000000005</v>
      </c>
      <c r="H634" t="str" cm="1">
        <f t="array" ref="H634">_xlfn.IFS(A634&lt;=30, "Youth", A634&lt;=50, "Adult", A634&gt;50, "Older")</f>
        <v>Adult</v>
      </c>
      <c r="I634" t="str" cm="1">
        <f t="array" ref="I634">_xlfn.IFS(A634&lt;=25,"18-25",A634&lt;=35,"26-35",A634&lt;=45,"36-45",A634&lt;=60,"46-60",A634&gt;60,"60+")</f>
        <v>36-45</v>
      </c>
      <c r="J634" t="str" cm="1">
        <f t="array" ref="J634">_xlfn.IFS(C634&lt;18.5,"Underweight",C634&lt;25,"Normal",C634&lt;30,"Overweight",C634&gt;=30,"Obese")</f>
        <v>Obese</v>
      </c>
      <c r="K634" t="str" cm="1">
        <f t="array" ref="K634">_xlfn.IFS(G634&lt;10000, "Low", G634&lt;=25000, "Medium", G634&gt;25000, "High")</f>
        <v>Low</v>
      </c>
    </row>
    <row r="635" spans="1:11" x14ac:dyDescent="0.3">
      <c r="A635">
        <v>38</v>
      </c>
      <c r="B635" s="1" t="s">
        <v>8</v>
      </c>
      <c r="C635">
        <v>30.02</v>
      </c>
      <c r="D635">
        <v>1</v>
      </c>
      <c r="E635" t="s">
        <v>10</v>
      </c>
      <c r="F635" t="s">
        <v>11</v>
      </c>
      <c r="G635" s="2">
        <v>8823.9857499999998</v>
      </c>
      <c r="H635" t="str" cm="1">
        <f t="array" ref="H635">_xlfn.IFS(A635&lt;=30, "Youth", A635&lt;=50, "Adult", A635&gt;50, "Older")</f>
        <v>Adult</v>
      </c>
      <c r="I635" t="str" cm="1">
        <f t="array" ref="I635">_xlfn.IFS(A635&lt;=25,"18-25",A635&lt;=35,"26-35",A635&lt;=45,"36-45",A635&lt;=60,"46-60",A635&gt;60,"60+")</f>
        <v>36-45</v>
      </c>
      <c r="J635" t="str" cm="1">
        <f t="array" ref="J635">_xlfn.IFS(C635&lt;18.5,"Underweight",C635&lt;25,"Normal",C635&lt;30,"Overweight",C635&gt;=30,"Obese")</f>
        <v>Obese</v>
      </c>
      <c r="K635" t="str" cm="1">
        <f t="array" ref="K635">_xlfn.IFS(G635&lt;10000, "Low", G635&lt;=25000, "Medium", G635&gt;25000, "High")</f>
        <v>Low</v>
      </c>
    </row>
    <row r="636" spans="1:11" x14ac:dyDescent="0.3">
      <c r="A636">
        <v>38</v>
      </c>
      <c r="B636" s="1" t="s">
        <v>8</v>
      </c>
      <c r="C636">
        <v>30.02</v>
      </c>
      <c r="D636">
        <v>1</v>
      </c>
      <c r="E636" t="s">
        <v>10</v>
      </c>
      <c r="F636" t="s">
        <v>14</v>
      </c>
      <c r="G636" s="2">
        <v>8825.0859999999993</v>
      </c>
      <c r="H636" t="str" cm="1">
        <f t="array" ref="H636">_xlfn.IFS(A636&lt;=30, "Youth", A636&lt;=50, "Adult", A636&gt;50, "Older")</f>
        <v>Adult</v>
      </c>
      <c r="I636" t="str" cm="1">
        <f t="array" ref="I636">_xlfn.IFS(A636&lt;=25,"18-25",A636&lt;=35,"26-35",A636&lt;=45,"36-45",A636&lt;=60,"46-60",A636&gt;60,"60+")</f>
        <v>36-45</v>
      </c>
      <c r="J636" t="str" cm="1">
        <f t="array" ref="J636">_xlfn.IFS(C636&lt;18.5,"Underweight",C636&lt;25,"Normal",C636&lt;30,"Overweight",C636&gt;=30,"Obese")</f>
        <v>Obese</v>
      </c>
      <c r="K636" t="str" cm="1">
        <f t="array" ref="K636">_xlfn.IFS(G636&lt;10000, "Low", G636&lt;=25000, "Medium", G636&gt;25000, "High")</f>
        <v>Low</v>
      </c>
    </row>
    <row r="637" spans="1:11" x14ac:dyDescent="0.3">
      <c r="A637">
        <v>38</v>
      </c>
      <c r="B637" s="1" t="s">
        <v>7</v>
      </c>
      <c r="C637">
        <v>30.02</v>
      </c>
      <c r="D637">
        <v>1</v>
      </c>
      <c r="E637" t="s">
        <v>10</v>
      </c>
      <c r="F637" t="s">
        <v>13</v>
      </c>
      <c r="G637" s="2">
        <v>8827.2098999999998</v>
      </c>
      <c r="H637" t="str" cm="1">
        <f t="array" ref="H637">_xlfn.IFS(A637&lt;=30, "Youth", A637&lt;=50, "Adult", A637&gt;50, "Older")</f>
        <v>Adult</v>
      </c>
      <c r="I637" t="str" cm="1">
        <f t="array" ref="I637">_xlfn.IFS(A637&lt;=25,"18-25",A637&lt;=35,"26-35",A637&lt;=45,"36-45",A637&lt;=60,"46-60",A637&gt;60,"60+")</f>
        <v>36-45</v>
      </c>
      <c r="J637" t="str" cm="1">
        <f t="array" ref="J637">_xlfn.IFS(C637&lt;18.5,"Underweight",C637&lt;25,"Normal",C637&lt;30,"Overweight",C637&gt;=30,"Obese")</f>
        <v>Obese</v>
      </c>
      <c r="K637" t="str" cm="1">
        <f t="array" ref="K637">_xlfn.IFS(G637&lt;10000, "Low", G637&lt;=25000, "Medium", G637&gt;25000, "High")</f>
        <v>Low</v>
      </c>
    </row>
    <row r="638" spans="1:11" x14ac:dyDescent="0.3">
      <c r="A638">
        <v>38</v>
      </c>
      <c r="B638" s="1" t="s">
        <v>7</v>
      </c>
      <c r="C638">
        <v>30.02</v>
      </c>
      <c r="D638">
        <v>1</v>
      </c>
      <c r="E638" t="s">
        <v>10</v>
      </c>
      <c r="F638" t="s">
        <v>14</v>
      </c>
      <c r="G638" s="2">
        <v>8835.2649500000007</v>
      </c>
      <c r="H638" t="str" cm="1">
        <f t="array" ref="H638">_xlfn.IFS(A638&lt;=30, "Youth", A638&lt;=50, "Adult", A638&gt;50, "Older")</f>
        <v>Adult</v>
      </c>
      <c r="I638" t="str" cm="1">
        <f t="array" ref="I638">_xlfn.IFS(A638&lt;=25,"18-25",A638&lt;=35,"26-35",A638&lt;=45,"36-45",A638&lt;=60,"46-60",A638&gt;60,"60+")</f>
        <v>36-45</v>
      </c>
      <c r="J638" t="str" cm="1">
        <f t="array" ref="J638">_xlfn.IFS(C638&lt;18.5,"Underweight",C638&lt;25,"Normal",C638&lt;30,"Overweight",C638&gt;=30,"Obese")</f>
        <v>Obese</v>
      </c>
      <c r="K638" t="str" cm="1">
        <f t="array" ref="K638">_xlfn.IFS(G638&lt;10000, "Low", G638&lt;=25000, "Medium", G638&gt;25000, "High")</f>
        <v>Low</v>
      </c>
    </row>
    <row r="639" spans="1:11" x14ac:dyDescent="0.3">
      <c r="A639">
        <v>38</v>
      </c>
      <c r="B639" s="1" t="s">
        <v>8</v>
      </c>
      <c r="C639">
        <v>30.03</v>
      </c>
      <c r="D639">
        <v>1</v>
      </c>
      <c r="E639" t="s">
        <v>9</v>
      </c>
      <c r="F639" t="s">
        <v>14</v>
      </c>
      <c r="G639" s="2">
        <v>8871.1517000000003</v>
      </c>
      <c r="H639" t="str" cm="1">
        <f t="array" ref="H639">_xlfn.IFS(A639&lt;=30, "Youth", A639&lt;=50, "Adult", A639&gt;50, "Older")</f>
        <v>Adult</v>
      </c>
      <c r="I639" t="str" cm="1">
        <f t="array" ref="I639">_xlfn.IFS(A639&lt;=25,"18-25",A639&lt;=35,"26-35",A639&lt;=45,"36-45",A639&lt;=60,"46-60",A639&gt;60,"60+")</f>
        <v>36-45</v>
      </c>
      <c r="J639" t="str" cm="1">
        <f t="array" ref="J639">_xlfn.IFS(C639&lt;18.5,"Underweight",C639&lt;25,"Normal",C639&lt;30,"Overweight",C639&gt;=30,"Obese")</f>
        <v>Obese</v>
      </c>
      <c r="K639" t="str" cm="1">
        <f t="array" ref="K639">_xlfn.IFS(G639&lt;10000, "Low", G639&lt;=25000, "Medium", G639&gt;25000, "High")</f>
        <v>Low</v>
      </c>
    </row>
    <row r="640" spans="1:11" x14ac:dyDescent="0.3">
      <c r="A640">
        <v>38</v>
      </c>
      <c r="B640" s="1" t="s">
        <v>8</v>
      </c>
      <c r="C640">
        <v>30.03</v>
      </c>
      <c r="D640">
        <v>1</v>
      </c>
      <c r="E640" t="s">
        <v>10</v>
      </c>
      <c r="F640" t="s">
        <v>12</v>
      </c>
      <c r="G640" s="2">
        <v>8891.1394999999993</v>
      </c>
      <c r="H640" t="str" cm="1">
        <f t="array" ref="H640">_xlfn.IFS(A640&lt;=30, "Youth", A640&lt;=50, "Adult", A640&gt;50, "Older")</f>
        <v>Adult</v>
      </c>
      <c r="I640" t="str" cm="1">
        <f t="array" ref="I640">_xlfn.IFS(A640&lt;=25,"18-25",A640&lt;=35,"26-35",A640&lt;=45,"36-45",A640&lt;=60,"46-60",A640&gt;60,"60+")</f>
        <v>36-45</v>
      </c>
      <c r="J640" t="str" cm="1">
        <f t="array" ref="J640">_xlfn.IFS(C640&lt;18.5,"Underweight",C640&lt;25,"Normal",C640&lt;30,"Overweight",C640&gt;=30,"Obese")</f>
        <v>Obese</v>
      </c>
      <c r="K640" t="str" cm="1">
        <f t="array" ref="K640">_xlfn.IFS(G640&lt;10000, "Low", G640&lt;=25000, "Medium", G640&gt;25000, "High")</f>
        <v>Low</v>
      </c>
    </row>
    <row r="641" spans="1:11" x14ac:dyDescent="0.3">
      <c r="A641">
        <v>38</v>
      </c>
      <c r="B641" s="1" t="s">
        <v>8</v>
      </c>
      <c r="C641">
        <v>30.03</v>
      </c>
      <c r="D641">
        <v>1</v>
      </c>
      <c r="E641" t="s">
        <v>10</v>
      </c>
      <c r="F641" t="s">
        <v>11</v>
      </c>
      <c r="G641" s="2">
        <v>8930.9345499999999</v>
      </c>
      <c r="H641" t="str" cm="1">
        <f t="array" ref="H641">_xlfn.IFS(A641&lt;=30, "Youth", A641&lt;=50, "Adult", A641&gt;50, "Older")</f>
        <v>Adult</v>
      </c>
      <c r="I641" t="str" cm="1">
        <f t="array" ref="I641">_xlfn.IFS(A641&lt;=25,"18-25",A641&lt;=35,"26-35",A641&lt;=45,"36-45",A641&lt;=60,"46-60",A641&gt;60,"60+")</f>
        <v>36-45</v>
      </c>
      <c r="J641" t="str" cm="1">
        <f t="array" ref="J641">_xlfn.IFS(C641&lt;18.5,"Underweight",C641&lt;25,"Normal",C641&lt;30,"Overweight",C641&gt;=30,"Obese")</f>
        <v>Obese</v>
      </c>
      <c r="K641" t="str" cm="1">
        <f t="array" ref="K641">_xlfn.IFS(G641&lt;10000, "Low", G641&lt;=25000, "Medium", G641&gt;25000, "High")</f>
        <v>Low</v>
      </c>
    </row>
    <row r="642" spans="1:11" x14ac:dyDescent="0.3">
      <c r="A642">
        <v>38</v>
      </c>
      <c r="B642" s="1" t="s">
        <v>8</v>
      </c>
      <c r="C642">
        <v>30.1</v>
      </c>
      <c r="D642">
        <v>1</v>
      </c>
      <c r="E642" t="s">
        <v>9</v>
      </c>
      <c r="F642" t="s">
        <v>13</v>
      </c>
      <c r="G642" s="2">
        <v>8932.0840000000007</v>
      </c>
      <c r="H642" t="str" cm="1">
        <f t="array" ref="H642">_xlfn.IFS(A642&lt;=30, "Youth", A642&lt;=50, "Adult", A642&gt;50, "Older")</f>
        <v>Adult</v>
      </c>
      <c r="I642" t="str" cm="1">
        <f t="array" ref="I642">_xlfn.IFS(A642&lt;=25,"18-25",A642&lt;=35,"26-35",A642&lt;=45,"36-45",A642&lt;=60,"46-60",A642&gt;60,"60+")</f>
        <v>36-45</v>
      </c>
      <c r="J642" t="str" cm="1">
        <f t="array" ref="J642">_xlfn.IFS(C642&lt;18.5,"Underweight",C642&lt;25,"Normal",C642&lt;30,"Overweight",C642&gt;=30,"Obese")</f>
        <v>Obese</v>
      </c>
      <c r="K642" t="str" cm="1">
        <f t="array" ref="K642">_xlfn.IFS(G642&lt;10000, "Low", G642&lt;=25000, "Medium", G642&gt;25000, "High")</f>
        <v>Low</v>
      </c>
    </row>
    <row r="643" spans="1:11" x14ac:dyDescent="0.3">
      <c r="A643">
        <v>38</v>
      </c>
      <c r="B643" s="1" t="s">
        <v>8</v>
      </c>
      <c r="C643">
        <v>30.1</v>
      </c>
      <c r="D643">
        <v>1</v>
      </c>
      <c r="E643" t="s">
        <v>10</v>
      </c>
      <c r="F643" t="s">
        <v>14</v>
      </c>
      <c r="G643" s="2">
        <v>8944.1151000000009</v>
      </c>
      <c r="H643" t="str" cm="1">
        <f t="array" ref="H643">_xlfn.IFS(A643&lt;=30, "Youth", A643&lt;=50, "Adult", A643&gt;50, "Older")</f>
        <v>Adult</v>
      </c>
      <c r="I643" t="str" cm="1">
        <f t="array" ref="I643">_xlfn.IFS(A643&lt;=25,"18-25",A643&lt;=35,"26-35",A643&lt;=45,"36-45",A643&lt;=60,"46-60",A643&gt;60,"60+")</f>
        <v>36-45</v>
      </c>
      <c r="J643" t="str" cm="1">
        <f t="array" ref="J643">_xlfn.IFS(C643&lt;18.5,"Underweight",C643&lt;25,"Normal",C643&lt;30,"Overweight",C643&gt;=30,"Obese")</f>
        <v>Obese</v>
      </c>
      <c r="K643" t="str" cm="1">
        <f t="array" ref="K643">_xlfn.IFS(G643&lt;10000, "Low", G643&lt;=25000, "Medium", G643&gt;25000, "High")</f>
        <v>Low</v>
      </c>
    </row>
    <row r="644" spans="1:11" x14ac:dyDescent="0.3">
      <c r="A644">
        <v>38</v>
      </c>
      <c r="B644" s="1" t="s">
        <v>7</v>
      </c>
      <c r="C644">
        <v>30.114999999999998</v>
      </c>
      <c r="D644">
        <v>1</v>
      </c>
      <c r="E644" t="s">
        <v>10</v>
      </c>
      <c r="F644" t="s">
        <v>13</v>
      </c>
      <c r="G644" s="2">
        <v>8964.0605500000001</v>
      </c>
      <c r="H644" t="str" cm="1">
        <f t="array" ref="H644">_xlfn.IFS(A644&lt;=30, "Youth", A644&lt;=50, "Adult", A644&gt;50, "Older")</f>
        <v>Adult</v>
      </c>
      <c r="I644" t="str" cm="1">
        <f t="array" ref="I644">_xlfn.IFS(A644&lt;=25,"18-25",A644&lt;=35,"26-35",A644&lt;=45,"36-45",A644&lt;=60,"46-60",A644&gt;60,"60+")</f>
        <v>36-45</v>
      </c>
      <c r="J644" t="str" cm="1">
        <f t="array" ref="J644">_xlfn.IFS(C644&lt;18.5,"Underweight",C644&lt;25,"Normal",C644&lt;30,"Overweight",C644&gt;=30,"Obese")</f>
        <v>Obese</v>
      </c>
      <c r="K644" t="str" cm="1">
        <f t="array" ref="K644">_xlfn.IFS(G644&lt;10000, "Low", G644&lt;=25000, "Medium", G644&gt;25000, "High")</f>
        <v>Low</v>
      </c>
    </row>
    <row r="645" spans="1:11" x14ac:dyDescent="0.3">
      <c r="A645">
        <v>38</v>
      </c>
      <c r="B645" s="1" t="s">
        <v>8</v>
      </c>
      <c r="C645">
        <v>30.114999999999998</v>
      </c>
      <c r="D645">
        <v>1</v>
      </c>
      <c r="E645" t="s">
        <v>10</v>
      </c>
      <c r="F645" t="s">
        <v>12</v>
      </c>
      <c r="G645" s="2">
        <v>8965.7957499999993</v>
      </c>
      <c r="H645" t="str" cm="1">
        <f t="array" ref="H645">_xlfn.IFS(A645&lt;=30, "Youth", A645&lt;=50, "Adult", A645&gt;50, "Older")</f>
        <v>Adult</v>
      </c>
      <c r="I645" t="str" cm="1">
        <f t="array" ref="I645">_xlfn.IFS(A645&lt;=25,"18-25",A645&lt;=35,"26-35",A645&lt;=45,"36-45",A645&lt;=60,"46-60",A645&gt;60,"60+")</f>
        <v>36-45</v>
      </c>
      <c r="J645" t="str" cm="1">
        <f t="array" ref="J645">_xlfn.IFS(C645&lt;18.5,"Underweight",C645&lt;25,"Normal",C645&lt;30,"Overweight",C645&gt;=30,"Obese")</f>
        <v>Obese</v>
      </c>
      <c r="K645" t="str" cm="1">
        <f t="array" ref="K645">_xlfn.IFS(G645&lt;10000, "Low", G645&lt;=25000, "Medium", G645&gt;25000, "High")</f>
        <v>Low</v>
      </c>
    </row>
    <row r="646" spans="1:11" x14ac:dyDescent="0.3">
      <c r="A646">
        <v>38</v>
      </c>
      <c r="B646" s="1" t="s">
        <v>8</v>
      </c>
      <c r="C646">
        <v>30.114999999999998</v>
      </c>
      <c r="D646">
        <v>1</v>
      </c>
      <c r="E646" t="s">
        <v>10</v>
      </c>
      <c r="F646" t="s">
        <v>14</v>
      </c>
      <c r="G646" s="2">
        <v>8968.33</v>
      </c>
      <c r="H646" t="str" cm="1">
        <f t="array" ref="H646">_xlfn.IFS(A646&lt;=30, "Youth", A646&lt;=50, "Adult", A646&gt;50, "Older")</f>
        <v>Adult</v>
      </c>
      <c r="I646" t="str" cm="1">
        <f t="array" ref="I646">_xlfn.IFS(A646&lt;=25,"18-25",A646&lt;=35,"26-35",A646&lt;=45,"36-45",A646&lt;=60,"46-60",A646&gt;60,"60+")</f>
        <v>36-45</v>
      </c>
      <c r="J646" t="str" cm="1">
        <f t="array" ref="J646">_xlfn.IFS(C646&lt;18.5,"Underweight",C646&lt;25,"Normal",C646&lt;30,"Overweight",C646&gt;=30,"Obese")</f>
        <v>Obese</v>
      </c>
      <c r="K646" t="str" cm="1">
        <f t="array" ref="K646">_xlfn.IFS(G646&lt;10000, "Low", G646&lt;=25000, "Medium", G646&gt;25000, "High")</f>
        <v>Low</v>
      </c>
    </row>
    <row r="647" spans="1:11" x14ac:dyDescent="0.3">
      <c r="A647">
        <v>38</v>
      </c>
      <c r="B647" s="1" t="s">
        <v>8</v>
      </c>
      <c r="C647">
        <v>30.114999999999998</v>
      </c>
      <c r="D647">
        <v>1</v>
      </c>
      <c r="E647" t="s">
        <v>10</v>
      </c>
      <c r="F647" t="s">
        <v>13</v>
      </c>
      <c r="G647" s="2">
        <v>8978.1851000000006</v>
      </c>
      <c r="H647" t="str" cm="1">
        <f t="array" ref="H647">_xlfn.IFS(A647&lt;=30, "Youth", A647&lt;=50, "Adult", A647&gt;50, "Older")</f>
        <v>Adult</v>
      </c>
      <c r="I647" t="str" cm="1">
        <f t="array" ref="I647">_xlfn.IFS(A647&lt;=25,"18-25",A647&lt;=35,"26-35",A647&lt;=45,"36-45",A647&lt;=60,"46-60",A647&gt;60,"60+")</f>
        <v>36-45</v>
      </c>
      <c r="J647" t="str" cm="1">
        <f t="array" ref="J647">_xlfn.IFS(C647&lt;18.5,"Underweight",C647&lt;25,"Normal",C647&lt;30,"Overweight",C647&gt;=30,"Obese")</f>
        <v>Obese</v>
      </c>
      <c r="K647" t="str" cm="1">
        <f t="array" ref="K647">_xlfn.IFS(G647&lt;10000, "Low", G647&lt;=25000, "Medium", G647&gt;25000, "High")</f>
        <v>Low</v>
      </c>
    </row>
    <row r="648" spans="1:11" x14ac:dyDescent="0.3">
      <c r="A648">
        <v>38</v>
      </c>
      <c r="B648" s="1" t="s">
        <v>7</v>
      </c>
      <c r="C648">
        <v>30.114999999999998</v>
      </c>
      <c r="D648">
        <v>1</v>
      </c>
      <c r="E648" t="s">
        <v>10</v>
      </c>
      <c r="F648" t="s">
        <v>14</v>
      </c>
      <c r="G648" s="2">
        <v>8988.1587500000005</v>
      </c>
      <c r="H648" t="str" cm="1">
        <f t="array" ref="H648">_xlfn.IFS(A648&lt;=30, "Youth", A648&lt;=50, "Adult", A648&gt;50, "Older")</f>
        <v>Adult</v>
      </c>
      <c r="I648" t="str" cm="1">
        <f t="array" ref="I648">_xlfn.IFS(A648&lt;=25,"18-25",A648&lt;=35,"26-35",A648&lt;=45,"36-45",A648&lt;=60,"46-60",A648&gt;60,"60+")</f>
        <v>36-45</v>
      </c>
      <c r="J648" t="str" cm="1">
        <f t="array" ref="J648">_xlfn.IFS(C648&lt;18.5,"Underweight",C648&lt;25,"Normal",C648&lt;30,"Overweight",C648&gt;=30,"Obese")</f>
        <v>Obese</v>
      </c>
      <c r="K648" t="str" cm="1">
        <f t="array" ref="K648">_xlfn.IFS(G648&lt;10000, "Low", G648&lt;=25000, "Medium", G648&gt;25000, "High")</f>
        <v>Low</v>
      </c>
    </row>
    <row r="649" spans="1:11" x14ac:dyDescent="0.3">
      <c r="A649">
        <v>38</v>
      </c>
      <c r="B649" s="1" t="s">
        <v>8</v>
      </c>
      <c r="C649">
        <v>30.114999999999998</v>
      </c>
      <c r="D649">
        <v>1</v>
      </c>
      <c r="E649" t="s">
        <v>10</v>
      </c>
      <c r="F649" t="s">
        <v>14</v>
      </c>
      <c r="G649" s="2">
        <v>9048.0272999999997</v>
      </c>
      <c r="H649" t="str" cm="1">
        <f t="array" ref="H649">_xlfn.IFS(A649&lt;=30, "Youth", A649&lt;=50, "Adult", A649&gt;50, "Older")</f>
        <v>Adult</v>
      </c>
      <c r="I649" t="str" cm="1">
        <f t="array" ref="I649">_xlfn.IFS(A649&lt;=25,"18-25",A649&lt;=35,"26-35",A649&lt;=45,"36-45",A649&lt;=60,"46-60",A649&gt;60,"60+")</f>
        <v>36-45</v>
      </c>
      <c r="J649" t="str" cm="1">
        <f t="array" ref="J649">_xlfn.IFS(C649&lt;18.5,"Underweight",C649&lt;25,"Normal",C649&lt;30,"Overweight",C649&gt;=30,"Obese")</f>
        <v>Obese</v>
      </c>
      <c r="K649" t="str" cm="1">
        <f t="array" ref="K649">_xlfn.IFS(G649&lt;10000, "Low", G649&lt;=25000, "Medium", G649&gt;25000, "High")</f>
        <v>Low</v>
      </c>
    </row>
    <row r="650" spans="1:11" x14ac:dyDescent="0.3">
      <c r="A650">
        <v>39</v>
      </c>
      <c r="B650" s="1" t="s">
        <v>7</v>
      </c>
      <c r="C650">
        <v>30.14</v>
      </c>
      <c r="D650">
        <v>1</v>
      </c>
      <c r="E650" t="s">
        <v>10</v>
      </c>
      <c r="F650" t="s">
        <v>14</v>
      </c>
      <c r="G650" s="2">
        <v>9058.7302999999993</v>
      </c>
      <c r="H650" t="str" cm="1">
        <f t="array" ref="H650">_xlfn.IFS(A650&lt;=30, "Youth", A650&lt;=50, "Adult", A650&gt;50, "Older")</f>
        <v>Adult</v>
      </c>
      <c r="I650" t="str" cm="1">
        <f t="array" ref="I650">_xlfn.IFS(A650&lt;=25,"18-25",A650&lt;=35,"26-35",A650&lt;=45,"36-45",A650&lt;=60,"46-60",A650&gt;60,"60+")</f>
        <v>36-45</v>
      </c>
      <c r="J650" t="str" cm="1">
        <f t="array" ref="J650">_xlfn.IFS(C650&lt;18.5,"Underweight",C650&lt;25,"Normal",C650&lt;30,"Overweight",C650&gt;=30,"Obese")</f>
        <v>Obese</v>
      </c>
      <c r="K650" t="str" cm="1">
        <f t="array" ref="K650">_xlfn.IFS(G650&lt;10000, "Low", G650&lt;=25000, "Medium", G650&gt;25000, "High")</f>
        <v>Low</v>
      </c>
    </row>
    <row r="651" spans="1:11" x14ac:dyDescent="0.3">
      <c r="A651">
        <v>39</v>
      </c>
      <c r="B651" s="1" t="s">
        <v>7</v>
      </c>
      <c r="C651">
        <v>30.14</v>
      </c>
      <c r="D651">
        <v>1</v>
      </c>
      <c r="E651" t="s">
        <v>10</v>
      </c>
      <c r="F651" t="s">
        <v>12</v>
      </c>
      <c r="G651" s="2">
        <v>9095.0682500000003</v>
      </c>
      <c r="H651" t="str" cm="1">
        <f t="array" ref="H651">_xlfn.IFS(A651&lt;=30, "Youth", A651&lt;=50, "Adult", A651&gt;50, "Older")</f>
        <v>Adult</v>
      </c>
      <c r="I651" t="str" cm="1">
        <f t="array" ref="I651">_xlfn.IFS(A651&lt;=25,"18-25",A651&lt;=35,"26-35",A651&lt;=45,"36-45",A651&lt;=60,"46-60",A651&gt;60,"60+")</f>
        <v>36-45</v>
      </c>
      <c r="J651" t="str" cm="1">
        <f t="array" ref="J651">_xlfn.IFS(C651&lt;18.5,"Underweight",C651&lt;25,"Normal",C651&lt;30,"Overweight",C651&gt;=30,"Obese")</f>
        <v>Obese</v>
      </c>
      <c r="K651" t="str" cm="1">
        <f t="array" ref="K651">_xlfn.IFS(G651&lt;10000, "Low", G651&lt;=25000, "Medium", G651&gt;25000, "High")</f>
        <v>Low</v>
      </c>
    </row>
    <row r="652" spans="1:11" x14ac:dyDescent="0.3">
      <c r="A652">
        <v>39</v>
      </c>
      <c r="B652" s="1" t="s">
        <v>7</v>
      </c>
      <c r="C652">
        <v>30.2</v>
      </c>
      <c r="D652">
        <v>1</v>
      </c>
      <c r="E652" t="s">
        <v>10</v>
      </c>
      <c r="F652" t="s">
        <v>12</v>
      </c>
      <c r="G652" s="2">
        <v>9101.7980000000007</v>
      </c>
      <c r="H652" t="str" cm="1">
        <f t="array" ref="H652">_xlfn.IFS(A652&lt;=30, "Youth", A652&lt;=50, "Adult", A652&gt;50, "Older")</f>
        <v>Adult</v>
      </c>
      <c r="I652" t="str" cm="1">
        <f t="array" ref="I652">_xlfn.IFS(A652&lt;=25,"18-25",A652&lt;=35,"26-35",A652&lt;=45,"36-45",A652&lt;=60,"46-60",A652&gt;60,"60+")</f>
        <v>36-45</v>
      </c>
      <c r="J652" t="str" cm="1">
        <f t="array" ref="J652">_xlfn.IFS(C652&lt;18.5,"Underweight",C652&lt;25,"Normal",C652&lt;30,"Overweight",C652&gt;=30,"Obese")</f>
        <v>Obese</v>
      </c>
      <c r="K652" t="str" cm="1">
        <f t="array" ref="K652">_xlfn.IFS(G652&lt;10000, "Low", G652&lt;=25000, "Medium", G652&gt;25000, "High")</f>
        <v>Low</v>
      </c>
    </row>
    <row r="653" spans="1:11" x14ac:dyDescent="0.3">
      <c r="A653">
        <v>39</v>
      </c>
      <c r="B653" s="1" t="s">
        <v>7</v>
      </c>
      <c r="C653">
        <v>30.2</v>
      </c>
      <c r="D653">
        <v>1</v>
      </c>
      <c r="E653" t="s">
        <v>10</v>
      </c>
      <c r="F653" t="s">
        <v>12</v>
      </c>
      <c r="G653" s="2">
        <v>9140.9509999999991</v>
      </c>
      <c r="H653" t="str" cm="1">
        <f t="array" ref="H653">_xlfn.IFS(A653&lt;=30, "Youth", A653&lt;=50, "Adult", A653&gt;50, "Older")</f>
        <v>Adult</v>
      </c>
      <c r="I653" t="str" cm="1">
        <f t="array" ref="I653">_xlfn.IFS(A653&lt;=25,"18-25",A653&lt;=35,"26-35",A653&lt;=45,"36-45",A653&lt;=60,"46-60",A653&gt;60,"60+")</f>
        <v>36-45</v>
      </c>
      <c r="J653" t="str" cm="1">
        <f t="array" ref="J653">_xlfn.IFS(C653&lt;18.5,"Underweight",C653&lt;25,"Normal",C653&lt;30,"Overweight",C653&gt;=30,"Obese")</f>
        <v>Obese</v>
      </c>
      <c r="K653" t="str" cm="1">
        <f t="array" ref="K653">_xlfn.IFS(G653&lt;10000, "Low", G653&lt;=25000, "Medium", G653&gt;25000, "High")</f>
        <v>Low</v>
      </c>
    </row>
    <row r="654" spans="1:11" x14ac:dyDescent="0.3">
      <c r="A654">
        <v>39</v>
      </c>
      <c r="B654" s="1" t="s">
        <v>7</v>
      </c>
      <c r="C654">
        <v>30.2</v>
      </c>
      <c r="D654">
        <v>1</v>
      </c>
      <c r="E654" t="s">
        <v>10</v>
      </c>
      <c r="F654" t="s">
        <v>12</v>
      </c>
      <c r="G654" s="2">
        <v>9144.5650000000005</v>
      </c>
      <c r="H654" t="str" cm="1">
        <f t="array" ref="H654">_xlfn.IFS(A654&lt;=30, "Youth", A654&lt;=50, "Adult", A654&gt;50, "Older")</f>
        <v>Adult</v>
      </c>
      <c r="I654" t="str" cm="1">
        <f t="array" ref="I654">_xlfn.IFS(A654&lt;=25,"18-25",A654&lt;=35,"26-35",A654&lt;=45,"36-45",A654&lt;=60,"46-60",A654&gt;60,"60+")</f>
        <v>36-45</v>
      </c>
      <c r="J654" t="str" cm="1">
        <f t="array" ref="J654">_xlfn.IFS(C654&lt;18.5,"Underweight",C654&lt;25,"Normal",C654&lt;30,"Overweight",C654&gt;=30,"Obese")</f>
        <v>Obese</v>
      </c>
      <c r="K654" t="str" cm="1">
        <f t="array" ref="K654">_xlfn.IFS(G654&lt;10000, "Low", G654&lt;=25000, "Medium", G654&gt;25000, "High")</f>
        <v>Low</v>
      </c>
    </row>
    <row r="655" spans="1:11" x14ac:dyDescent="0.3">
      <c r="A655">
        <v>39</v>
      </c>
      <c r="B655" s="1" t="s">
        <v>7</v>
      </c>
      <c r="C655">
        <v>30.2</v>
      </c>
      <c r="D655">
        <v>1</v>
      </c>
      <c r="E655" t="s">
        <v>10</v>
      </c>
      <c r="F655" t="s">
        <v>12</v>
      </c>
      <c r="G655" s="2">
        <v>9174.1356500000002</v>
      </c>
      <c r="H655" t="str" cm="1">
        <f t="array" ref="H655">_xlfn.IFS(A655&lt;=30, "Youth", A655&lt;=50, "Adult", A655&gt;50, "Older")</f>
        <v>Adult</v>
      </c>
      <c r="I655" t="str" cm="1">
        <f t="array" ref="I655">_xlfn.IFS(A655&lt;=25,"18-25",A655&lt;=35,"26-35",A655&lt;=45,"36-45",A655&lt;=60,"46-60",A655&gt;60,"60+")</f>
        <v>36-45</v>
      </c>
      <c r="J655" t="str" cm="1">
        <f t="array" ref="J655">_xlfn.IFS(C655&lt;18.5,"Underweight",C655&lt;25,"Normal",C655&lt;30,"Overweight",C655&gt;=30,"Obese")</f>
        <v>Obese</v>
      </c>
      <c r="K655" t="str" cm="1">
        <f t="array" ref="K655">_xlfn.IFS(G655&lt;10000, "Low", G655&lt;=25000, "Medium", G655&gt;25000, "High")</f>
        <v>Low</v>
      </c>
    </row>
    <row r="656" spans="1:11" x14ac:dyDescent="0.3">
      <c r="A656">
        <v>39</v>
      </c>
      <c r="B656" s="1" t="s">
        <v>7</v>
      </c>
      <c r="C656">
        <v>30.2</v>
      </c>
      <c r="D656">
        <v>1</v>
      </c>
      <c r="E656" t="s">
        <v>9</v>
      </c>
      <c r="F656" t="s">
        <v>12</v>
      </c>
      <c r="G656" s="2">
        <v>9182.17</v>
      </c>
      <c r="H656" t="str" cm="1">
        <f t="array" ref="H656">_xlfn.IFS(A656&lt;=30, "Youth", A656&lt;=50, "Adult", A656&gt;50, "Older")</f>
        <v>Adult</v>
      </c>
      <c r="I656" t="str" cm="1">
        <f t="array" ref="I656">_xlfn.IFS(A656&lt;=25,"18-25",A656&lt;=35,"26-35",A656&lt;=45,"36-45",A656&lt;=60,"46-60",A656&gt;60,"60+")</f>
        <v>36-45</v>
      </c>
      <c r="J656" t="str" cm="1">
        <f t="array" ref="J656">_xlfn.IFS(C656&lt;18.5,"Underweight",C656&lt;25,"Normal",C656&lt;30,"Overweight",C656&gt;=30,"Obese")</f>
        <v>Obese</v>
      </c>
      <c r="K656" t="str" cm="1">
        <f t="array" ref="K656">_xlfn.IFS(G656&lt;10000, "Low", G656&lt;=25000, "Medium", G656&gt;25000, "High")</f>
        <v>Low</v>
      </c>
    </row>
    <row r="657" spans="1:11" x14ac:dyDescent="0.3">
      <c r="A657">
        <v>39</v>
      </c>
      <c r="B657" s="1" t="s">
        <v>7</v>
      </c>
      <c r="C657">
        <v>30.2</v>
      </c>
      <c r="D657">
        <v>1</v>
      </c>
      <c r="E657" t="s">
        <v>10</v>
      </c>
      <c r="F657" t="s">
        <v>11</v>
      </c>
      <c r="G657" s="2">
        <v>9193.8384999999998</v>
      </c>
      <c r="H657" t="str" cm="1">
        <f t="array" ref="H657">_xlfn.IFS(A657&lt;=30, "Youth", A657&lt;=50, "Adult", A657&gt;50, "Older")</f>
        <v>Adult</v>
      </c>
      <c r="I657" t="str" cm="1">
        <f t="array" ref="I657">_xlfn.IFS(A657&lt;=25,"18-25",A657&lt;=35,"26-35",A657&lt;=45,"36-45",A657&lt;=60,"46-60",A657&gt;60,"60+")</f>
        <v>36-45</v>
      </c>
      <c r="J657" t="str" cm="1">
        <f t="array" ref="J657">_xlfn.IFS(C657&lt;18.5,"Underweight",C657&lt;25,"Normal",C657&lt;30,"Overweight",C657&gt;=30,"Obese")</f>
        <v>Obese</v>
      </c>
      <c r="K657" t="str" cm="1">
        <f t="array" ref="K657">_xlfn.IFS(G657&lt;10000, "Low", G657&lt;=25000, "Medium", G657&gt;25000, "High")</f>
        <v>Low</v>
      </c>
    </row>
    <row r="658" spans="1:11" x14ac:dyDescent="0.3">
      <c r="A658">
        <v>39</v>
      </c>
      <c r="B658" s="1" t="s">
        <v>8</v>
      </c>
      <c r="C658">
        <v>30.21</v>
      </c>
      <c r="D658">
        <v>1</v>
      </c>
      <c r="E658" t="s">
        <v>10</v>
      </c>
      <c r="F658" t="s">
        <v>13</v>
      </c>
      <c r="G658" s="2">
        <v>9222.4025999999994</v>
      </c>
      <c r="H658" t="str" cm="1">
        <f t="array" ref="H658">_xlfn.IFS(A658&lt;=30, "Youth", A658&lt;=50, "Adult", A658&gt;50, "Older")</f>
        <v>Adult</v>
      </c>
      <c r="I658" t="str" cm="1">
        <f t="array" ref="I658">_xlfn.IFS(A658&lt;=25,"18-25",A658&lt;=35,"26-35",A658&lt;=45,"36-45",A658&lt;=60,"46-60",A658&gt;60,"60+")</f>
        <v>36-45</v>
      </c>
      <c r="J658" t="str" cm="1">
        <f t="array" ref="J658">_xlfn.IFS(C658&lt;18.5,"Underweight",C658&lt;25,"Normal",C658&lt;30,"Overweight",C658&gt;=30,"Obese")</f>
        <v>Obese</v>
      </c>
      <c r="K658" t="str" cm="1">
        <f t="array" ref="K658">_xlfn.IFS(G658&lt;10000, "Low", G658&lt;=25000, "Medium", G658&gt;25000, "High")</f>
        <v>Low</v>
      </c>
    </row>
    <row r="659" spans="1:11" x14ac:dyDescent="0.3">
      <c r="A659">
        <v>39</v>
      </c>
      <c r="B659" s="1" t="s">
        <v>7</v>
      </c>
      <c r="C659">
        <v>30.21</v>
      </c>
      <c r="D659">
        <v>1</v>
      </c>
      <c r="E659" t="s">
        <v>10</v>
      </c>
      <c r="F659" t="s">
        <v>14</v>
      </c>
      <c r="G659" s="2">
        <v>9225.2564000000002</v>
      </c>
      <c r="H659" t="str" cm="1">
        <f t="array" ref="H659">_xlfn.IFS(A659&lt;=30, "Youth", A659&lt;=50, "Adult", A659&gt;50, "Older")</f>
        <v>Adult</v>
      </c>
      <c r="I659" t="str" cm="1">
        <f t="array" ref="I659">_xlfn.IFS(A659&lt;=25,"18-25",A659&lt;=35,"26-35",A659&lt;=45,"36-45",A659&lt;=60,"46-60",A659&gt;60,"60+")</f>
        <v>36-45</v>
      </c>
      <c r="J659" t="str" cm="1">
        <f t="array" ref="J659">_xlfn.IFS(C659&lt;18.5,"Underweight",C659&lt;25,"Normal",C659&lt;30,"Overweight",C659&gt;=30,"Obese")</f>
        <v>Obese</v>
      </c>
      <c r="K659" t="str" cm="1">
        <f t="array" ref="K659">_xlfn.IFS(G659&lt;10000, "Low", G659&lt;=25000, "Medium", G659&gt;25000, "High")</f>
        <v>Low</v>
      </c>
    </row>
    <row r="660" spans="1:11" x14ac:dyDescent="0.3">
      <c r="A660">
        <v>39</v>
      </c>
      <c r="B660" s="1" t="s">
        <v>7</v>
      </c>
      <c r="C660">
        <v>30.21</v>
      </c>
      <c r="D660">
        <v>1</v>
      </c>
      <c r="E660" t="s">
        <v>10</v>
      </c>
      <c r="F660" t="s">
        <v>14</v>
      </c>
      <c r="G660" s="2">
        <v>9249.4951999999994</v>
      </c>
      <c r="H660" t="str" cm="1">
        <f t="array" ref="H660">_xlfn.IFS(A660&lt;=30, "Youth", A660&lt;=50, "Adult", A660&gt;50, "Older")</f>
        <v>Adult</v>
      </c>
      <c r="I660" t="str" cm="1">
        <f t="array" ref="I660">_xlfn.IFS(A660&lt;=25,"18-25",A660&lt;=35,"26-35",A660&lt;=45,"36-45",A660&lt;=60,"46-60",A660&gt;60,"60+")</f>
        <v>36-45</v>
      </c>
      <c r="J660" t="str" cm="1">
        <f t="array" ref="J660">_xlfn.IFS(C660&lt;18.5,"Underweight",C660&lt;25,"Normal",C660&lt;30,"Overweight",C660&gt;=30,"Obese")</f>
        <v>Obese</v>
      </c>
      <c r="K660" t="str" cm="1">
        <f t="array" ref="K660">_xlfn.IFS(G660&lt;10000, "Low", G660&lt;=25000, "Medium", G660&gt;25000, "High")</f>
        <v>Low</v>
      </c>
    </row>
    <row r="661" spans="1:11" x14ac:dyDescent="0.3">
      <c r="A661">
        <v>39</v>
      </c>
      <c r="B661" s="1" t="s">
        <v>8</v>
      </c>
      <c r="C661">
        <v>30.21</v>
      </c>
      <c r="D661">
        <v>1</v>
      </c>
      <c r="E661" t="s">
        <v>10</v>
      </c>
      <c r="F661" t="s">
        <v>12</v>
      </c>
      <c r="G661" s="2">
        <v>9264.7970000000005</v>
      </c>
      <c r="H661" t="str" cm="1">
        <f t="array" ref="H661">_xlfn.IFS(A661&lt;=30, "Youth", A661&lt;=50, "Adult", A661&gt;50, "Older")</f>
        <v>Adult</v>
      </c>
      <c r="I661" t="str" cm="1">
        <f t="array" ref="I661">_xlfn.IFS(A661&lt;=25,"18-25",A661&lt;=35,"26-35",A661&lt;=45,"36-45",A661&lt;=60,"46-60",A661&gt;60,"60+")</f>
        <v>36-45</v>
      </c>
      <c r="J661" t="str" cm="1">
        <f t="array" ref="J661">_xlfn.IFS(C661&lt;18.5,"Underweight",C661&lt;25,"Normal",C661&lt;30,"Overweight",C661&gt;=30,"Obese")</f>
        <v>Obese</v>
      </c>
      <c r="K661" t="str" cm="1">
        <f t="array" ref="K661">_xlfn.IFS(G661&lt;10000, "Low", G661&lt;=25000, "Medium", G661&gt;25000, "High")</f>
        <v>Low</v>
      </c>
    </row>
    <row r="662" spans="1:11" x14ac:dyDescent="0.3">
      <c r="A662">
        <v>39</v>
      </c>
      <c r="B662" s="1" t="s">
        <v>7</v>
      </c>
      <c r="C662">
        <v>30.25</v>
      </c>
      <c r="D662">
        <v>1</v>
      </c>
      <c r="E662" t="s">
        <v>10</v>
      </c>
      <c r="F662" t="s">
        <v>12</v>
      </c>
      <c r="G662" s="2">
        <v>9282.4806000000008</v>
      </c>
      <c r="H662" t="str" cm="1">
        <f t="array" ref="H662">_xlfn.IFS(A662&lt;=30, "Youth", A662&lt;=50, "Adult", A662&gt;50, "Older")</f>
        <v>Adult</v>
      </c>
      <c r="I662" t="str" cm="1">
        <f t="array" ref="I662">_xlfn.IFS(A662&lt;=25,"18-25",A662&lt;=35,"26-35",A662&lt;=45,"36-45",A662&lt;=60,"46-60",A662&gt;60,"60+")</f>
        <v>36-45</v>
      </c>
      <c r="J662" t="str" cm="1">
        <f t="array" ref="J662">_xlfn.IFS(C662&lt;18.5,"Underweight",C662&lt;25,"Normal",C662&lt;30,"Overweight",C662&gt;=30,"Obese")</f>
        <v>Obese</v>
      </c>
      <c r="K662" t="str" cm="1">
        <f t="array" ref="K662">_xlfn.IFS(G662&lt;10000, "Low", G662&lt;=25000, "Medium", G662&gt;25000, "High")</f>
        <v>Low</v>
      </c>
    </row>
    <row r="663" spans="1:11" x14ac:dyDescent="0.3">
      <c r="A663">
        <v>39</v>
      </c>
      <c r="B663" s="1" t="s">
        <v>7</v>
      </c>
      <c r="C663">
        <v>30.25</v>
      </c>
      <c r="D663">
        <v>1</v>
      </c>
      <c r="E663" t="s">
        <v>10</v>
      </c>
      <c r="F663" t="s">
        <v>14</v>
      </c>
      <c r="G663" s="2">
        <v>9283.5619999999999</v>
      </c>
      <c r="H663" t="str" cm="1">
        <f t="array" ref="H663">_xlfn.IFS(A663&lt;=30, "Youth", A663&lt;=50, "Adult", A663&gt;50, "Older")</f>
        <v>Adult</v>
      </c>
      <c r="I663" t="str" cm="1">
        <f t="array" ref="I663">_xlfn.IFS(A663&lt;=25,"18-25",A663&lt;=35,"26-35",A663&lt;=45,"36-45",A663&lt;=60,"46-60",A663&gt;60,"60+")</f>
        <v>36-45</v>
      </c>
      <c r="J663" t="str" cm="1">
        <f t="array" ref="J663">_xlfn.IFS(C663&lt;18.5,"Underweight",C663&lt;25,"Normal",C663&lt;30,"Overweight",C663&gt;=30,"Obese")</f>
        <v>Obese</v>
      </c>
      <c r="K663" t="str" cm="1">
        <f t="array" ref="K663">_xlfn.IFS(G663&lt;10000, "Low", G663&lt;=25000, "Medium", G663&gt;25000, "High")</f>
        <v>Low</v>
      </c>
    </row>
    <row r="664" spans="1:11" x14ac:dyDescent="0.3">
      <c r="A664">
        <v>39</v>
      </c>
      <c r="B664" s="1" t="s">
        <v>8</v>
      </c>
      <c r="C664">
        <v>30.3</v>
      </c>
      <c r="D664">
        <v>1</v>
      </c>
      <c r="E664" t="s">
        <v>10</v>
      </c>
      <c r="F664" t="s">
        <v>12</v>
      </c>
      <c r="G664" s="2">
        <v>9288.0267000000003</v>
      </c>
      <c r="H664" t="str" cm="1">
        <f t="array" ref="H664">_xlfn.IFS(A664&lt;=30, "Youth", A664&lt;=50, "Adult", A664&gt;50, "Older")</f>
        <v>Adult</v>
      </c>
      <c r="I664" t="str" cm="1">
        <f t="array" ref="I664">_xlfn.IFS(A664&lt;=25,"18-25",A664&lt;=35,"26-35",A664&lt;=45,"36-45",A664&lt;=60,"46-60",A664&gt;60,"60+")</f>
        <v>36-45</v>
      </c>
      <c r="J664" t="str" cm="1">
        <f t="array" ref="J664">_xlfn.IFS(C664&lt;18.5,"Underweight",C664&lt;25,"Normal",C664&lt;30,"Overweight",C664&gt;=30,"Obese")</f>
        <v>Obese</v>
      </c>
      <c r="K664" t="str" cm="1">
        <f t="array" ref="K664">_xlfn.IFS(G664&lt;10000, "Low", G664&lt;=25000, "Medium", G664&gt;25000, "High")</f>
        <v>Low</v>
      </c>
    </row>
    <row r="665" spans="1:11" x14ac:dyDescent="0.3">
      <c r="A665">
        <v>39</v>
      </c>
      <c r="B665" s="1" t="s">
        <v>7</v>
      </c>
      <c r="C665">
        <v>30.3</v>
      </c>
      <c r="D665">
        <v>1</v>
      </c>
      <c r="E665" t="s">
        <v>9</v>
      </c>
      <c r="F665" t="s">
        <v>12</v>
      </c>
      <c r="G665" s="2">
        <v>9290.1394999999993</v>
      </c>
      <c r="H665" t="str" cm="1">
        <f t="array" ref="H665">_xlfn.IFS(A665&lt;=30, "Youth", A665&lt;=50, "Adult", A665&gt;50, "Older")</f>
        <v>Adult</v>
      </c>
      <c r="I665" t="str" cm="1">
        <f t="array" ref="I665">_xlfn.IFS(A665&lt;=25,"18-25",A665&lt;=35,"26-35",A665&lt;=45,"36-45",A665&lt;=60,"46-60",A665&gt;60,"60+")</f>
        <v>36-45</v>
      </c>
      <c r="J665" t="str" cm="1">
        <f t="array" ref="J665">_xlfn.IFS(C665&lt;18.5,"Underweight",C665&lt;25,"Normal",C665&lt;30,"Overweight",C665&gt;=30,"Obese")</f>
        <v>Obese</v>
      </c>
      <c r="K665" t="str" cm="1">
        <f t="array" ref="K665">_xlfn.IFS(G665&lt;10000, "Low", G665&lt;=25000, "Medium", G665&gt;25000, "High")</f>
        <v>Low</v>
      </c>
    </row>
    <row r="666" spans="1:11" x14ac:dyDescent="0.3">
      <c r="A666">
        <v>39</v>
      </c>
      <c r="B666" s="1" t="s">
        <v>8</v>
      </c>
      <c r="C666">
        <v>30.3</v>
      </c>
      <c r="D666">
        <v>1</v>
      </c>
      <c r="E666" t="s">
        <v>9</v>
      </c>
      <c r="F666" t="s">
        <v>12</v>
      </c>
      <c r="G666" s="2">
        <v>9301.8935500000007</v>
      </c>
      <c r="H666" t="str" cm="1">
        <f t="array" ref="H666">_xlfn.IFS(A666&lt;=30, "Youth", A666&lt;=50, "Adult", A666&gt;50, "Older")</f>
        <v>Adult</v>
      </c>
      <c r="I666" t="str" cm="1">
        <f t="array" ref="I666">_xlfn.IFS(A666&lt;=25,"18-25",A666&lt;=35,"26-35",A666&lt;=45,"36-45",A666&lt;=60,"46-60",A666&gt;60,"60+")</f>
        <v>36-45</v>
      </c>
      <c r="J666" t="str" cm="1">
        <f t="array" ref="J666">_xlfn.IFS(C666&lt;18.5,"Underweight",C666&lt;25,"Normal",C666&lt;30,"Overweight",C666&gt;=30,"Obese")</f>
        <v>Obese</v>
      </c>
      <c r="K666" t="str" cm="1">
        <f t="array" ref="K666">_xlfn.IFS(G666&lt;10000, "Low", G666&lt;=25000, "Medium", G666&gt;25000, "High")</f>
        <v>Low</v>
      </c>
    </row>
    <row r="667" spans="1:11" x14ac:dyDescent="0.3">
      <c r="A667">
        <v>39</v>
      </c>
      <c r="B667" s="1" t="s">
        <v>8</v>
      </c>
      <c r="C667">
        <v>30.305</v>
      </c>
      <c r="D667">
        <v>1</v>
      </c>
      <c r="E667" t="s">
        <v>10</v>
      </c>
      <c r="F667" t="s">
        <v>11</v>
      </c>
      <c r="G667" s="2">
        <v>9304.7019</v>
      </c>
      <c r="H667" t="str" cm="1">
        <f t="array" ref="H667">_xlfn.IFS(A667&lt;=30, "Youth", A667&lt;=50, "Adult", A667&gt;50, "Older")</f>
        <v>Adult</v>
      </c>
      <c r="I667" t="str" cm="1">
        <f t="array" ref="I667">_xlfn.IFS(A667&lt;=25,"18-25",A667&lt;=35,"26-35",A667&lt;=45,"36-45",A667&lt;=60,"46-60",A667&gt;60,"60+")</f>
        <v>36-45</v>
      </c>
      <c r="J667" t="str" cm="1">
        <f t="array" ref="J667">_xlfn.IFS(C667&lt;18.5,"Underweight",C667&lt;25,"Normal",C667&lt;30,"Overweight",C667&gt;=30,"Obese")</f>
        <v>Obese</v>
      </c>
      <c r="K667" t="str" cm="1">
        <f t="array" ref="K667">_xlfn.IFS(G667&lt;10000, "Low", G667&lt;=25000, "Medium", G667&gt;25000, "High")</f>
        <v>Low</v>
      </c>
    </row>
    <row r="668" spans="1:11" x14ac:dyDescent="0.3">
      <c r="A668">
        <v>39</v>
      </c>
      <c r="B668" s="1" t="s">
        <v>7</v>
      </c>
      <c r="C668">
        <v>30.305</v>
      </c>
      <c r="D668">
        <v>1</v>
      </c>
      <c r="E668" t="s">
        <v>9</v>
      </c>
      <c r="F668" t="s">
        <v>13</v>
      </c>
      <c r="G668" s="2">
        <v>9361.3268000000007</v>
      </c>
      <c r="H668" t="str" cm="1">
        <f t="array" ref="H668">_xlfn.IFS(A668&lt;=30, "Youth", A668&lt;=50, "Adult", A668&gt;50, "Older")</f>
        <v>Adult</v>
      </c>
      <c r="I668" t="str" cm="1">
        <f t="array" ref="I668">_xlfn.IFS(A668&lt;=25,"18-25",A668&lt;=35,"26-35",A668&lt;=45,"36-45",A668&lt;=60,"46-60",A668&gt;60,"60+")</f>
        <v>36-45</v>
      </c>
      <c r="J668" t="str" cm="1">
        <f t="array" ref="J668">_xlfn.IFS(C668&lt;18.5,"Underweight",C668&lt;25,"Normal",C668&lt;30,"Overweight",C668&gt;=30,"Obese")</f>
        <v>Obese</v>
      </c>
      <c r="K668" t="str" cm="1">
        <f t="array" ref="K668">_xlfn.IFS(G668&lt;10000, "Low", G668&lt;=25000, "Medium", G668&gt;25000, "High")</f>
        <v>Low</v>
      </c>
    </row>
    <row r="669" spans="1:11" x14ac:dyDescent="0.3">
      <c r="A669">
        <v>39</v>
      </c>
      <c r="B669" s="1" t="s">
        <v>8</v>
      </c>
      <c r="C669">
        <v>30.36</v>
      </c>
      <c r="D669">
        <v>1</v>
      </c>
      <c r="E669" t="s">
        <v>9</v>
      </c>
      <c r="F669" t="s">
        <v>14</v>
      </c>
      <c r="G669" s="2">
        <v>9377.9046999999991</v>
      </c>
      <c r="H669" t="str" cm="1">
        <f t="array" ref="H669">_xlfn.IFS(A669&lt;=30, "Youth", A669&lt;=50, "Adult", A669&gt;50, "Older")</f>
        <v>Adult</v>
      </c>
      <c r="I669" t="str" cm="1">
        <f t="array" ref="I669">_xlfn.IFS(A669&lt;=25,"18-25",A669&lt;=35,"26-35",A669&lt;=45,"36-45",A669&lt;=60,"46-60",A669&gt;60,"60+")</f>
        <v>36-45</v>
      </c>
      <c r="J669" t="str" cm="1">
        <f t="array" ref="J669">_xlfn.IFS(C669&lt;18.5,"Underweight",C669&lt;25,"Normal",C669&lt;30,"Overweight",C669&gt;=30,"Obese")</f>
        <v>Obese</v>
      </c>
      <c r="K669" t="str" cm="1">
        <f t="array" ref="K669">_xlfn.IFS(G669&lt;10000, "Low", G669&lt;=25000, "Medium", G669&gt;25000, "High")</f>
        <v>Low</v>
      </c>
    </row>
    <row r="670" spans="1:11" x14ac:dyDescent="0.3">
      <c r="A670">
        <v>39</v>
      </c>
      <c r="B670" s="1" t="s">
        <v>7</v>
      </c>
      <c r="C670">
        <v>30.4</v>
      </c>
      <c r="D670">
        <v>1</v>
      </c>
      <c r="E670" t="s">
        <v>10</v>
      </c>
      <c r="F670" t="s">
        <v>12</v>
      </c>
      <c r="G670" s="2">
        <v>9386.1612999999998</v>
      </c>
      <c r="H670" t="str" cm="1">
        <f t="array" ref="H670">_xlfn.IFS(A670&lt;=30, "Youth", A670&lt;=50, "Adult", A670&gt;50, "Older")</f>
        <v>Adult</v>
      </c>
      <c r="I670" t="str" cm="1">
        <f t="array" ref="I670">_xlfn.IFS(A670&lt;=25,"18-25",A670&lt;=35,"26-35",A670&lt;=45,"36-45",A670&lt;=60,"46-60",A670&gt;60,"60+")</f>
        <v>36-45</v>
      </c>
      <c r="J670" t="str" cm="1">
        <f t="array" ref="J670">_xlfn.IFS(C670&lt;18.5,"Underweight",C670&lt;25,"Normal",C670&lt;30,"Overweight",C670&gt;=30,"Obese")</f>
        <v>Obese</v>
      </c>
      <c r="K670" t="str" cm="1">
        <f t="array" ref="K670">_xlfn.IFS(G670&lt;10000, "Low", G670&lt;=25000, "Medium", G670&gt;25000, "High")</f>
        <v>Low</v>
      </c>
    </row>
    <row r="671" spans="1:11" x14ac:dyDescent="0.3">
      <c r="A671">
        <v>39</v>
      </c>
      <c r="B671" s="1" t="s">
        <v>8</v>
      </c>
      <c r="C671">
        <v>30.4</v>
      </c>
      <c r="D671">
        <v>1</v>
      </c>
      <c r="E671" t="s">
        <v>10</v>
      </c>
      <c r="F671" t="s">
        <v>12</v>
      </c>
      <c r="G671" s="2">
        <v>9391.3459999999995</v>
      </c>
      <c r="H671" t="str" cm="1">
        <f t="array" ref="H671">_xlfn.IFS(A671&lt;=30, "Youth", A671&lt;=50, "Adult", A671&gt;50, "Older")</f>
        <v>Adult</v>
      </c>
      <c r="I671" t="str" cm="1">
        <f t="array" ref="I671">_xlfn.IFS(A671&lt;=25,"18-25",A671&lt;=35,"26-35",A671&lt;=45,"36-45",A671&lt;=60,"46-60",A671&gt;60,"60+")</f>
        <v>36-45</v>
      </c>
      <c r="J671" t="str" cm="1">
        <f t="array" ref="J671">_xlfn.IFS(C671&lt;18.5,"Underweight",C671&lt;25,"Normal",C671&lt;30,"Overweight",C671&gt;=30,"Obese")</f>
        <v>Obese</v>
      </c>
      <c r="K671" t="str" cm="1">
        <f t="array" ref="K671">_xlfn.IFS(G671&lt;10000, "Low", G671&lt;=25000, "Medium", G671&gt;25000, "High")</f>
        <v>Low</v>
      </c>
    </row>
    <row r="672" spans="1:11" x14ac:dyDescent="0.3">
      <c r="A672">
        <v>39</v>
      </c>
      <c r="B672" s="1" t="s">
        <v>7</v>
      </c>
      <c r="C672">
        <v>30.4</v>
      </c>
      <c r="D672">
        <v>1</v>
      </c>
      <c r="E672" t="s">
        <v>10</v>
      </c>
      <c r="F672" t="s">
        <v>14</v>
      </c>
      <c r="G672" s="2">
        <v>9411.0049999999992</v>
      </c>
      <c r="H672" t="str" cm="1">
        <f t="array" ref="H672">_xlfn.IFS(A672&lt;=30, "Youth", A672&lt;=50, "Adult", A672&gt;50, "Older")</f>
        <v>Adult</v>
      </c>
      <c r="I672" t="str" cm="1">
        <f t="array" ref="I672">_xlfn.IFS(A672&lt;=25,"18-25",A672&lt;=35,"26-35",A672&lt;=45,"36-45",A672&lt;=60,"46-60",A672&gt;60,"60+")</f>
        <v>36-45</v>
      </c>
      <c r="J672" t="str" cm="1">
        <f t="array" ref="J672">_xlfn.IFS(C672&lt;18.5,"Underweight",C672&lt;25,"Normal",C672&lt;30,"Overweight",C672&gt;=30,"Obese")</f>
        <v>Obese</v>
      </c>
      <c r="K672" t="str" cm="1">
        <f t="array" ref="K672">_xlfn.IFS(G672&lt;10000, "Low", G672&lt;=25000, "Medium", G672&gt;25000, "High")</f>
        <v>Low</v>
      </c>
    </row>
    <row r="673" spans="1:11" x14ac:dyDescent="0.3">
      <c r="A673">
        <v>39</v>
      </c>
      <c r="B673" s="1" t="s">
        <v>8</v>
      </c>
      <c r="C673">
        <v>30.4</v>
      </c>
      <c r="D673">
        <v>1</v>
      </c>
      <c r="E673" t="s">
        <v>10</v>
      </c>
      <c r="F673" t="s">
        <v>12</v>
      </c>
      <c r="G673" s="2">
        <v>9414.92</v>
      </c>
      <c r="H673" t="str" cm="1">
        <f t="array" ref="H673">_xlfn.IFS(A673&lt;=30, "Youth", A673&lt;=50, "Adult", A673&gt;50, "Older")</f>
        <v>Adult</v>
      </c>
      <c r="I673" t="str" cm="1">
        <f t="array" ref="I673">_xlfn.IFS(A673&lt;=25,"18-25",A673&lt;=35,"26-35",A673&lt;=45,"36-45",A673&lt;=60,"46-60",A673&gt;60,"60+")</f>
        <v>36-45</v>
      </c>
      <c r="J673" t="str" cm="1">
        <f t="array" ref="J673">_xlfn.IFS(C673&lt;18.5,"Underweight",C673&lt;25,"Normal",C673&lt;30,"Overweight",C673&gt;=30,"Obese")</f>
        <v>Obese</v>
      </c>
      <c r="K673" t="str" cm="1">
        <f t="array" ref="K673">_xlfn.IFS(G673&lt;10000, "Low", G673&lt;=25000, "Medium", G673&gt;25000, "High")</f>
        <v>Low</v>
      </c>
    </row>
    <row r="674" spans="1:11" x14ac:dyDescent="0.3">
      <c r="A674">
        <v>39</v>
      </c>
      <c r="B674" s="1" t="s">
        <v>7</v>
      </c>
      <c r="C674">
        <v>30.4</v>
      </c>
      <c r="D674">
        <v>1</v>
      </c>
      <c r="E674" t="s">
        <v>10</v>
      </c>
      <c r="F674" t="s">
        <v>12</v>
      </c>
      <c r="G674" s="2">
        <v>9432.9253000000008</v>
      </c>
      <c r="H674" t="str" cm="1">
        <f t="array" ref="H674">_xlfn.IFS(A674&lt;=30, "Youth", A674&lt;=50, "Adult", A674&gt;50, "Older")</f>
        <v>Adult</v>
      </c>
      <c r="I674" t="str" cm="1">
        <f t="array" ref="I674">_xlfn.IFS(A674&lt;=25,"18-25",A674&lt;=35,"26-35",A674&lt;=45,"36-45",A674&lt;=60,"46-60",A674&gt;60,"60+")</f>
        <v>36-45</v>
      </c>
      <c r="J674" t="str" cm="1">
        <f t="array" ref="J674">_xlfn.IFS(C674&lt;18.5,"Underweight",C674&lt;25,"Normal",C674&lt;30,"Overweight",C674&gt;=30,"Obese")</f>
        <v>Obese</v>
      </c>
      <c r="K674" t="str" cm="1">
        <f t="array" ref="K674">_xlfn.IFS(G674&lt;10000, "Low", G674&lt;=25000, "Medium", G674&gt;25000, "High")</f>
        <v>Low</v>
      </c>
    </row>
    <row r="675" spans="1:11" x14ac:dyDescent="0.3">
      <c r="A675">
        <v>40</v>
      </c>
      <c r="B675" s="1" t="s">
        <v>7</v>
      </c>
      <c r="C675">
        <v>30.495000000000001</v>
      </c>
      <c r="D675">
        <v>1</v>
      </c>
      <c r="E675" t="s">
        <v>9</v>
      </c>
      <c r="F675" t="s">
        <v>12</v>
      </c>
      <c r="G675" s="2">
        <v>9447.2503500000003</v>
      </c>
      <c r="H675" t="str" cm="1">
        <f t="array" ref="H675">_xlfn.IFS(A675&lt;=30, "Youth", A675&lt;=50, "Adult", A675&gt;50, "Older")</f>
        <v>Adult</v>
      </c>
      <c r="I675" t="str" cm="1">
        <f t="array" ref="I675">_xlfn.IFS(A675&lt;=25,"18-25",A675&lt;=35,"26-35",A675&lt;=45,"36-45",A675&lt;=60,"46-60",A675&gt;60,"60+")</f>
        <v>36-45</v>
      </c>
      <c r="J675" t="str" cm="1">
        <f t="array" ref="J675">_xlfn.IFS(C675&lt;18.5,"Underweight",C675&lt;25,"Normal",C675&lt;30,"Overweight",C675&gt;=30,"Obese")</f>
        <v>Obese</v>
      </c>
      <c r="K675" t="str" cm="1">
        <f t="array" ref="K675">_xlfn.IFS(G675&lt;10000, "Low", G675&lt;=25000, "Medium", G675&gt;25000, "High")</f>
        <v>Low</v>
      </c>
    </row>
    <row r="676" spans="1:11" x14ac:dyDescent="0.3">
      <c r="A676">
        <v>40</v>
      </c>
      <c r="B676" s="1" t="s">
        <v>8</v>
      </c>
      <c r="C676">
        <v>30.495000000000001</v>
      </c>
      <c r="D676">
        <v>1</v>
      </c>
      <c r="E676" t="s">
        <v>10</v>
      </c>
      <c r="F676" t="s">
        <v>13</v>
      </c>
      <c r="G676" s="2">
        <v>9447.3824000000004</v>
      </c>
      <c r="H676" t="str" cm="1">
        <f t="array" ref="H676">_xlfn.IFS(A676&lt;=30, "Youth", A676&lt;=50, "Adult", A676&gt;50, "Older")</f>
        <v>Adult</v>
      </c>
      <c r="I676" t="str" cm="1">
        <f t="array" ref="I676">_xlfn.IFS(A676&lt;=25,"18-25",A676&lt;=35,"26-35",A676&lt;=45,"36-45",A676&lt;=60,"46-60",A676&gt;60,"60+")</f>
        <v>36-45</v>
      </c>
      <c r="J676" t="str" cm="1">
        <f t="array" ref="J676">_xlfn.IFS(C676&lt;18.5,"Underweight",C676&lt;25,"Normal",C676&lt;30,"Overweight",C676&gt;=30,"Obese")</f>
        <v>Obese</v>
      </c>
      <c r="K676" t="str" cm="1">
        <f t="array" ref="K676">_xlfn.IFS(G676&lt;10000, "Low", G676&lt;=25000, "Medium", G676&gt;25000, "High")</f>
        <v>Low</v>
      </c>
    </row>
    <row r="677" spans="1:11" x14ac:dyDescent="0.3">
      <c r="A677">
        <v>40</v>
      </c>
      <c r="B677" s="1" t="s">
        <v>7</v>
      </c>
      <c r="C677">
        <v>30.495000000000001</v>
      </c>
      <c r="D677">
        <v>1</v>
      </c>
      <c r="E677" t="s">
        <v>10</v>
      </c>
      <c r="F677" t="s">
        <v>12</v>
      </c>
      <c r="G677" s="2">
        <v>9487.6442000000006</v>
      </c>
      <c r="H677" t="str" cm="1">
        <f t="array" ref="H677">_xlfn.IFS(A677&lt;=30, "Youth", A677&lt;=50, "Adult", A677&gt;50, "Older")</f>
        <v>Adult</v>
      </c>
      <c r="I677" t="str" cm="1">
        <f t="array" ref="I677">_xlfn.IFS(A677&lt;=25,"18-25",A677&lt;=35,"26-35",A677&lt;=45,"36-45",A677&lt;=60,"46-60",A677&gt;60,"60+")</f>
        <v>36-45</v>
      </c>
      <c r="J677" t="str" cm="1">
        <f t="array" ref="J677">_xlfn.IFS(C677&lt;18.5,"Underweight",C677&lt;25,"Normal",C677&lt;30,"Overweight",C677&gt;=30,"Obese")</f>
        <v>Obese</v>
      </c>
      <c r="K677" t="str" cm="1">
        <f t="array" ref="K677">_xlfn.IFS(G677&lt;10000, "Low", G677&lt;=25000, "Medium", G677&gt;25000, "High")</f>
        <v>Low</v>
      </c>
    </row>
    <row r="678" spans="1:11" x14ac:dyDescent="0.3">
      <c r="A678">
        <v>40</v>
      </c>
      <c r="B678" s="1" t="s">
        <v>8</v>
      </c>
      <c r="C678">
        <v>30.495000000000001</v>
      </c>
      <c r="D678">
        <v>1</v>
      </c>
      <c r="E678" t="s">
        <v>9</v>
      </c>
      <c r="F678" t="s">
        <v>13</v>
      </c>
      <c r="G678" s="2">
        <v>9500.5730500000009</v>
      </c>
      <c r="H678" t="str" cm="1">
        <f t="array" ref="H678">_xlfn.IFS(A678&lt;=30, "Youth", A678&lt;=50, "Adult", A678&gt;50, "Older")</f>
        <v>Adult</v>
      </c>
      <c r="I678" t="str" cm="1">
        <f t="array" ref="I678">_xlfn.IFS(A678&lt;=25,"18-25",A678&lt;=35,"26-35",A678&lt;=45,"36-45",A678&lt;=60,"46-60",A678&gt;60,"60+")</f>
        <v>36-45</v>
      </c>
      <c r="J678" t="str" cm="1">
        <f t="array" ref="J678">_xlfn.IFS(C678&lt;18.5,"Underweight",C678&lt;25,"Normal",C678&lt;30,"Overweight",C678&gt;=30,"Obese")</f>
        <v>Obese</v>
      </c>
      <c r="K678" t="str" cm="1">
        <f t="array" ref="K678">_xlfn.IFS(G678&lt;10000, "Low", G678&lt;=25000, "Medium", G678&gt;25000, "High")</f>
        <v>Low</v>
      </c>
    </row>
    <row r="679" spans="1:11" x14ac:dyDescent="0.3">
      <c r="A679">
        <v>40</v>
      </c>
      <c r="B679" s="1" t="s">
        <v>8</v>
      </c>
      <c r="C679">
        <v>30.495000000000001</v>
      </c>
      <c r="D679">
        <v>1</v>
      </c>
      <c r="E679" t="s">
        <v>10</v>
      </c>
      <c r="F679" t="s">
        <v>11</v>
      </c>
      <c r="G679" s="2">
        <v>9504.3102999999992</v>
      </c>
      <c r="H679" t="str" cm="1">
        <f t="array" ref="H679">_xlfn.IFS(A679&lt;=30, "Youth", A679&lt;=50, "Adult", A679&gt;50, "Older")</f>
        <v>Adult</v>
      </c>
      <c r="I679" t="str" cm="1">
        <f t="array" ref="I679">_xlfn.IFS(A679&lt;=25,"18-25",A679&lt;=35,"26-35",A679&lt;=45,"36-45",A679&lt;=60,"46-60",A679&gt;60,"60+")</f>
        <v>36-45</v>
      </c>
      <c r="J679" t="str" cm="1">
        <f t="array" ref="J679">_xlfn.IFS(C679&lt;18.5,"Underweight",C679&lt;25,"Normal",C679&lt;30,"Overweight",C679&gt;=30,"Obese")</f>
        <v>Obese</v>
      </c>
      <c r="K679" t="str" cm="1">
        <f t="array" ref="K679">_xlfn.IFS(G679&lt;10000, "Low", G679&lt;=25000, "Medium", G679&gt;25000, "High")</f>
        <v>Low</v>
      </c>
    </row>
    <row r="680" spans="1:11" x14ac:dyDescent="0.3">
      <c r="A680">
        <v>40</v>
      </c>
      <c r="B680" s="1" t="s">
        <v>7</v>
      </c>
      <c r="C680">
        <v>30.495000000000001</v>
      </c>
      <c r="D680">
        <v>1</v>
      </c>
      <c r="E680" t="s">
        <v>10</v>
      </c>
      <c r="F680" t="s">
        <v>13</v>
      </c>
      <c r="G680" s="2">
        <v>9541.6955500000004</v>
      </c>
      <c r="H680" t="str" cm="1">
        <f t="array" ref="H680">_xlfn.IFS(A680&lt;=30, "Youth", A680&lt;=50, "Adult", A680&gt;50, "Older")</f>
        <v>Adult</v>
      </c>
      <c r="I680" t="str" cm="1">
        <f t="array" ref="I680">_xlfn.IFS(A680&lt;=25,"18-25",A680&lt;=35,"26-35",A680&lt;=45,"36-45",A680&lt;=60,"46-60",A680&gt;60,"60+")</f>
        <v>36-45</v>
      </c>
      <c r="J680" t="str" cm="1">
        <f t="array" ref="J680">_xlfn.IFS(C680&lt;18.5,"Underweight",C680&lt;25,"Normal",C680&lt;30,"Overweight",C680&gt;=30,"Obese")</f>
        <v>Obese</v>
      </c>
      <c r="K680" t="str" cm="1">
        <f t="array" ref="K680">_xlfn.IFS(G680&lt;10000, "Low", G680&lt;=25000, "Medium", G680&gt;25000, "High")</f>
        <v>Low</v>
      </c>
    </row>
    <row r="681" spans="1:11" x14ac:dyDescent="0.3">
      <c r="A681">
        <v>40</v>
      </c>
      <c r="B681" s="1" t="s">
        <v>7</v>
      </c>
      <c r="C681">
        <v>30.495000000000001</v>
      </c>
      <c r="D681">
        <v>1</v>
      </c>
      <c r="E681" t="s">
        <v>10</v>
      </c>
      <c r="F681" t="s">
        <v>11</v>
      </c>
      <c r="G681" s="2">
        <v>9549.5650999999998</v>
      </c>
      <c r="H681" t="str" cm="1">
        <f t="array" ref="H681">_xlfn.IFS(A681&lt;=30, "Youth", A681&lt;=50, "Adult", A681&gt;50, "Older")</f>
        <v>Adult</v>
      </c>
      <c r="I681" t="str" cm="1">
        <f t="array" ref="I681">_xlfn.IFS(A681&lt;=25,"18-25",A681&lt;=35,"26-35",A681&lt;=45,"36-45",A681&lt;=60,"46-60",A681&gt;60,"60+")</f>
        <v>36-45</v>
      </c>
      <c r="J681" t="str" cm="1">
        <f t="array" ref="J681">_xlfn.IFS(C681&lt;18.5,"Underweight",C681&lt;25,"Normal",C681&lt;30,"Overweight",C681&gt;=30,"Obese")</f>
        <v>Obese</v>
      </c>
      <c r="K681" t="str" cm="1">
        <f t="array" ref="K681">_xlfn.IFS(G681&lt;10000, "Low", G681&lt;=25000, "Medium", G681&gt;25000, "High")</f>
        <v>Low</v>
      </c>
    </row>
    <row r="682" spans="1:11" x14ac:dyDescent="0.3">
      <c r="A682">
        <v>40</v>
      </c>
      <c r="B682" s="1" t="s">
        <v>8</v>
      </c>
      <c r="C682">
        <v>30.495000000000001</v>
      </c>
      <c r="D682">
        <v>1</v>
      </c>
      <c r="E682" t="s">
        <v>10</v>
      </c>
      <c r="F682" t="s">
        <v>11</v>
      </c>
      <c r="G682" s="2">
        <v>9563.0290000000005</v>
      </c>
      <c r="H682" t="str" cm="1">
        <f t="array" ref="H682">_xlfn.IFS(A682&lt;=30, "Youth", A682&lt;=50, "Adult", A682&gt;50, "Older")</f>
        <v>Adult</v>
      </c>
      <c r="I682" t="str" cm="1">
        <f t="array" ref="I682">_xlfn.IFS(A682&lt;=25,"18-25",A682&lt;=35,"26-35",A682&lt;=45,"36-45",A682&lt;=60,"46-60",A682&gt;60,"60+")</f>
        <v>36-45</v>
      </c>
      <c r="J682" t="str" cm="1">
        <f t="array" ref="J682">_xlfn.IFS(C682&lt;18.5,"Underweight",C682&lt;25,"Normal",C682&lt;30,"Overweight",C682&gt;=30,"Obese")</f>
        <v>Obese</v>
      </c>
      <c r="K682" t="str" cm="1">
        <f t="array" ref="K682">_xlfn.IFS(G682&lt;10000, "Low", G682&lt;=25000, "Medium", G682&gt;25000, "High")</f>
        <v>Low</v>
      </c>
    </row>
    <row r="683" spans="1:11" x14ac:dyDescent="0.3">
      <c r="A683">
        <v>40</v>
      </c>
      <c r="B683" s="1" t="s">
        <v>8</v>
      </c>
      <c r="C683">
        <v>30.5</v>
      </c>
      <c r="D683">
        <v>1</v>
      </c>
      <c r="E683" t="s">
        <v>9</v>
      </c>
      <c r="F683" t="s">
        <v>11</v>
      </c>
      <c r="G683" s="2">
        <v>9566.9909000000007</v>
      </c>
      <c r="H683" t="str" cm="1">
        <f t="array" ref="H683">_xlfn.IFS(A683&lt;=30, "Youth", A683&lt;=50, "Adult", A683&gt;50, "Older")</f>
        <v>Adult</v>
      </c>
      <c r="I683" t="str" cm="1">
        <f t="array" ref="I683">_xlfn.IFS(A683&lt;=25,"18-25",A683&lt;=35,"26-35",A683&lt;=45,"36-45",A683&lt;=60,"46-60",A683&gt;60,"60+")</f>
        <v>36-45</v>
      </c>
      <c r="J683" t="str" cm="1">
        <f t="array" ref="J683">_xlfn.IFS(C683&lt;18.5,"Underweight",C683&lt;25,"Normal",C683&lt;30,"Overweight",C683&gt;=30,"Obese")</f>
        <v>Obese</v>
      </c>
      <c r="K683" t="str" cm="1">
        <f t="array" ref="K683">_xlfn.IFS(G683&lt;10000, "Low", G683&lt;=25000, "Medium", G683&gt;25000, "High")</f>
        <v>Low</v>
      </c>
    </row>
    <row r="684" spans="1:11" x14ac:dyDescent="0.3">
      <c r="A684">
        <v>40</v>
      </c>
      <c r="B684" s="1" t="s">
        <v>8</v>
      </c>
      <c r="C684">
        <v>30.5</v>
      </c>
      <c r="D684">
        <v>1</v>
      </c>
      <c r="E684" t="s">
        <v>10</v>
      </c>
      <c r="F684" t="s">
        <v>13</v>
      </c>
      <c r="G684" s="2">
        <v>9583.8932999999997</v>
      </c>
      <c r="H684" t="str" cm="1">
        <f t="array" ref="H684">_xlfn.IFS(A684&lt;=30, "Youth", A684&lt;=50, "Adult", A684&gt;50, "Older")</f>
        <v>Adult</v>
      </c>
      <c r="I684" t="str" cm="1">
        <f t="array" ref="I684">_xlfn.IFS(A684&lt;=25,"18-25",A684&lt;=35,"26-35",A684&lt;=45,"36-45",A684&lt;=60,"46-60",A684&gt;60,"60+")</f>
        <v>36-45</v>
      </c>
      <c r="J684" t="str" cm="1">
        <f t="array" ref="J684">_xlfn.IFS(C684&lt;18.5,"Underweight",C684&lt;25,"Normal",C684&lt;30,"Overweight",C684&gt;=30,"Obese")</f>
        <v>Obese</v>
      </c>
      <c r="K684" t="str" cm="1">
        <f t="array" ref="K684">_xlfn.IFS(G684&lt;10000, "Low", G684&lt;=25000, "Medium", G684&gt;25000, "High")</f>
        <v>Low</v>
      </c>
    </row>
    <row r="685" spans="1:11" x14ac:dyDescent="0.3">
      <c r="A685">
        <v>40</v>
      </c>
      <c r="B685" s="1" t="s">
        <v>7</v>
      </c>
      <c r="C685">
        <v>30.5</v>
      </c>
      <c r="D685">
        <v>1</v>
      </c>
      <c r="E685" t="s">
        <v>10</v>
      </c>
      <c r="F685" t="s">
        <v>11</v>
      </c>
      <c r="G685" s="2">
        <v>9617.6624499999998</v>
      </c>
      <c r="H685" t="str" cm="1">
        <f t="array" ref="H685">_xlfn.IFS(A685&lt;=30, "Youth", A685&lt;=50, "Adult", A685&gt;50, "Older")</f>
        <v>Adult</v>
      </c>
      <c r="I685" t="str" cm="1">
        <f t="array" ref="I685">_xlfn.IFS(A685&lt;=25,"18-25",A685&lt;=35,"26-35",A685&lt;=45,"36-45",A685&lt;=60,"46-60",A685&gt;60,"60+")</f>
        <v>36-45</v>
      </c>
      <c r="J685" t="str" cm="1">
        <f t="array" ref="J685">_xlfn.IFS(C685&lt;18.5,"Underweight",C685&lt;25,"Normal",C685&lt;30,"Overweight",C685&gt;=30,"Obese")</f>
        <v>Obese</v>
      </c>
      <c r="K685" t="str" cm="1">
        <f t="array" ref="K685">_xlfn.IFS(G685&lt;10000, "Low", G685&lt;=25000, "Medium", G685&gt;25000, "High")</f>
        <v>Low</v>
      </c>
    </row>
    <row r="686" spans="1:11" x14ac:dyDescent="0.3">
      <c r="A686">
        <v>40</v>
      </c>
      <c r="B686" s="1" t="s">
        <v>8</v>
      </c>
      <c r="C686">
        <v>30.5</v>
      </c>
      <c r="D686">
        <v>1</v>
      </c>
      <c r="E686" t="s">
        <v>10</v>
      </c>
      <c r="F686" t="s">
        <v>14</v>
      </c>
      <c r="G686" s="2">
        <v>9620.3307000000004</v>
      </c>
      <c r="H686" t="str" cm="1">
        <f t="array" ref="H686">_xlfn.IFS(A686&lt;=30, "Youth", A686&lt;=50, "Adult", A686&gt;50, "Older")</f>
        <v>Adult</v>
      </c>
      <c r="I686" t="str" cm="1">
        <f t="array" ref="I686">_xlfn.IFS(A686&lt;=25,"18-25",A686&lt;=35,"26-35",A686&lt;=45,"36-45",A686&lt;=60,"46-60",A686&gt;60,"60+")</f>
        <v>36-45</v>
      </c>
      <c r="J686" t="str" cm="1">
        <f t="array" ref="J686">_xlfn.IFS(C686&lt;18.5,"Underweight",C686&lt;25,"Normal",C686&lt;30,"Overweight",C686&gt;=30,"Obese")</f>
        <v>Obese</v>
      </c>
      <c r="K686" t="str" cm="1">
        <f t="array" ref="K686">_xlfn.IFS(G686&lt;10000, "Low", G686&lt;=25000, "Medium", G686&gt;25000, "High")</f>
        <v>Low</v>
      </c>
    </row>
    <row r="687" spans="1:11" x14ac:dyDescent="0.3">
      <c r="A687">
        <v>40</v>
      </c>
      <c r="B687" s="1" t="s">
        <v>8</v>
      </c>
      <c r="C687">
        <v>30.59</v>
      </c>
      <c r="D687">
        <v>1</v>
      </c>
      <c r="E687" t="s">
        <v>10</v>
      </c>
      <c r="F687" t="s">
        <v>14</v>
      </c>
      <c r="G687" s="2">
        <v>9625.92</v>
      </c>
      <c r="H687" t="str" cm="1">
        <f t="array" ref="H687">_xlfn.IFS(A687&lt;=30, "Youth", A687&lt;=50, "Adult", A687&gt;50, "Older")</f>
        <v>Adult</v>
      </c>
      <c r="I687" t="str" cm="1">
        <f t="array" ref="I687">_xlfn.IFS(A687&lt;=25,"18-25",A687&lt;=35,"26-35",A687&lt;=45,"36-45",A687&lt;=60,"46-60",A687&gt;60,"60+")</f>
        <v>36-45</v>
      </c>
      <c r="J687" t="str" cm="1">
        <f t="array" ref="J687">_xlfn.IFS(C687&lt;18.5,"Underweight",C687&lt;25,"Normal",C687&lt;30,"Overweight",C687&gt;=30,"Obese")</f>
        <v>Obese</v>
      </c>
      <c r="K687" t="str" cm="1">
        <f t="array" ref="K687">_xlfn.IFS(G687&lt;10000, "Low", G687&lt;=25000, "Medium", G687&gt;25000, "High")</f>
        <v>Low</v>
      </c>
    </row>
    <row r="688" spans="1:11" x14ac:dyDescent="0.3">
      <c r="A688">
        <v>40</v>
      </c>
      <c r="B688" s="1" t="s">
        <v>8</v>
      </c>
      <c r="C688">
        <v>30.59</v>
      </c>
      <c r="D688">
        <v>1</v>
      </c>
      <c r="E688" t="s">
        <v>10</v>
      </c>
      <c r="F688" t="s">
        <v>12</v>
      </c>
      <c r="G688" s="2">
        <v>9630.3970000000008</v>
      </c>
      <c r="H688" t="str" cm="1">
        <f t="array" ref="H688">_xlfn.IFS(A688&lt;=30, "Youth", A688&lt;=50, "Adult", A688&gt;50, "Older")</f>
        <v>Adult</v>
      </c>
      <c r="I688" t="str" cm="1">
        <f t="array" ref="I688">_xlfn.IFS(A688&lt;=25,"18-25",A688&lt;=35,"26-35",A688&lt;=45,"36-45",A688&lt;=60,"46-60",A688&gt;60,"60+")</f>
        <v>36-45</v>
      </c>
      <c r="J688" t="str" cm="1">
        <f t="array" ref="J688">_xlfn.IFS(C688&lt;18.5,"Underweight",C688&lt;25,"Normal",C688&lt;30,"Overweight",C688&gt;=30,"Obese")</f>
        <v>Obese</v>
      </c>
      <c r="K688" t="str" cm="1">
        <f t="array" ref="K688">_xlfn.IFS(G688&lt;10000, "Low", G688&lt;=25000, "Medium", G688&gt;25000, "High")</f>
        <v>Low</v>
      </c>
    </row>
    <row r="689" spans="1:11" x14ac:dyDescent="0.3">
      <c r="A689">
        <v>40</v>
      </c>
      <c r="B689" s="1" t="s">
        <v>7</v>
      </c>
      <c r="C689">
        <v>30.59</v>
      </c>
      <c r="D689">
        <v>1</v>
      </c>
      <c r="E689" t="s">
        <v>10</v>
      </c>
      <c r="F689" t="s">
        <v>11</v>
      </c>
      <c r="G689" s="2">
        <v>9634.5380000000005</v>
      </c>
      <c r="H689" t="str" cm="1">
        <f t="array" ref="H689">_xlfn.IFS(A689&lt;=30, "Youth", A689&lt;=50, "Adult", A689&gt;50, "Older")</f>
        <v>Adult</v>
      </c>
      <c r="I689" t="str" cm="1">
        <f t="array" ref="I689">_xlfn.IFS(A689&lt;=25,"18-25",A689&lt;=35,"26-35",A689&lt;=45,"36-45",A689&lt;=60,"46-60",A689&gt;60,"60+")</f>
        <v>36-45</v>
      </c>
      <c r="J689" t="str" cm="1">
        <f t="array" ref="J689">_xlfn.IFS(C689&lt;18.5,"Underweight",C689&lt;25,"Normal",C689&lt;30,"Overweight",C689&gt;=30,"Obese")</f>
        <v>Obese</v>
      </c>
      <c r="K689" t="str" cm="1">
        <f t="array" ref="K689">_xlfn.IFS(G689&lt;10000, "Low", G689&lt;=25000, "Medium", G689&gt;25000, "High")</f>
        <v>Low</v>
      </c>
    </row>
    <row r="690" spans="1:11" x14ac:dyDescent="0.3">
      <c r="A690">
        <v>40</v>
      </c>
      <c r="B690" s="1" t="s">
        <v>8</v>
      </c>
      <c r="C690">
        <v>30.59</v>
      </c>
      <c r="D690">
        <v>1</v>
      </c>
      <c r="E690" t="s">
        <v>9</v>
      </c>
      <c r="F690" t="s">
        <v>12</v>
      </c>
      <c r="G690" s="2">
        <v>9644.2525000000005</v>
      </c>
      <c r="H690" t="str" cm="1">
        <f t="array" ref="H690">_xlfn.IFS(A690&lt;=30, "Youth", A690&lt;=50, "Adult", A690&gt;50, "Older")</f>
        <v>Adult</v>
      </c>
      <c r="I690" t="str" cm="1">
        <f t="array" ref="I690">_xlfn.IFS(A690&lt;=25,"18-25",A690&lt;=35,"26-35",A690&lt;=45,"36-45",A690&lt;=60,"46-60",A690&gt;60,"60+")</f>
        <v>36-45</v>
      </c>
      <c r="J690" t="str" cm="1">
        <f t="array" ref="J690">_xlfn.IFS(C690&lt;18.5,"Underweight",C690&lt;25,"Normal",C690&lt;30,"Overweight",C690&gt;=30,"Obese")</f>
        <v>Obese</v>
      </c>
      <c r="K690" t="str" cm="1">
        <f t="array" ref="K690">_xlfn.IFS(G690&lt;10000, "Low", G690&lt;=25000, "Medium", G690&gt;25000, "High")</f>
        <v>Low</v>
      </c>
    </row>
    <row r="691" spans="1:11" x14ac:dyDescent="0.3">
      <c r="A691">
        <v>40</v>
      </c>
      <c r="B691" s="1" t="s">
        <v>8</v>
      </c>
      <c r="C691">
        <v>30.59</v>
      </c>
      <c r="D691">
        <v>1</v>
      </c>
      <c r="E691" t="s">
        <v>10</v>
      </c>
      <c r="F691" t="s">
        <v>14</v>
      </c>
      <c r="G691" s="2">
        <v>9704.6680500000002</v>
      </c>
      <c r="H691" t="str" cm="1">
        <f t="array" ref="H691">_xlfn.IFS(A691&lt;=30, "Youth", A691&lt;=50, "Adult", A691&gt;50, "Older")</f>
        <v>Adult</v>
      </c>
      <c r="I691" t="str" cm="1">
        <f t="array" ref="I691">_xlfn.IFS(A691&lt;=25,"18-25",A691&lt;=35,"26-35",A691&lt;=45,"36-45",A691&lt;=60,"46-60",A691&gt;60,"60+")</f>
        <v>36-45</v>
      </c>
      <c r="J691" t="str" cm="1">
        <f t="array" ref="J691">_xlfn.IFS(C691&lt;18.5,"Underweight",C691&lt;25,"Normal",C691&lt;30,"Overweight",C691&gt;=30,"Obese")</f>
        <v>Obese</v>
      </c>
      <c r="K691" t="str" cm="1">
        <f t="array" ref="K691">_xlfn.IFS(G691&lt;10000, "Low", G691&lt;=25000, "Medium", G691&gt;25000, "High")</f>
        <v>Low</v>
      </c>
    </row>
    <row r="692" spans="1:11" x14ac:dyDescent="0.3">
      <c r="A692">
        <v>40</v>
      </c>
      <c r="B692" s="1" t="s">
        <v>8</v>
      </c>
      <c r="C692">
        <v>30.59</v>
      </c>
      <c r="D692">
        <v>1</v>
      </c>
      <c r="E692" t="s">
        <v>10</v>
      </c>
      <c r="F692" t="s">
        <v>11</v>
      </c>
      <c r="G692" s="2">
        <v>9715.8410000000003</v>
      </c>
      <c r="H692" t="str" cm="1">
        <f t="array" ref="H692">_xlfn.IFS(A692&lt;=30, "Youth", A692&lt;=50, "Adult", A692&gt;50, "Older")</f>
        <v>Adult</v>
      </c>
      <c r="I692" t="str" cm="1">
        <f t="array" ref="I692">_xlfn.IFS(A692&lt;=25,"18-25",A692&lt;=35,"26-35",A692&lt;=45,"36-45",A692&lt;=60,"46-60",A692&gt;60,"60+")</f>
        <v>36-45</v>
      </c>
      <c r="J692" t="str" cm="1">
        <f t="array" ref="J692">_xlfn.IFS(C692&lt;18.5,"Underweight",C692&lt;25,"Normal",C692&lt;30,"Overweight",C692&gt;=30,"Obese")</f>
        <v>Obese</v>
      </c>
      <c r="K692" t="str" cm="1">
        <f t="array" ref="K692">_xlfn.IFS(G692&lt;10000, "Low", G692&lt;=25000, "Medium", G692&gt;25000, "High")</f>
        <v>Low</v>
      </c>
    </row>
    <row r="693" spans="1:11" x14ac:dyDescent="0.3">
      <c r="A693">
        <v>40</v>
      </c>
      <c r="B693" s="1" t="s">
        <v>8</v>
      </c>
      <c r="C693">
        <v>30.684999999999999</v>
      </c>
      <c r="D693">
        <v>1</v>
      </c>
      <c r="E693" t="s">
        <v>10</v>
      </c>
      <c r="F693" t="s">
        <v>13</v>
      </c>
      <c r="G693" s="2">
        <v>9722.7695000000003</v>
      </c>
      <c r="H693" t="str" cm="1">
        <f t="array" ref="H693">_xlfn.IFS(A693&lt;=30, "Youth", A693&lt;=50, "Adult", A693&gt;50, "Older")</f>
        <v>Adult</v>
      </c>
      <c r="I693" t="str" cm="1">
        <f t="array" ref="I693">_xlfn.IFS(A693&lt;=25,"18-25",A693&lt;=35,"26-35",A693&lt;=45,"36-45",A693&lt;=60,"46-60",A693&gt;60,"60+")</f>
        <v>36-45</v>
      </c>
      <c r="J693" t="str" cm="1">
        <f t="array" ref="J693">_xlfn.IFS(C693&lt;18.5,"Underweight",C693&lt;25,"Normal",C693&lt;30,"Overweight",C693&gt;=30,"Obese")</f>
        <v>Obese</v>
      </c>
      <c r="K693" t="str" cm="1">
        <f t="array" ref="K693">_xlfn.IFS(G693&lt;10000, "Low", G693&lt;=25000, "Medium", G693&gt;25000, "High")</f>
        <v>Low</v>
      </c>
    </row>
    <row r="694" spans="1:11" x14ac:dyDescent="0.3">
      <c r="A694">
        <v>40</v>
      </c>
      <c r="B694" s="1" t="s">
        <v>8</v>
      </c>
      <c r="C694">
        <v>30.684999999999999</v>
      </c>
      <c r="D694">
        <v>1</v>
      </c>
      <c r="E694" t="s">
        <v>10</v>
      </c>
      <c r="F694" t="s">
        <v>13</v>
      </c>
      <c r="G694" s="2">
        <v>9724.5300000000007</v>
      </c>
      <c r="H694" t="str" cm="1">
        <f t="array" ref="H694">_xlfn.IFS(A694&lt;=30, "Youth", A694&lt;=50, "Adult", A694&gt;50, "Older")</f>
        <v>Adult</v>
      </c>
      <c r="I694" t="str" cm="1">
        <f t="array" ref="I694">_xlfn.IFS(A694&lt;=25,"18-25",A694&lt;=35,"26-35",A694&lt;=45,"36-45",A694&lt;=60,"46-60",A694&gt;60,"60+")</f>
        <v>36-45</v>
      </c>
      <c r="J694" t="str" cm="1">
        <f t="array" ref="J694">_xlfn.IFS(C694&lt;18.5,"Underweight",C694&lt;25,"Normal",C694&lt;30,"Overweight",C694&gt;=30,"Obese")</f>
        <v>Obese</v>
      </c>
      <c r="K694" t="str" cm="1">
        <f t="array" ref="K694">_xlfn.IFS(G694&lt;10000, "Low", G694&lt;=25000, "Medium", G694&gt;25000, "High")</f>
        <v>Low</v>
      </c>
    </row>
    <row r="695" spans="1:11" x14ac:dyDescent="0.3">
      <c r="A695">
        <v>40</v>
      </c>
      <c r="B695" s="1" t="s">
        <v>7</v>
      </c>
      <c r="C695">
        <v>30.684999999999999</v>
      </c>
      <c r="D695">
        <v>1</v>
      </c>
      <c r="E695" t="s">
        <v>10</v>
      </c>
      <c r="F695" t="s">
        <v>11</v>
      </c>
      <c r="G695" s="2">
        <v>9748.9105999999992</v>
      </c>
      <c r="H695" t="str" cm="1">
        <f t="array" ref="H695">_xlfn.IFS(A695&lt;=30, "Youth", A695&lt;=50, "Adult", A695&gt;50, "Older")</f>
        <v>Adult</v>
      </c>
      <c r="I695" t="str" cm="1">
        <f t="array" ref="I695">_xlfn.IFS(A695&lt;=25,"18-25",A695&lt;=35,"26-35",A695&lt;=45,"36-45",A695&lt;=60,"46-60",A695&gt;60,"60+")</f>
        <v>36-45</v>
      </c>
      <c r="J695" t="str" cm="1">
        <f t="array" ref="J695">_xlfn.IFS(C695&lt;18.5,"Underweight",C695&lt;25,"Normal",C695&lt;30,"Overweight",C695&gt;=30,"Obese")</f>
        <v>Obese</v>
      </c>
      <c r="K695" t="str" cm="1">
        <f t="array" ref="K695">_xlfn.IFS(G695&lt;10000, "Low", G695&lt;=25000, "Medium", G695&gt;25000, "High")</f>
        <v>Low</v>
      </c>
    </row>
    <row r="696" spans="1:11" x14ac:dyDescent="0.3">
      <c r="A696">
        <v>40</v>
      </c>
      <c r="B696" s="1" t="s">
        <v>7</v>
      </c>
      <c r="C696">
        <v>30.69</v>
      </c>
      <c r="D696">
        <v>1</v>
      </c>
      <c r="E696" t="s">
        <v>10</v>
      </c>
      <c r="F696" t="s">
        <v>13</v>
      </c>
      <c r="G696" s="2">
        <v>9778.3472000000002</v>
      </c>
      <c r="H696" t="str" cm="1">
        <f t="array" ref="H696">_xlfn.IFS(A696&lt;=30, "Youth", A696&lt;=50, "Adult", A696&gt;50, "Older")</f>
        <v>Adult</v>
      </c>
      <c r="I696" t="str" cm="1">
        <f t="array" ref="I696">_xlfn.IFS(A696&lt;=25,"18-25",A696&lt;=35,"26-35",A696&lt;=45,"36-45",A696&lt;=60,"46-60",A696&gt;60,"60+")</f>
        <v>36-45</v>
      </c>
      <c r="J696" t="str" cm="1">
        <f t="array" ref="J696">_xlfn.IFS(C696&lt;18.5,"Underweight",C696&lt;25,"Normal",C696&lt;30,"Overweight",C696&gt;=30,"Obese")</f>
        <v>Obese</v>
      </c>
      <c r="K696" t="str" cm="1">
        <f t="array" ref="K696">_xlfn.IFS(G696&lt;10000, "Low", G696&lt;=25000, "Medium", G696&gt;25000, "High")</f>
        <v>Low</v>
      </c>
    </row>
    <row r="697" spans="1:11" x14ac:dyDescent="0.3">
      <c r="A697">
        <v>40</v>
      </c>
      <c r="B697" s="1" t="s">
        <v>7</v>
      </c>
      <c r="C697">
        <v>30.69</v>
      </c>
      <c r="D697">
        <v>1</v>
      </c>
      <c r="E697" t="s">
        <v>10</v>
      </c>
      <c r="F697" t="s">
        <v>14</v>
      </c>
      <c r="G697" s="2">
        <v>9788.8659000000007</v>
      </c>
      <c r="H697" t="str" cm="1">
        <f t="array" ref="H697">_xlfn.IFS(A697&lt;=30, "Youth", A697&lt;=50, "Adult", A697&gt;50, "Older")</f>
        <v>Adult</v>
      </c>
      <c r="I697" t="str" cm="1">
        <f t="array" ref="I697">_xlfn.IFS(A697&lt;=25,"18-25",A697&lt;=35,"26-35",A697&lt;=45,"36-45",A697&lt;=60,"46-60",A697&gt;60,"60+")</f>
        <v>36-45</v>
      </c>
      <c r="J697" t="str" cm="1">
        <f t="array" ref="J697">_xlfn.IFS(C697&lt;18.5,"Underweight",C697&lt;25,"Normal",C697&lt;30,"Overweight",C697&gt;=30,"Obese")</f>
        <v>Obese</v>
      </c>
      <c r="K697" t="str" cm="1">
        <f t="array" ref="K697">_xlfn.IFS(G697&lt;10000, "Low", G697&lt;=25000, "Medium", G697&gt;25000, "High")</f>
        <v>Low</v>
      </c>
    </row>
    <row r="698" spans="1:11" x14ac:dyDescent="0.3">
      <c r="A698">
        <v>40</v>
      </c>
      <c r="B698" s="1" t="s">
        <v>8</v>
      </c>
      <c r="C698">
        <v>30.78</v>
      </c>
      <c r="D698">
        <v>1</v>
      </c>
      <c r="E698" t="s">
        <v>9</v>
      </c>
      <c r="F698" t="s">
        <v>12</v>
      </c>
      <c r="G698" s="2">
        <v>9800.8881999999994</v>
      </c>
      <c r="H698" t="str" cm="1">
        <f t="array" ref="H698">_xlfn.IFS(A698&lt;=30, "Youth", A698&lt;=50, "Adult", A698&gt;50, "Older")</f>
        <v>Adult</v>
      </c>
      <c r="I698" t="str" cm="1">
        <f t="array" ref="I698">_xlfn.IFS(A698&lt;=25,"18-25",A698&lt;=35,"26-35",A698&lt;=45,"36-45",A698&lt;=60,"46-60",A698&gt;60,"60+")</f>
        <v>36-45</v>
      </c>
      <c r="J698" t="str" cm="1">
        <f t="array" ref="J698">_xlfn.IFS(C698&lt;18.5,"Underweight",C698&lt;25,"Normal",C698&lt;30,"Overweight",C698&gt;=30,"Obese")</f>
        <v>Obese</v>
      </c>
      <c r="K698" t="str" cm="1">
        <f t="array" ref="K698">_xlfn.IFS(G698&lt;10000, "Low", G698&lt;=25000, "Medium", G698&gt;25000, "High")</f>
        <v>Low</v>
      </c>
    </row>
    <row r="699" spans="1:11" x14ac:dyDescent="0.3">
      <c r="A699">
        <v>40</v>
      </c>
      <c r="B699" s="1" t="s">
        <v>8</v>
      </c>
      <c r="C699">
        <v>30.78</v>
      </c>
      <c r="D699">
        <v>1</v>
      </c>
      <c r="E699" t="s">
        <v>10</v>
      </c>
      <c r="F699" t="s">
        <v>13</v>
      </c>
      <c r="G699" s="2">
        <v>9850.4320000000007</v>
      </c>
      <c r="H699" t="str" cm="1">
        <f t="array" ref="H699">_xlfn.IFS(A699&lt;=30, "Youth", A699&lt;=50, "Adult", A699&gt;50, "Older")</f>
        <v>Adult</v>
      </c>
      <c r="I699" t="str" cm="1">
        <f t="array" ref="I699">_xlfn.IFS(A699&lt;=25,"18-25",A699&lt;=35,"26-35",A699&lt;=45,"36-45",A699&lt;=60,"46-60",A699&gt;60,"60+")</f>
        <v>36-45</v>
      </c>
      <c r="J699" t="str" cm="1">
        <f t="array" ref="J699">_xlfn.IFS(C699&lt;18.5,"Underweight",C699&lt;25,"Normal",C699&lt;30,"Overweight",C699&gt;=30,"Obese")</f>
        <v>Obese</v>
      </c>
      <c r="K699" t="str" cm="1">
        <f t="array" ref="K699">_xlfn.IFS(G699&lt;10000, "Low", G699&lt;=25000, "Medium", G699&gt;25000, "High")</f>
        <v>Low</v>
      </c>
    </row>
    <row r="700" spans="1:11" x14ac:dyDescent="0.3">
      <c r="A700">
        <v>40</v>
      </c>
      <c r="B700" s="1" t="s">
        <v>7</v>
      </c>
      <c r="C700">
        <v>30.78</v>
      </c>
      <c r="D700">
        <v>1</v>
      </c>
      <c r="E700" t="s">
        <v>10</v>
      </c>
      <c r="F700" t="s">
        <v>12</v>
      </c>
      <c r="G700" s="2">
        <v>9855.1314000000002</v>
      </c>
      <c r="H700" t="str" cm="1">
        <f t="array" ref="H700">_xlfn.IFS(A700&lt;=30, "Youth", A700&lt;=50, "Adult", A700&gt;50, "Older")</f>
        <v>Adult</v>
      </c>
      <c r="I700" t="str" cm="1">
        <f t="array" ref="I700">_xlfn.IFS(A700&lt;=25,"18-25",A700&lt;=35,"26-35",A700&lt;=45,"36-45",A700&lt;=60,"46-60",A700&gt;60,"60+")</f>
        <v>36-45</v>
      </c>
      <c r="J700" t="str" cm="1">
        <f t="array" ref="J700">_xlfn.IFS(C700&lt;18.5,"Underweight",C700&lt;25,"Normal",C700&lt;30,"Overweight",C700&gt;=30,"Obese")</f>
        <v>Obese</v>
      </c>
      <c r="K700" t="str" cm="1">
        <f t="array" ref="K700">_xlfn.IFS(G700&lt;10000, "Low", G700&lt;=25000, "Medium", G700&gt;25000, "High")</f>
        <v>Low</v>
      </c>
    </row>
    <row r="701" spans="1:11" x14ac:dyDescent="0.3">
      <c r="A701">
        <v>40</v>
      </c>
      <c r="B701" s="1" t="s">
        <v>7</v>
      </c>
      <c r="C701">
        <v>30.78</v>
      </c>
      <c r="D701">
        <v>1</v>
      </c>
      <c r="E701" t="s">
        <v>10</v>
      </c>
      <c r="F701" t="s">
        <v>12</v>
      </c>
      <c r="G701" s="2">
        <v>9861.0249999999996</v>
      </c>
      <c r="H701" t="str" cm="1">
        <f t="array" ref="H701">_xlfn.IFS(A701&lt;=30, "Youth", A701&lt;=50, "Adult", A701&gt;50, "Older")</f>
        <v>Adult</v>
      </c>
      <c r="I701" t="str" cm="1">
        <f t="array" ref="I701">_xlfn.IFS(A701&lt;=25,"18-25",A701&lt;=35,"26-35",A701&lt;=45,"36-45",A701&lt;=60,"46-60",A701&gt;60,"60+")</f>
        <v>36-45</v>
      </c>
      <c r="J701" t="str" cm="1">
        <f t="array" ref="J701">_xlfn.IFS(C701&lt;18.5,"Underweight",C701&lt;25,"Normal",C701&lt;30,"Overweight",C701&gt;=30,"Obese")</f>
        <v>Obese</v>
      </c>
      <c r="K701" t="str" cm="1">
        <f t="array" ref="K701">_xlfn.IFS(G701&lt;10000, "Low", G701&lt;=25000, "Medium", G701&gt;25000, "High")</f>
        <v>Low</v>
      </c>
    </row>
    <row r="702" spans="1:11" x14ac:dyDescent="0.3">
      <c r="A702">
        <v>41</v>
      </c>
      <c r="B702" s="1" t="s">
        <v>7</v>
      </c>
      <c r="C702">
        <v>30.78</v>
      </c>
      <c r="D702">
        <v>1</v>
      </c>
      <c r="E702" t="s">
        <v>10</v>
      </c>
      <c r="F702" t="s">
        <v>14</v>
      </c>
      <c r="G702" s="2">
        <v>9863.4717999999993</v>
      </c>
      <c r="H702" t="str" cm="1">
        <f t="array" ref="H702">_xlfn.IFS(A702&lt;=30, "Youth", A702&lt;=50, "Adult", A702&gt;50, "Older")</f>
        <v>Adult</v>
      </c>
      <c r="I702" t="str" cm="1">
        <f t="array" ref="I702">_xlfn.IFS(A702&lt;=25,"18-25",A702&lt;=35,"26-35",A702&lt;=45,"36-45",A702&lt;=60,"46-60",A702&gt;60,"60+")</f>
        <v>36-45</v>
      </c>
      <c r="J702" t="str" cm="1">
        <f t="array" ref="J702">_xlfn.IFS(C702&lt;18.5,"Underweight",C702&lt;25,"Normal",C702&lt;30,"Overweight",C702&gt;=30,"Obese")</f>
        <v>Obese</v>
      </c>
      <c r="K702" t="str" cm="1">
        <f t="array" ref="K702">_xlfn.IFS(G702&lt;10000, "Low", G702&lt;=25000, "Medium", G702&gt;25000, "High")</f>
        <v>Low</v>
      </c>
    </row>
    <row r="703" spans="1:11" x14ac:dyDescent="0.3">
      <c r="A703">
        <v>41</v>
      </c>
      <c r="B703" s="1" t="s">
        <v>8</v>
      </c>
      <c r="C703">
        <v>30.8</v>
      </c>
      <c r="D703">
        <v>1</v>
      </c>
      <c r="E703" t="s">
        <v>10</v>
      </c>
      <c r="F703" t="s">
        <v>12</v>
      </c>
      <c r="G703" s="2">
        <v>9866.3048500000004</v>
      </c>
      <c r="H703" t="str" cm="1">
        <f t="array" ref="H703">_xlfn.IFS(A703&lt;=30, "Youth", A703&lt;=50, "Adult", A703&gt;50, "Older")</f>
        <v>Adult</v>
      </c>
      <c r="I703" t="str" cm="1">
        <f t="array" ref="I703">_xlfn.IFS(A703&lt;=25,"18-25",A703&lt;=35,"26-35",A703&lt;=45,"36-45",A703&lt;=60,"46-60",A703&gt;60,"60+")</f>
        <v>36-45</v>
      </c>
      <c r="J703" t="str" cm="1">
        <f t="array" ref="J703">_xlfn.IFS(C703&lt;18.5,"Underweight",C703&lt;25,"Normal",C703&lt;30,"Overweight",C703&gt;=30,"Obese")</f>
        <v>Obese</v>
      </c>
      <c r="K703" t="str" cm="1">
        <f t="array" ref="K703">_xlfn.IFS(G703&lt;10000, "Low", G703&lt;=25000, "Medium", G703&gt;25000, "High")</f>
        <v>Low</v>
      </c>
    </row>
    <row r="704" spans="1:11" x14ac:dyDescent="0.3">
      <c r="A704">
        <v>41</v>
      </c>
      <c r="B704" s="1" t="s">
        <v>7</v>
      </c>
      <c r="C704">
        <v>30.8</v>
      </c>
      <c r="D704">
        <v>1</v>
      </c>
      <c r="E704" t="s">
        <v>10</v>
      </c>
      <c r="F704" t="s">
        <v>13</v>
      </c>
      <c r="G704" s="2">
        <v>9869.8101999999999</v>
      </c>
      <c r="H704" t="str" cm="1">
        <f t="array" ref="H704">_xlfn.IFS(A704&lt;=30, "Youth", A704&lt;=50, "Adult", A704&gt;50, "Older")</f>
        <v>Adult</v>
      </c>
      <c r="I704" t="str" cm="1">
        <f t="array" ref="I704">_xlfn.IFS(A704&lt;=25,"18-25",A704&lt;=35,"26-35",A704&lt;=45,"36-45",A704&lt;=60,"46-60",A704&gt;60,"60+")</f>
        <v>36-45</v>
      </c>
      <c r="J704" t="str" cm="1">
        <f t="array" ref="J704">_xlfn.IFS(C704&lt;18.5,"Underweight",C704&lt;25,"Normal",C704&lt;30,"Overweight",C704&gt;=30,"Obese")</f>
        <v>Obese</v>
      </c>
      <c r="K704" t="str" cm="1">
        <f t="array" ref="K704">_xlfn.IFS(G704&lt;10000, "Low", G704&lt;=25000, "Medium", G704&gt;25000, "High")</f>
        <v>Low</v>
      </c>
    </row>
    <row r="705" spans="1:11" x14ac:dyDescent="0.3">
      <c r="A705">
        <v>41</v>
      </c>
      <c r="B705" s="1" t="s">
        <v>7</v>
      </c>
      <c r="C705">
        <v>30.8</v>
      </c>
      <c r="D705">
        <v>1</v>
      </c>
      <c r="E705" t="s">
        <v>10</v>
      </c>
      <c r="F705" t="s">
        <v>13</v>
      </c>
      <c r="G705" s="2">
        <v>9872.7009999999991</v>
      </c>
      <c r="H705" t="str" cm="1">
        <f t="array" ref="H705">_xlfn.IFS(A705&lt;=30, "Youth", A705&lt;=50, "Adult", A705&gt;50, "Older")</f>
        <v>Adult</v>
      </c>
      <c r="I705" t="str" cm="1">
        <f t="array" ref="I705">_xlfn.IFS(A705&lt;=25,"18-25",A705&lt;=35,"26-35",A705&lt;=45,"36-45",A705&lt;=60,"46-60",A705&gt;60,"60+")</f>
        <v>36-45</v>
      </c>
      <c r="J705" t="str" cm="1">
        <f t="array" ref="J705">_xlfn.IFS(C705&lt;18.5,"Underweight",C705&lt;25,"Normal",C705&lt;30,"Overweight",C705&gt;=30,"Obese")</f>
        <v>Obese</v>
      </c>
      <c r="K705" t="str" cm="1">
        <f t="array" ref="K705">_xlfn.IFS(G705&lt;10000, "Low", G705&lt;=25000, "Medium", G705&gt;25000, "High")</f>
        <v>Low</v>
      </c>
    </row>
    <row r="706" spans="1:11" x14ac:dyDescent="0.3">
      <c r="A706">
        <v>41</v>
      </c>
      <c r="B706" s="1" t="s">
        <v>7</v>
      </c>
      <c r="C706">
        <v>30.8</v>
      </c>
      <c r="D706">
        <v>1</v>
      </c>
      <c r="E706" t="s">
        <v>10</v>
      </c>
      <c r="F706" t="s">
        <v>11</v>
      </c>
      <c r="G706" s="2">
        <v>9875.6803999999993</v>
      </c>
      <c r="H706" t="str" cm="1">
        <f t="array" ref="H706">_xlfn.IFS(A706&lt;=30, "Youth", A706&lt;=50, "Adult", A706&gt;50, "Older")</f>
        <v>Adult</v>
      </c>
      <c r="I706" t="str" cm="1">
        <f t="array" ref="I706">_xlfn.IFS(A706&lt;=25,"18-25",A706&lt;=35,"26-35",A706&lt;=45,"36-45",A706&lt;=60,"46-60",A706&gt;60,"60+")</f>
        <v>36-45</v>
      </c>
      <c r="J706" t="str" cm="1">
        <f t="array" ref="J706">_xlfn.IFS(C706&lt;18.5,"Underweight",C706&lt;25,"Normal",C706&lt;30,"Overweight",C706&gt;=30,"Obese")</f>
        <v>Obese</v>
      </c>
      <c r="K706" t="str" cm="1">
        <f t="array" ref="K706">_xlfn.IFS(G706&lt;10000, "Low", G706&lt;=25000, "Medium", G706&gt;25000, "High")</f>
        <v>Low</v>
      </c>
    </row>
    <row r="707" spans="1:11" x14ac:dyDescent="0.3">
      <c r="A707">
        <v>41</v>
      </c>
      <c r="B707" s="1" t="s">
        <v>7</v>
      </c>
      <c r="C707">
        <v>30.8</v>
      </c>
      <c r="D707">
        <v>1</v>
      </c>
      <c r="E707" t="s">
        <v>9</v>
      </c>
      <c r="F707" t="s">
        <v>12</v>
      </c>
      <c r="G707" s="2">
        <v>9877.6077000000005</v>
      </c>
      <c r="H707" t="str" cm="1">
        <f t="array" ref="H707">_xlfn.IFS(A707&lt;=30, "Youth", A707&lt;=50, "Adult", A707&gt;50, "Older")</f>
        <v>Adult</v>
      </c>
      <c r="I707" t="str" cm="1">
        <f t="array" ref="I707">_xlfn.IFS(A707&lt;=25,"18-25",A707&lt;=35,"26-35",A707&lt;=45,"36-45",A707&lt;=60,"46-60",A707&gt;60,"60+")</f>
        <v>36-45</v>
      </c>
      <c r="J707" t="str" cm="1">
        <f t="array" ref="J707">_xlfn.IFS(C707&lt;18.5,"Underweight",C707&lt;25,"Normal",C707&lt;30,"Overweight",C707&gt;=30,"Obese")</f>
        <v>Obese</v>
      </c>
      <c r="K707" t="str" cm="1">
        <f t="array" ref="K707">_xlfn.IFS(G707&lt;10000, "Low", G707&lt;=25000, "Medium", G707&gt;25000, "High")</f>
        <v>Low</v>
      </c>
    </row>
    <row r="708" spans="1:11" x14ac:dyDescent="0.3">
      <c r="A708">
        <v>41</v>
      </c>
      <c r="B708" s="1" t="s">
        <v>8</v>
      </c>
      <c r="C708">
        <v>30.8</v>
      </c>
      <c r="D708">
        <v>1</v>
      </c>
      <c r="E708" t="s">
        <v>10</v>
      </c>
      <c r="F708" t="s">
        <v>13</v>
      </c>
      <c r="G708" s="2">
        <v>9880.0679999999993</v>
      </c>
      <c r="H708" t="str" cm="1">
        <f t="array" ref="H708">_xlfn.IFS(A708&lt;=30, "Youth", A708&lt;=50, "Adult", A708&gt;50, "Older")</f>
        <v>Adult</v>
      </c>
      <c r="I708" t="str" cm="1">
        <f t="array" ref="I708">_xlfn.IFS(A708&lt;=25,"18-25",A708&lt;=35,"26-35",A708&lt;=45,"36-45",A708&lt;=60,"46-60",A708&gt;60,"60+")</f>
        <v>36-45</v>
      </c>
      <c r="J708" t="str" cm="1">
        <f t="array" ref="J708">_xlfn.IFS(C708&lt;18.5,"Underweight",C708&lt;25,"Normal",C708&lt;30,"Overweight",C708&gt;=30,"Obese")</f>
        <v>Obese</v>
      </c>
      <c r="K708" t="str" cm="1">
        <f t="array" ref="K708">_xlfn.IFS(G708&lt;10000, "Low", G708&lt;=25000, "Medium", G708&gt;25000, "High")</f>
        <v>Low</v>
      </c>
    </row>
    <row r="709" spans="1:11" x14ac:dyDescent="0.3">
      <c r="A709">
        <v>41</v>
      </c>
      <c r="B709" s="1" t="s">
        <v>7</v>
      </c>
      <c r="C709">
        <v>30.8</v>
      </c>
      <c r="D709">
        <v>1</v>
      </c>
      <c r="E709" t="s">
        <v>10</v>
      </c>
      <c r="F709" t="s">
        <v>14</v>
      </c>
      <c r="G709" s="2">
        <v>9910.3598500000007</v>
      </c>
      <c r="H709" t="str" cm="1">
        <f t="array" ref="H709">_xlfn.IFS(A709&lt;=30, "Youth", A709&lt;=50, "Adult", A709&gt;50, "Older")</f>
        <v>Adult</v>
      </c>
      <c r="I709" t="str" cm="1">
        <f t="array" ref="I709">_xlfn.IFS(A709&lt;=25,"18-25",A709&lt;=35,"26-35",A709&lt;=45,"36-45",A709&lt;=60,"46-60",A709&gt;60,"60+")</f>
        <v>36-45</v>
      </c>
      <c r="J709" t="str" cm="1">
        <f t="array" ref="J709">_xlfn.IFS(C709&lt;18.5,"Underweight",C709&lt;25,"Normal",C709&lt;30,"Overweight",C709&gt;=30,"Obese")</f>
        <v>Obese</v>
      </c>
      <c r="K709" t="str" cm="1">
        <f t="array" ref="K709">_xlfn.IFS(G709&lt;10000, "Low", G709&lt;=25000, "Medium", G709&gt;25000, "High")</f>
        <v>Low</v>
      </c>
    </row>
    <row r="710" spans="1:11" x14ac:dyDescent="0.3">
      <c r="A710">
        <v>41</v>
      </c>
      <c r="B710" s="1" t="s">
        <v>7</v>
      </c>
      <c r="C710">
        <v>30.8</v>
      </c>
      <c r="D710">
        <v>1</v>
      </c>
      <c r="E710" t="s">
        <v>10</v>
      </c>
      <c r="F710" t="s">
        <v>14</v>
      </c>
      <c r="G710" s="2">
        <v>9957.7216000000008</v>
      </c>
      <c r="H710" t="str" cm="1">
        <f t="array" ref="H710">_xlfn.IFS(A710&lt;=30, "Youth", A710&lt;=50, "Adult", A710&gt;50, "Older")</f>
        <v>Adult</v>
      </c>
      <c r="I710" t="str" cm="1">
        <f t="array" ref="I710">_xlfn.IFS(A710&lt;=25,"18-25",A710&lt;=35,"26-35",A710&lt;=45,"36-45",A710&lt;=60,"46-60",A710&gt;60,"60+")</f>
        <v>36-45</v>
      </c>
      <c r="J710" t="str" cm="1">
        <f t="array" ref="J710">_xlfn.IFS(C710&lt;18.5,"Underweight",C710&lt;25,"Normal",C710&lt;30,"Overweight",C710&gt;=30,"Obese")</f>
        <v>Obese</v>
      </c>
      <c r="K710" t="str" cm="1">
        <f t="array" ref="K710">_xlfn.IFS(G710&lt;10000, "Low", G710&lt;=25000, "Medium", G710&gt;25000, "High")</f>
        <v>Low</v>
      </c>
    </row>
    <row r="711" spans="1:11" x14ac:dyDescent="0.3">
      <c r="A711">
        <v>41</v>
      </c>
      <c r="B711" s="1" t="s">
        <v>8</v>
      </c>
      <c r="C711">
        <v>30.875</v>
      </c>
      <c r="D711">
        <v>1</v>
      </c>
      <c r="E711" t="s">
        <v>10</v>
      </c>
      <c r="F711" t="s">
        <v>12</v>
      </c>
      <c r="G711" s="2">
        <v>9964.06</v>
      </c>
      <c r="H711" t="str" cm="1">
        <f t="array" ref="H711">_xlfn.IFS(A711&lt;=30, "Youth", A711&lt;=50, "Adult", A711&gt;50, "Older")</f>
        <v>Adult</v>
      </c>
      <c r="I711" t="str" cm="1">
        <f t="array" ref="I711">_xlfn.IFS(A711&lt;=25,"18-25",A711&lt;=35,"26-35",A711&lt;=45,"36-45",A711&lt;=60,"46-60",A711&gt;60,"60+")</f>
        <v>36-45</v>
      </c>
      <c r="J711" t="str" cm="1">
        <f t="array" ref="J711">_xlfn.IFS(C711&lt;18.5,"Underweight",C711&lt;25,"Normal",C711&lt;30,"Overweight",C711&gt;=30,"Obese")</f>
        <v>Obese</v>
      </c>
      <c r="K711" t="str" cm="1">
        <f t="array" ref="K711">_xlfn.IFS(G711&lt;10000, "Low", G711&lt;=25000, "Medium", G711&gt;25000, "High")</f>
        <v>Low</v>
      </c>
    </row>
    <row r="712" spans="1:11" x14ac:dyDescent="0.3">
      <c r="A712">
        <v>41</v>
      </c>
      <c r="B712" s="1" t="s">
        <v>7</v>
      </c>
      <c r="C712">
        <v>30.875</v>
      </c>
      <c r="D712">
        <v>1</v>
      </c>
      <c r="E712" t="s">
        <v>10</v>
      </c>
      <c r="F712" t="s">
        <v>12</v>
      </c>
      <c r="G712" s="2">
        <v>9991.0376500000002</v>
      </c>
      <c r="H712" t="str" cm="1">
        <f t="array" ref="H712">_xlfn.IFS(A712&lt;=30, "Youth", A712&lt;=50, "Adult", A712&gt;50, "Older")</f>
        <v>Adult</v>
      </c>
      <c r="I712" t="str" cm="1">
        <f t="array" ref="I712">_xlfn.IFS(A712&lt;=25,"18-25",A712&lt;=35,"26-35",A712&lt;=45,"36-45",A712&lt;=60,"46-60",A712&gt;60,"60+")</f>
        <v>36-45</v>
      </c>
      <c r="J712" t="str" cm="1">
        <f t="array" ref="J712">_xlfn.IFS(C712&lt;18.5,"Underweight",C712&lt;25,"Normal",C712&lt;30,"Overweight",C712&gt;=30,"Obese")</f>
        <v>Obese</v>
      </c>
      <c r="K712" t="str" cm="1">
        <f t="array" ref="K712">_xlfn.IFS(G712&lt;10000, "Low", G712&lt;=25000, "Medium", G712&gt;25000, "High")</f>
        <v>Low</v>
      </c>
    </row>
    <row r="713" spans="1:11" x14ac:dyDescent="0.3">
      <c r="A713">
        <v>41</v>
      </c>
      <c r="B713" s="1" t="s">
        <v>7</v>
      </c>
      <c r="C713">
        <v>30.875</v>
      </c>
      <c r="D713">
        <v>1</v>
      </c>
      <c r="E713" t="s">
        <v>10</v>
      </c>
      <c r="F713" t="s">
        <v>13</v>
      </c>
      <c r="G713" s="2">
        <v>10043.249</v>
      </c>
      <c r="H713" t="str" cm="1">
        <f t="array" ref="H713">_xlfn.IFS(A713&lt;=30, "Youth", A713&lt;=50, "Adult", A713&gt;50, "Older")</f>
        <v>Adult</v>
      </c>
      <c r="I713" t="str" cm="1">
        <f t="array" ref="I713">_xlfn.IFS(A713&lt;=25,"18-25",A713&lt;=35,"26-35",A713&lt;=45,"36-45",A713&lt;=60,"46-60",A713&gt;60,"60+")</f>
        <v>36-45</v>
      </c>
      <c r="J713" t="str" cm="1">
        <f t="array" ref="J713">_xlfn.IFS(C713&lt;18.5,"Underweight",C713&lt;25,"Normal",C713&lt;30,"Overweight",C713&gt;=30,"Obese")</f>
        <v>Obese</v>
      </c>
      <c r="K713" t="str" cm="1">
        <f t="array" ref="K713">_xlfn.IFS(G713&lt;10000, "Low", G713&lt;=25000, "Medium", G713&gt;25000, "High")</f>
        <v>Medium</v>
      </c>
    </row>
    <row r="714" spans="1:11" x14ac:dyDescent="0.3">
      <c r="A714">
        <v>41</v>
      </c>
      <c r="B714" s="1" t="s">
        <v>8</v>
      </c>
      <c r="C714">
        <v>30.875</v>
      </c>
      <c r="D714">
        <v>1</v>
      </c>
      <c r="E714" t="s">
        <v>10</v>
      </c>
      <c r="F714" t="s">
        <v>14</v>
      </c>
      <c r="G714" s="2">
        <v>10065.413</v>
      </c>
      <c r="H714" t="str" cm="1">
        <f t="array" ref="H714">_xlfn.IFS(A714&lt;=30, "Youth", A714&lt;=50, "Adult", A714&gt;50, "Older")</f>
        <v>Adult</v>
      </c>
      <c r="I714" t="str" cm="1">
        <f t="array" ref="I714">_xlfn.IFS(A714&lt;=25,"18-25",A714&lt;=35,"26-35",A714&lt;=45,"36-45",A714&lt;=60,"46-60",A714&gt;60,"60+")</f>
        <v>36-45</v>
      </c>
      <c r="J714" t="str" cm="1">
        <f t="array" ref="J714">_xlfn.IFS(C714&lt;18.5,"Underweight",C714&lt;25,"Normal",C714&lt;30,"Overweight",C714&gt;=30,"Obese")</f>
        <v>Obese</v>
      </c>
      <c r="K714" t="str" cm="1">
        <f t="array" ref="K714">_xlfn.IFS(G714&lt;10000, "Low", G714&lt;=25000, "Medium", G714&gt;25000, "High")</f>
        <v>Medium</v>
      </c>
    </row>
    <row r="715" spans="1:11" x14ac:dyDescent="0.3">
      <c r="A715">
        <v>41</v>
      </c>
      <c r="B715" s="1" t="s">
        <v>7</v>
      </c>
      <c r="C715">
        <v>30.875</v>
      </c>
      <c r="D715">
        <v>1</v>
      </c>
      <c r="E715" t="s">
        <v>10</v>
      </c>
      <c r="F715" t="s">
        <v>11</v>
      </c>
      <c r="G715" s="2">
        <v>10072.055050000001</v>
      </c>
      <c r="H715" t="str" cm="1">
        <f t="array" ref="H715">_xlfn.IFS(A715&lt;=30, "Youth", A715&lt;=50, "Adult", A715&gt;50, "Older")</f>
        <v>Adult</v>
      </c>
      <c r="I715" t="str" cm="1">
        <f t="array" ref="I715">_xlfn.IFS(A715&lt;=25,"18-25",A715&lt;=35,"26-35",A715&lt;=45,"36-45",A715&lt;=60,"46-60",A715&gt;60,"60+")</f>
        <v>36-45</v>
      </c>
      <c r="J715" t="str" cm="1">
        <f t="array" ref="J715">_xlfn.IFS(C715&lt;18.5,"Underweight",C715&lt;25,"Normal",C715&lt;30,"Overweight",C715&gt;=30,"Obese")</f>
        <v>Obese</v>
      </c>
      <c r="K715" t="str" cm="1">
        <f t="array" ref="K715">_xlfn.IFS(G715&lt;10000, "Low", G715&lt;=25000, "Medium", G715&gt;25000, "High")</f>
        <v>Medium</v>
      </c>
    </row>
    <row r="716" spans="1:11" x14ac:dyDescent="0.3">
      <c r="A716">
        <v>41</v>
      </c>
      <c r="B716" s="1" t="s">
        <v>8</v>
      </c>
      <c r="C716">
        <v>30.875</v>
      </c>
      <c r="D716">
        <v>1</v>
      </c>
      <c r="E716" t="s">
        <v>10</v>
      </c>
      <c r="F716" t="s">
        <v>11</v>
      </c>
      <c r="G716" s="2">
        <v>10085.846</v>
      </c>
      <c r="H716" t="str" cm="1">
        <f t="array" ref="H716">_xlfn.IFS(A716&lt;=30, "Youth", A716&lt;=50, "Adult", A716&gt;50, "Older")</f>
        <v>Adult</v>
      </c>
      <c r="I716" t="str" cm="1">
        <f t="array" ref="I716">_xlfn.IFS(A716&lt;=25,"18-25",A716&lt;=35,"26-35",A716&lt;=45,"36-45",A716&lt;=60,"46-60",A716&gt;60,"60+")</f>
        <v>36-45</v>
      </c>
      <c r="J716" t="str" cm="1">
        <f t="array" ref="J716">_xlfn.IFS(C716&lt;18.5,"Underweight",C716&lt;25,"Normal",C716&lt;30,"Overweight",C716&gt;=30,"Obese")</f>
        <v>Obese</v>
      </c>
      <c r="K716" t="str" cm="1">
        <f t="array" ref="K716">_xlfn.IFS(G716&lt;10000, "Low", G716&lt;=25000, "Medium", G716&gt;25000, "High")</f>
        <v>Medium</v>
      </c>
    </row>
    <row r="717" spans="1:11" x14ac:dyDescent="0.3">
      <c r="A717">
        <v>41</v>
      </c>
      <c r="B717" s="1" t="s">
        <v>7</v>
      </c>
      <c r="C717">
        <v>30.875</v>
      </c>
      <c r="D717">
        <v>1</v>
      </c>
      <c r="E717" t="s">
        <v>10</v>
      </c>
      <c r="F717" t="s">
        <v>13</v>
      </c>
      <c r="G717" s="2">
        <v>10096.969999999999</v>
      </c>
      <c r="H717" t="str" cm="1">
        <f t="array" ref="H717">_xlfn.IFS(A717&lt;=30, "Youth", A717&lt;=50, "Adult", A717&gt;50, "Older")</f>
        <v>Adult</v>
      </c>
      <c r="I717" t="str" cm="1">
        <f t="array" ref="I717">_xlfn.IFS(A717&lt;=25,"18-25",A717&lt;=35,"26-35",A717&lt;=45,"36-45",A717&lt;=60,"46-60",A717&gt;60,"60+")</f>
        <v>36-45</v>
      </c>
      <c r="J717" t="str" cm="1">
        <f t="array" ref="J717">_xlfn.IFS(C717&lt;18.5,"Underweight",C717&lt;25,"Normal",C717&lt;30,"Overweight",C717&gt;=30,"Obese")</f>
        <v>Obese</v>
      </c>
      <c r="K717" t="str" cm="1">
        <f t="array" ref="K717">_xlfn.IFS(G717&lt;10000, "Low", G717&lt;=25000, "Medium", G717&gt;25000, "High")</f>
        <v>Medium</v>
      </c>
    </row>
    <row r="718" spans="1:11" x14ac:dyDescent="0.3">
      <c r="A718">
        <v>41</v>
      </c>
      <c r="B718" s="1" t="s">
        <v>8</v>
      </c>
      <c r="C718">
        <v>30.875</v>
      </c>
      <c r="D718">
        <v>1</v>
      </c>
      <c r="E718" t="s">
        <v>10</v>
      </c>
      <c r="F718" t="s">
        <v>13</v>
      </c>
      <c r="G718" s="2">
        <v>10106.134249999999</v>
      </c>
      <c r="H718" t="str" cm="1">
        <f t="array" ref="H718">_xlfn.IFS(A718&lt;=30, "Youth", A718&lt;=50, "Adult", A718&gt;50, "Older")</f>
        <v>Adult</v>
      </c>
      <c r="I718" t="str" cm="1">
        <f t="array" ref="I718">_xlfn.IFS(A718&lt;=25,"18-25",A718&lt;=35,"26-35",A718&lt;=45,"36-45",A718&lt;=60,"46-60",A718&gt;60,"60+")</f>
        <v>36-45</v>
      </c>
      <c r="J718" t="str" cm="1">
        <f t="array" ref="J718">_xlfn.IFS(C718&lt;18.5,"Underweight",C718&lt;25,"Normal",C718&lt;30,"Overweight",C718&gt;=30,"Obese")</f>
        <v>Obese</v>
      </c>
      <c r="K718" t="str" cm="1">
        <f t="array" ref="K718">_xlfn.IFS(G718&lt;10000, "Low", G718&lt;=25000, "Medium", G718&gt;25000, "High")</f>
        <v>Medium</v>
      </c>
    </row>
    <row r="719" spans="1:11" x14ac:dyDescent="0.3">
      <c r="A719">
        <v>41</v>
      </c>
      <c r="B719" s="1" t="s">
        <v>7</v>
      </c>
      <c r="C719">
        <v>30.9</v>
      </c>
      <c r="D719">
        <v>1</v>
      </c>
      <c r="E719" t="s">
        <v>10</v>
      </c>
      <c r="F719" t="s">
        <v>13</v>
      </c>
      <c r="G719" s="2">
        <v>10107.220600000001</v>
      </c>
      <c r="H719" t="str" cm="1">
        <f t="array" ref="H719">_xlfn.IFS(A719&lt;=30, "Youth", A719&lt;=50, "Adult", A719&gt;50, "Older")</f>
        <v>Adult</v>
      </c>
      <c r="I719" t="str" cm="1">
        <f t="array" ref="I719">_xlfn.IFS(A719&lt;=25,"18-25",A719&lt;=35,"26-35",A719&lt;=45,"36-45",A719&lt;=60,"46-60",A719&gt;60,"60+")</f>
        <v>36-45</v>
      </c>
      <c r="J719" t="str" cm="1">
        <f t="array" ref="J719">_xlfn.IFS(C719&lt;18.5,"Underweight",C719&lt;25,"Normal",C719&lt;30,"Overweight",C719&gt;=30,"Obese")</f>
        <v>Obese</v>
      </c>
      <c r="K719" t="str" cm="1">
        <f t="array" ref="K719">_xlfn.IFS(G719&lt;10000, "Low", G719&lt;=25000, "Medium", G719&gt;25000, "High")</f>
        <v>Medium</v>
      </c>
    </row>
    <row r="720" spans="1:11" x14ac:dyDescent="0.3">
      <c r="A720">
        <v>41</v>
      </c>
      <c r="B720" s="1" t="s">
        <v>7</v>
      </c>
      <c r="C720">
        <v>30.9</v>
      </c>
      <c r="D720">
        <v>1</v>
      </c>
      <c r="E720" t="s">
        <v>10</v>
      </c>
      <c r="F720" t="s">
        <v>13</v>
      </c>
      <c r="G720" s="2">
        <v>10115.00885</v>
      </c>
      <c r="H720" t="str" cm="1">
        <f t="array" ref="H720">_xlfn.IFS(A720&lt;=30, "Youth", A720&lt;=50, "Adult", A720&gt;50, "Older")</f>
        <v>Adult</v>
      </c>
      <c r="I720" t="str" cm="1">
        <f t="array" ref="I720">_xlfn.IFS(A720&lt;=25,"18-25",A720&lt;=35,"26-35",A720&lt;=45,"36-45",A720&lt;=60,"46-60",A720&gt;60,"60+")</f>
        <v>36-45</v>
      </c>
      <c r="J720" t="str" cm="1">
        <f t="array" ref="J720">_xlfn.IFS(C720&lt;18.5,"Underweight",C720&lt;25,"Normal",C720&lt;30,"Overweight",C720&gt;=30,"Obese")</f>
        <v>Obese</v>
      </c>
      <c r="K720" t="str" cm="1">
        <f t="array" ref="K720">_xlfn.IFS(G720&lt;10000, "Low", G720&lt;=25000, "Medium", G720&gt;25000, "High")</f>
        <v>Medium</v>
      </c>
    </row>
    <row r="721" spans="1:11" x14ac:dyDescent="0.3">
      <c r="A721">
        <v>41</v>
      </c>
      <c r="B721" s="1" t="s">
        <v>7</v>
      </c>
      <c r="C721">
        <v>30.9</v>
      </c>
      <c r="D721">
        <v>1</v>
      </c>
      <c r="E721" t="s">
        <v>10</v>
      </c>
      <c r="F721" t="s">
        <v>14</v>
      </c>
      <c r="G721" s="2">
        <v>10118.424000000001</v>
      </c>
      <c r="H721" t="str" cm="1">
        <f t="array" ref="H721">_xlfn.IFS(A721&lt;=30, "Youth", A721&lt;=50, "Adult", A721&gt;50, "Older")</f>
        <v>Adult</v>
      </c>
      <c r="I721" t="str" cm="1">
        <f t="array" ref="I721">_xlfn.IFS(A721&lt;=25,"18-25",A721&lt;=35,"26-35",A721&lt;=45,"36-45",A721&lt;=60,"46-60",A721&gt;60,"60+")</f>
        <v>36-45</v>
      </c>
      <c r="J721" t="str" cm="1">
        <f t="array" ref="J721">_xlfn.IFS(C721&lt;18.5,"Underweight",C721&lt;25,"Normal",C721&lt;30,"Overweight",C721&gt;=30,"Obese")</f>
        <v>Obese</v>
      </c>
      <c r="K721" t="str" cm="1">
        <f t="array" ref="K721">_xlfn.IFS(G721&lt;10000, "Low", G721&lt;=25000, "Medium", G721&gt;25000, "High")</f>
        <v>Medium</v>
      </c>
    </row>
    <row r="722" spans="1:11" x14ac:dyDescent="0.3">
      <c r="A722">
        <v>41</v>
      </c>
      <c r="B722" s="1" t="s">
        <v>8</v>
      </c>
      <c r="C722">
        <v>30.97</v>
      </c>
      <c r="D722">
        <v>1</v>
      </c>
      <c r="E722" t="s">
        <v>10</v>
      </c>
      <c r="F722" t="s">
        <v>11</v>
      </c>
      <c r="G722" s="2">
        <v>10141.136200000001</v>
      </c>
      <c r="H722" t="str" cm="1">
        <f t="array" ref="H722">_xlfn.IFS(A722&lt;=30, "Youth", A722&lt;=50, "Adult", A722&gt;50, "Older")</f>
        <v>Adult</v>
      </c>
      <c r="I722" t="str" cm="1">
        <f t="array" ref="I722">_xlfn.IFS(A722&lt;=25,"18-25",A722&lt;=35,"26-35",A722&lt;=45,"36-45",A722&lt;=60,"46-60",A722&gt;60,"60+")</f>
        <v>36-45</v>
      </c>
      <c r="J722" t="str" cm="1">
        <f t="array" ref="J722">_xlfn.IFS(C722&lt;18.5,"Underweight",C722&lt;25,"Normal",C722&lt;30,"Overweight",C722&gt;=30,"Obese")</f>
        <v>Obese</v>
      </c>
      <c r="K722" t="str" cm="1">
        <f t="array" ref="K722">_xlfn.IFS(G722&lt;10000, "Low", G722&lt;=25000, "Medium", G722&gt;25000, "High")</f>
        <v>Medium</v>
      </c>
    </row>
    <row r="723" spans="1:11" x14ac:dyDescent="0.3">
      <c r="A723">
        <v>41</v>
      </c>
      <c r="B723" s="1" t="s">
        <v>8</v>
      </c>
      <c r="C723">
        <v>31</v>
      </c>
      <c r="D723">
        <v>1</v>
      </c>
      <c r="E723" t="s">
        <v>10</v>
      </c>
      <c r="F723" t="s">
        <v>11</v>
      </c>
      <c r="G723" s="2">
        <v>10156.7832</v>
      </c>
      <c r="H723" t="str" cm="1">
        <f t="array" ref="H723">_xlfn.IFS(A723&lt;=30, "Youth", A723&lt;=50, "Adult", A723&gt;50, "Older")</f>
        <v>Adult</v>
      </c>
      <c r="I723" t="str" cm="1">
        <f t="array" ref="I723">_xlfn.IFS(A723&lt;=25,"18-25",A723&lt;=35,"26-35",A723&lt;=45,"36-45",A723&lt;=60,"46-60",A723&gt;60,"60+")</f>
        <v>36-45</v>
      </c>
      <c r="J723" t="str" cm="1">
        <f t="array" ref="J723">_xlfn.IFS(C723&lt;18.5,"Underweight",C723&lt;25,"Normal",C723&lt;30,"Overweight",C723&gt;=30,"Obese")</f>
        <v>Obese</v>
      </c>
      <c r="K723" t="str" cm="1">
        <f t="array" ref="K723">_xlfn.IFS(G723&lt;10000, "Low", G723&lt;=25000, "Medium", G723&gt;25000, "High")</f>
        <v>Medium</v>
      </c>
    </row>
    <row r="724" spans="1:11" x14ac:dyDescent="0.3">
      <c r="A724">
        <v>41</v>
      </c>
      <c r="B724" s="1" t="s">
        <v>8</v>
      </c>
      <c r="C724">
        <v>31</v>
      </c>
      <c r="D724">
        <v>1</v>
      </c>
      <c r="E724" t="s">
        <v>10</v>
      </c>
      <c r="F724" t="s">
        <v>11</v>
      </c>
      <c r="G724" s="2">
        <v>10197.772199999999</v>
      </c>
      <c r="H724" t="str" cm="1">
        <f t="array" ref="H724">_xlfn.IFS(A724&lt;=30, "Youth", A724&lt;=50, "Adult", A724&gt;50, "Older")</f>
        <v>Adult</v>
      </c>
      <c r="I724" t="str" cm="1">
        <f t="array" ref="I724">_xlfn.IFS(A724&lt;=25,"18-25",A724&lt;=35,"26-35",A724&lt;=45,"36-45",A724&lt;=60,"46-60",A724&gt;60,"60+")</f>
        <v>36-45</v>
      </c>
      <c r="J724" t="str" cm="1">
        <f t="array" ref="J724">_xlfn.IFS(C724&lt;18.5,"Underweight",C724&lt;25,"Normal",C724&lt;30,"Overweight",C724&gt;=30,"Obese")</f>
        <v>Obese</v>
      </c>
      <c r="K724" t="str" cm="1">
        <f t="array" ref="K724">_xlfn.IFS(G724&lt;10000, "Low", G724&lt;=25000, "Medium", G724&gt;25000, "High")</f>
        <v>Medium</v>
      </c>
    </row>
    <row r="725" spans="1:11" x14ac:dyDescent="0.3">
      <c r="A725">
        <v>41</v>
      </c>
      <c r="B725" s="1" t="s">
        <v>7</v>
      </c>
      <c r="C725">
        <v>31.02</v>
      </c>
      <c r="D725">
        <v>1</v>
      </c>
      <c r="E725" t="s">
        <v>10</v>
      </c>
      <c r="F725" t="s">
        <v>14</v>
      </c>
      <c r="G725" s="2">
        <v>10214.636</v>
      </c>
      <c r="H725" t="str" cm="1">
        <f t="array" ref="H725">_xlfn.IFS(A725&lt;=30, "Youth", A725&lt;=50, "Adult", A725&gt;50, "Older")</f>
        <v>Adult</v>
      </c>
      <c r="I725" t="str" cm="1">
        <f t="array" ref="I725">_xlfn.IFS(A725&lt;=25,"18-25",A725&lt;=35,"26-35",A725&lt;=45,"36-45",A725&lt;=60,"46-60",A725&gt;60,"60+")</f>
        <v>36-45</v>
      </c>
      <c r="J725" t="str" cm="1">
        <f t="array" ref="J725">_xlfn.IFS(C725&lt;18.5,"Underweight",C725&lt;25,"Normal",C725&lt;30,"Overweight",C725&gt;=30,"Obese")</f>
        <v>Obese</v>
      </c>
      <c r="K725" t="str" cm="1">
        <f t="array" ref="K725">_xlfn.IFS(G725&lt;10000, "Low", G725&lt;=25000, "Medium", G725&gt;25000, "High")</f>
        <v>Medium</v>
      </c>
    </row>
    <row r="726" spans="1:11" x14ac:dyDescent="0.3">
      <c r="A726">
        <v>41</v>
      </c>
      <c r="B726" s="1" t="s">
        <v>7</v>
      </c>
      <c r="C726">
        <v>31.02</v>
      </c>
      <c r="D726">
        <v>1</v>
      </c>
      <c r="E726" t="s">
        <v>9</v>
      </c>
      <c r="F726" t="s">
        <v>12</v>
      </c>
      <c r="G726" s="2">
        <v>10226.2842</v>
      </c>
      <c r="H726" t="str" cm="1">
        <f t="array" ref="H726">_xlfn.IFS(A726&lt;=30, "Youth", A726&lt;=50, "Adult", A726&gt;50, "Older")</f>
        <v>Adult</v>
      </c>
      <c r="I726" t="str" cm="1">
        <f t="array" ref="I726">_xlfn.IFS(A726&lt;=25,"18-25",A726&lt;=35,"26-35",A726&lt;=45,"36-45",A726&lt;=60,"46-60",A726&gt;60,"60+")</f>
        <v>36-45</v>
      </c>
      <c r="J726" t="str" cm="1">
        <f t="array" ref="J726">_xlfn.IFS(C726&lt;18.5,"Underweight",C726&lt;25,"Normal",C726&lt;30,"Overweight",C726&gt;=30,"Obese")</f>
        <v>Obese</v>
      </c>
      <c r="K726" t="str" cm="1">
        <f t="array" ref="K726">_xlfn.IFS(G726&lt;10000, "Low", G726&lt;=25000, "Medium", G726&gt;25000, "High")</f>
        <v>Medium</v>
      </c>
    </row>
    <row r="727" spans="1:11" x14ac:dyDescent="0.3">
      <c r="A727">
        <v>41</v>
      </c>
      <c r="B727" s="1" t="s">
        <v>8</v>
      </c>
      <c r="C727">
        <v>31.02</v>
      </c>
      <c r="D727">
        <v>1</v>
      </c>
      <c r="E727" t="s">
        <v>10</v>
      </c>
      <c r="F727" t="s">
        <v>13</v>
      </c>
      <c r="G727" s="2">
        <v>10231.499900000001</v>
      </c>
      <c r="H727" t="str" cm="1">
        <f t="array" ref="H727">_xlfn.IFS(A727&lt;=30, "Youth", A727&lt;=50, "Adult", A727&gt;50, "Older")</f>
        <v>Adult</v>
      </c>
      <c r="I727" t="str" cm="1">
        <f t="array" ref="I727">_xlfn.IFS(A727&lt;=25,"18-25",A727&lt;=35,"26-35",A727&lt;=45,"36-45",A727&lt;=60,"46-60",A727&gt;60,"60+")</f>
        <v>36-45</v>
      </c>
      <c r="J727" t="str" cm="1">
        <f t="array" ref="J727">_xlfn.IFS(C727&lt;18.5,"Underweight",C727&lt;25,"Normal",C727&lt;30,"Overweight",C727&gt;=30,"Obese")</f>
        <v>Obese</v>
      </c>
      <c r="K727" t="str" cm="1">
        <f t="array" ref="K727">_xlfn.IFS(G727&lt;10000, "Low", G727&lt;=25000, "Medium", G727&gt;25000, "High")</f>
        <v>Medium</v>
      </c>
    </row>
    <row r="728" spans="1:11" x14ac:dyDescent="0.3">
      <c r="A728">
        <v>41</v>
      </c>
      <c r="B728" s="1" t="s">
        <v>7</v>
      </c>
      <c r="C728">
        <v>31.065000000000001</v>
      </c>
      <c r="D728">
        <v>1</v>
      </c>
      <c r="E728" t="s">
        <v>9</v>
      </c>
      <c r="F728" t="s">
        <v>14</v>
      </c>
      <c r="G728" s="2">
        <v>10264.4421</v>
      </c>
      <c r="H728" t="str" cm="1">
        <f t="array" ref="H728">_xlfn.IFS(A728&lt;=30, "Youth", A728&lt;=50, "Adult", A728&gt;50, "Older")</f>
        <v>Adult</v>
      </c>
      <c r="I728" t="str" cm="1">
        <f t="array" ref="I728">_xlfn.IFS(A728&lt;=25,"18-25",A728&lt;=35,"26-35",A728&lt;=45,"36-45",A728&lt;=60,"46-60",A728&gt;60,"60+")</f>
        <v>36-45</v>
      </c>
      <c r="J728" t="str" cm="1">
        <f t="array" ref="J728">_xlfn.IFS(C728&lt;18.5,"Underweight",C728&lt;25,"Normal",C728&lt;30,"Overweight",C728&gt;=30,"Obese")</f>
        <v>Obese</v>
      </c>
      <c r="K728" t="str" cm="1">
        <f t="array" ref="K728">_xlfn.IFS(G728&lt;10000, "Low", G728&lt;=25000, "Medium", G728&gt;25000, "High")</f>
        <v>Medium</v>
      </c>
    </row>
    <row r="729" spans="1:11" x14ac:dyDescent="0.3">
      <c r="A729">
        <v>42</v>
      </c>
      <c r="B729" s="1" t="s">
        <v>7</v>
      </c>
      <c r="C729">
        <v>31.065000000000001</v>
      </c>
      <c r="D729">
        <v>1</v>
      </c>
      <c r="E729" t="s">
        <v>10</v>
      </c>
      <c r="F729" t="s">
        <v>14</v>
      </c>
      <c r="G729" s="2">
        <v>10269.459999999999</v>
      </c>
      <c r="H729" t="str" cm="1">
        <f t="array" ref="H729">_xlfn.IFS(A729&lt;=30, "Youth", A729&lt;=50, "Adult", A729&gt;50, "Older")</f>
        <v>Adult</v>
      </c>
      <c r="I729" t="str" cm="1">
        <f t="array" ref="I729">_xlfn.IFS(A729&lt;=25,"18-25",A729&lt;=35,"26-35",A729&lt;=45,"36-45",A729&lt;=60,"46-60",A729&gt;60,"60+")</f>
        <v>36-45</v>
      </c>
      <c r="J729" t="str" cm="1">
        <f t="array" ref="J729">_xlfn.IFS(C729&lt;18.5,"Underweight",C729&lt;25,"Normal",C729&lt;30,"Overweight",C729&gt;=30,"Obese")</f>
        <v>Obese</v>
      </c>
      <c r="K729" t="str" cm="1">
        <f t="array" ref="K729">_xlfn.IFS(G729&lt;10000, "Low", G729&lt;=25000, "Medium", G729&gt;25000, "High")</f>
        <v>Medium</v>
      </c>
    </row>
    <row r="730" spans="1:11" x14ac:dyDescent="0.3">
      <c r="A730">
        <v>42</v>
      </c>
      <c r="B730" s="1" t="s">
        <v>7</v>
      </c>
      <c r="C730">
        <v>31.065000000000001</v>
      </c>
      <c r="D730">
        <v>1</v>
      </c>
      <c r="E730" t="s">
        <v>10</v>
      </c>
      <c r="F730" t="s">
        <v>12</v>
      </c>
      <c r="G730" s="2">
        <v>10325.206</v>
      </c>
      <c r="H730" t="str" cm="1">
        <f t="array" ref="H730">_xlfn.IFS(A730&lt;=30, "Youth", A730&lt;=50, "Adult", A730&gt;50, "Older")</f>
        <v>Adult</v>
      </c>
      <c r="I730" t="str" cm="1">
        <f t="array" ref="I730">_xlfn.IFS(A730&lt;=25,"18-25",A730&lt;=35,"26-35",A730&lt;=45,"36-45",A730&lt;=60,"46-60",A730&gt;60,"60+")</f>
        <v>36-45</v>
      </c>
      <c r="J730" t="str" cm="1">
        <f t="array" ref="J730">_xlfn.IFS(C730&lt;18.5,"Underweight",C730&lt;25,"Normal",C730&lt;30,"Overweight",C730&gt;=30,"Obese")</f>
        <v>Obese</v>
      </c>
      <c r="K730" t="str" cm="1">
        <f t="array" ref="K730">_xlfn.IFS(G730&lt;10000, "Low", G730&lt;=25000, "Medium", G730&gt;25000, "High")</f>
        <v>Medium</v>
      </c>
    </row>
    <row r="731" spans="1:11" x14ac:dyDescent="0.3">
      <c r="A731">
        <v>42</v>
      </c>
      <c r="B731" s="1" t="s">
        <v>8</v>
      </c>
      <c r="C731">
        <v>31.065000000000001</v>
      </c>
      <c r="D731">
        <v>1</v>
      </c>
      <c r="E731" t="s">
        <v>9</v>
      </c>
      <c r="F731" t="s">
        <v>12</v>
      </c>
      <c r="G731" s="2">
        <v>10338.9316</v>
      </c>
      <c r="H731" t="str" cm="1">
        <f t="array" ref="H731">_xlfn.IFS(A731&lt;=30, "Youth", A731&lt;=50, "Adult", A731&gt;50, "Older")</f>
        <v>Adult</v>
      </c>
      <c r="I731" t="str" cm="1">
        <f t="array" ref="I731">_xlfn.IFS(A731&lt;=25,"18-25",A731&lt;=35,"26-35",A731&lt;=45,"36-45",A731&lt;=60,"46-60",A731&gt;60,"60+")</f>
        <v>36-45</v>
      </c>
      <c r="J731" t="str" cm="1">
        <f t="array" ref="J731">_xlfn.IFS(C731&lt;18.5,"Underweight",C731&lt;25,"Normal",C731&lt;30,"Overweight",C731&gt;=30,"Obese")</f>
        <v>Obese</v>
      </c>
      <c r="K731" t="str" cm="1">
        <f t="array" ref="K731">_xlfn.IFS(G731&lt;10000, "Low", G731&lt;=25000, "Medium", G731&gt;25000, "High")</f>
        <v>Medium</v>
      </c>
    </row>
    <row r="732" spans="1:11" x14ac:dyDescent="0.3">
      <c r="A732">
        <v>42</v>
      </c>
      <c r="B732" s="1" t="s">
        <v>8</v>
      </c>
      <c r="C732">
        <v>31.1</v>
      </c>
      <c r="D732">
        <v>1</v>
      </c>
      <c r="E732" t="s">
        <v>10</v>
      </c>
      <c r="F732" t="s">
        <v>11</v>
      </c>
      <c r="G732" s="2">
        <v>10355.641</v>
      </c>
      <c r="H732" t="str" cm="1">
        <f t="array" ref="H732">_xlfn.IFS(A732&lt;=30, "Youth", A732&lt;=50, "Adult", A732&gt;50, "Older")</f>
        <v>Adult</v>
      </c>
      <c r="I732" t="str" cm="1">
        <f t="array" ref="I732">_xlfn.IFS(A732&lt;=25,"18-25",A732&lt;=35,"26-35",A732&lt;=45,"36-45",A732&lt;=60,"46-60",A732&gt;60,"60+")</f>
        <v>36-45</v>
      </c>
      <c r="J732" t="str" cm="1">
        <f t="array" ref="J732">_xlfn.IFS(C732&lt;18.5,"Underweight",C732&lt;25,"Normal",C732&lt;30,"Overweight",C732&gt;=30,"Obese")</f>
        <v>Obese</v>
      </c>
      <c r="K732" t="str" cm="1">
        <f t="array" ref="K732">_xlfn.IFS(G732&lt;10000, "Low", G732&lt;=25000, "Medium", G732&gt;25000, "High")</f>
        <v>Medium</v>
      </c>
    </row>
    <row r="733" spans="1:11" x14ac:dyDescent="0.3">
      <c r="A733">
        <v>42</v>
      </c>
      <c r="B733" s="1" t="s">
        <v>7</v>
      </c>
      <c r="C733">
        <v>31.13</v>
      </c>
      <c r="D733">
        <v>1</v>
      </c>
      <c r="E733" t="s">
        <v>10</v>
      </c>
      <c r="F733" t="s">
        <v>11</v>
      </c>
      <c r="G733" s="2">
        <v>10370.912549999999</v>
      </c>
      <c r="H733" t="str" cm="1">
        <f t="array" ref="H733">_xlfn.IFS(A733&lt;=30, "Youth", A733&lt;=50, "Adult", A733&gt;50, "Older")</f>
        <v>Adult</v>
      </c>
      <c r="I733" t="str" cm="1">
        <f t="array" ref="I733">_xlfn.IFS(A733&lt;=25,"18-25",A733&lt;=35,"26-35",A733&lt;=45,"36-45",A733&lt;=60,"46-60",A733&gt;60,"60+")</f>
        <v>36-45</v>
      </c>
      <c r="J733" t="str" cm="1">
        <f t="array" ref="J733">_xlfn.IFS(C733&lt;18.5,"Underweight",C733&lt;25,"Normal",C733&lt;30,"Overweight",C733&gt;=30,"Obese")</f>
        <v>Obese</v>
      </c>
      <c r="K733" t="str" cm="1">
        <f t="array" ref="K733">_xlfn.IFS(G733&lt;10000, "Low", G733&lt;=25000, "Medium", G733&gt;25000, "High")</f>
        <v>Medium</v>
      </c>
    </row>
    <row r="734" spans="1:11" x14ac:dyDescent="0.3">
      <c r="A734">
        <v>42</v>
      </c>
      <c r="B734" s="1" t="s">
        <v>7</v>
      </c>
      <c r="C734">
        <v>31.13</v>
      </c>
      <c r="D734">
        <v>1</v>
      </c>
      <c r="E734" t="s">
        <v>10</v>
      </c>
      <c r="F734" t="s">
        <v>14</v>
      </c>
      <c r="G734" s="2">
        <v>10381.4787</v>
      </c>
      <c r="H734" t="str" cm="1">
        <f t="array" ref="H734">_xlfn.IFS(A734&lt;=30, "Youth", A734&lt;=50, "Adult", A734&gt;50, "Older")</f>
        <v>Adult</v>
      </c>
      <c r="I734" t="str" cm="1">
        <f t="array" ref="I734">_xlfn.IFS(A734&lt;=25,"18-25",A734&lt;=35,"26-35",A734&lt;=45,"36-45",A734&lt;=60,"46-60",A734&gt;60,"60+")</f>
        <v>36-45</v>
      </c>
      <c r="J734" t="str" cm="1">
        <f t="array" ref="J734">_xlfn.IFS(C734&lt;18.5,"Underweight",C734&lt;25,"Normal",C734&lt;30,"Overweight",C734&gt;=30,"Obese")</f>
        <v>Obese</v>
      </c>
      <c r="K734" t="str" cm="1">
        <f t="array" ref="K734">_xlfn.IFS(G734&lt;10000, "Low", G734&lt;=25000, "Medium", G734&gt;25000, "High")</f>
        <v>Medium</v>
      </c>
    </row>
    <row r="735" spans="1:11" x14ac:dyDescent="0.3">
      <c r="A735">
        <v>42</v>
      </c>
      <c r="B735" s="1" t="s">
        <v>7</v>
      </c>
      <c r="C735">
        <v>31.13</v>
      </c>
      <c r="D735">
        <v>1</v>
      </c>
      <c r="E735" t="s">
        <v>10</v>
      </c>
      <c r="F735" t="s">
        <v>11</v>
      </c>
      <c r="G735" s="2">
        <v>10407.085849999999</v>
      </c>
      <c r="H735" t="str" cm="1">
        <f t="array" ref="H735">_xlfn.IFS(A735&lt;=30, "Youth", A735&lt;=50, "Adult", A735&gt;50, "Older")</f>
        <v>Adult</v>
      </c>
      <c r="I735" t="str" cm="1">
        <f t="array" ref="I735">_xlfn.IFS(A735&lt;=25,"18-25",A735&lt;=35,"26-35",A735&lt;=45,"36-45",A735&lt;=60,"46-60",A735&gt;60,"60+")</f>
        <v>36-45</v>
      </c>
      <c r="J735" t="str" cm="1">
        <f t="array" ref="J735">_xlfn.IFS(C735&lt;18.5,"Underweight",C735&lt;25,"Normal",C735&lt;30,"Overweight",C735&gt;=30,"Obese")</f>
        <v>Obese</v>
      </c>
      <c r="K735" t="str" cm="1">
        <f t="array" ref="K735">_xlfn.IFS(G735&lt;10000, "Low", G735&lt;=25000, "Medium", G735&gt;25000, "High")</f>
        <v>Medium</v>
      </c>
    </row>
    <row r="736" spans="1:11" x14ac:dyDescent="0.3">
      <c r="A736">
        <v>42</v>
      </c>
      <c r="B736" s="1" t="s">
        <v>7</v>
      </c>
      <c r="C736">
        <v>31.13</v>
      </c>
      <c r="D736">
        <v>1</v>
      </c>
      <c r="E736" t="s">
        <v>10</v>
      </c>
      <c r="F736" t="s">
        <v>13</v>
      </c>
      <c r="G736" s="2">
        <v>10422.916649999999</v>
      </c>
      <c r="H736" t="str" cm="1">
        <f t="array" ref="H736">_xlfn.IFS(A736&lt;=30, "Youth", A736&lt;=50, "Adult", A736&gt;50, "Older")</f>
        <v>Adult</v>
      </c>
      <c r="I736" t="str" cm="1">
        <f t="array" ref="I736">_xlfn.IFS(A736&lt;=25,"18-25",A736&lt;=35,"26-35",A736&lt;=45,"36-45",A736&lt;=60,"46-60",A736&gt;60,"60+")</f>
        <v>36-45</v>
      </c>
      <c r="J736" t="str" cm="1">
        <f t="array" ref="J736">_xlfn.IFS(C736&lt;18.5,"Underweight",C736&lt;25,"Normal",C736&lt;30,"Overweight",C736&gt;=30,"Obese")</f>
        <v>Obese</v>
      </c>
      <c r="K736" t="str" cm="1">
        <f t="array" ref="K736">_xlfn.IFS(G736&lt;10000, "Low", G736&lt;=25000, "Medium", G736&gt;25000, "High")</f>
        <v>Medium</v>
      </c>
    </row>
    <row r="737" spans="1:11" x14ac:dyDescent="0.3">
      <c r="A737">
        <v>42</v>
      </c>
      <c r="B737" s="1" t="s">
        <v>7</v>
      </c>
      <c r="C737">
        <v>31.16</v>
      </c>
      <c r="D737">
        <v>1</v>
      </c>
      <c r="E737" t="s">
        <v>9</v>
      </c>
      <c r="F737" t="s">
        <v>12</v>
      </c>
      <c r="G737" s="2">
        <v>10435.06525</v>
      </c>
      <c r="H737" t="str" cm="1">
        <f t="array" ref="H737">_xlfn.IFS(A737&lt;=30, "Youth", A737&lt;=50, "Adult", A737&gt;50, "Older")</f>
        <v>Adult</v>
      </c>
      <c r="I737" t="str" cm="1">
        <f t="array" ref="I737">_xlfn.IFS(A737&lt;=25,"18-25",A737&lt;=35,"26-35",A737&lt;=45,"36-45",A737&lt;=60,"46-60",A737&gt;60,"60+")</f>
        <v>36-45</v>
      </c>
      <c r="J737" t="str" cm="1">
        <f t="array" ref="J737">_xlfn.IFS(C737&lt;18.5,"Underweight",C737&lt;25,"Normal",C737&lt;30,"Overweight",C737&gt;=30,"Obese")</f>
        <v>Obese</v>
      </c>
      <c r="K737" t="str" cm="1">
        <f t="array" ref="K737">_xlfn.IFS(G737&lt;10000, "Low", G737&lt;=25000, "Medium", G737&gt;25000, "High")</f>
        <v>Medium</v>
      </c>
    </row>
    <row r="738" spans="1:11" x14ac:dyDescent="0.3">
      <c r="A738">
        <v>42</v>
      </c>
      <c r="B738" s="1" t="s">
        <v>8</v>
      </c>
      <c r="C738">
        <v>31.16</v>
      </c>
      <c r="D738">
        <v>1</v>
      </c>
      <c r="E738" t="s">
        <v>10</v>
      </c>
      <c r="F738" t="s">
        <v>11</v>
      </c>
      <c r="G738" s="2">
        <v>10436.096</v>
      </c>
      <c r="H738" t="str" cm="1">
        <f t="array" ref="H738">_xlfn.IFS(A738&lt;=30, "Youth", A738&lt;=50, "Adult", A738&gt;50, "Older")</f>
        <v>Adult</v>
      </c>
      <c r="I738" t="str" cm="1">
        <f t="array" ref="I738">_xlfn.IFS(A738&lt;=25,"18-25",A738&lt;=35,"26-35",A738&lt;=45,"36-45",A738&lt;=60,"46-60",A738&gt;60,"60+")</f>
        <v>36-45</v>
      </c>
      <c r="J738" t="str" cm="1">
        <f t="array" ref="J738">_xlfn.IFS(C738&lt;18.5,"Underweight",C738&lt;25,"Normal",C738&lt;30,"Overweight",C738&gt;=30,"Obese")</f>
        <v>Obese</v>
      </c>
      <c r="K738" t="str" cm="1">
        <f t="array" ref="K738">_xlfn.IFS(G738&lt;10000, "Low", G738&lt;=25000, "Medium", G738&gt;25000, "High")</f>
        <v>Medium</v>
      </c>
    </row>
    <row r="739" spans="1:11" x14ac:dyDescent="0.3">
      <c r="A739">
        <v>42</v>
      </c>
      <c r="B739" s="1" t="s">
        <v>8</v>
      </c>
      <c r="C739">
        <v>31.16</v>
      </c>
      <c r="D739">
        <v>1</v>
      </c>
      <c r="E739" t="s">
        <v>9</v>
      </c>
      <c r="F739" t="s">
        <v>14</v>
      </c>
      <c r="G739" s="2">
        <v>10450.552</v>
      </c>
      <c r="H739" t="str" cm="1">
        <f t="array" ref="H739">_xlfn.IFS(A739&lt;=30, "Youth", A739&lt;=50, "Adult", A739&gt;50, "Older")</f>
        <v>Adult</v>
      </c>
      <c r="I739" t="str" cm="1">
        <f t="array" ref="I739">_xlfn.IFS(A739&lt;=25,"18-25",A739&lt;=35,"26-35",A739&lt;=45,"36-45",A739&lt;=60,"46-60",A739&gt;60,"60+")</f>
        <v>36-45</v>
      </c>
      <c r="J739" t="str" cm="1">
        <f t="array" ref="J739">_xlfn.IFS(C739&lt;18.5,"Underweight",C739&lt;25,"Normal",C739&lt;30,"Overweight",C739&gt;=30,"Obese")</f>
        <v>Obese</v>
      </c>
      <c r="K739" t="str" cm="1">
        <f t="array" ref="K739">_xlfn.IFS(G739&lt;10000, "Low", G739&lt;=25000, "Medium", G739&gt;25000, "High")</f>
        <v>Medium</v>
      </c>
    </row>
    <row r="740" spans="1:11" x14ac:dyDescent="0.3">
      <c r="A740">
        <v>42</v>
      </c>
      <c r="B740" s="1" t="s">
        <v>8</v>
      </c>
      <c r="C740">
        <v>31.16</v>
      </c>
      <c r="D740">
        <v>1</v>
      </c>
      <c r="E740" t="s">
        <v>9</v>
      </c>
      <c r="F740" t="s">
        <v>11</v>
      </c>
      <c r="G740" s="2">
        <v>10461.9794</v>
      </c>
      <c r="H740" t="str" cm="1">
        <f t="array" ref="H740">_xlfn.IFS(A740&lt;=30, "Youth", A740&lt;=50, "Adult", A740&gt;50, "Older")</f>
        <v>Adult</v>
      </c>
      <c r="I740" t="str" cm="1">
        <f t="array" ref="I740">_xlfn.IFS(A740&lt;=25,"18-25",A740&lt;=35,"26-35",A740&lt;=45,"36-45",A740&lt;=60,"46-60",A740&gt;60,"60+")</f>
        <v>36-45</v>
      </c>
      <c r="J740" t="str" cm="1">
        <f t="array" ref="J740">_xlfn.IFS(C740&lt;18.5,"Underweight",C740&lt;25,"Normal",C740&lt;30,"Overweight",C740&gt;=30,"Obese")</f>
        <v>Obese</v>
      </c>
      <c r="K740" t="str" cm="1">
        <f t="array" ref="K740">_xlfn.IFS(G740&lt;10000, "Low", G740&lt;=25000, "Medium", G740&gt;25000, "High")</f>
        <v>Medium</v>
      </c>
    </row>
    <row r="741" spans="1:11" x14ac:dyDescent="0.3">
      <c r="A741">
        <v>42</v>
      </c>
      <c r="B741" s="1" t="s">
        <v>8</v>
      </c>
      <c r="C741">
        <v>31.2</v>
      </c>
      <c r="D741">
        <v>1</v>
      </c>
      <c r="E741" t="s">
        <v>10</v>
      </c>
      <c r="F741" t="s">
        <v>14</v>
      </c>
      <c r="G741" s="2">
        <v>10493.9458</v>
      </c>
      <c r="H741" t="str" cm="1">
        <f t="array" ref="H741">_xlfn.IFS(A741&lt;=30, "Youth", A741&lt;=50, "Adult", A741&gt;50, "Older")</f>
        <v>Adult</v>
      </c>
      <c r="I741" t="str" cm="1">
        <f t="array" ref="I741">_xlfn.IFS(A741&lt;=25,"18-25",A741&lt;=35,"26-35",A741&lt;=45,"36-45",A741&lt;=60,"46-60",A741&gt;60,"60+")</f>
        <v>36-45</v>
      </c>
      <c r="J741" t="str" cm="1">
        <f t="array" ref="J741">_xlfn.IFS(C741&lt;18.5,"Underweight",C741&lt;25,"Normal",C741&lt;30,"Overweight",C741&gt;=30,"Obese")</f>
        <v>Obese</v>
      </c>
      <c r="K741" t="str" cm="1">
        <f t="array" ref="K741">_xlfn.IFS(G741&lt;10000, "Low", G741&lt;=25000, "Medium", G741&gt;25000, "High")</f>
        <v>Medium</v>
      </c>
    </row>
    <row r="742" spans="1:11" x14ac:dyDescent="0.3">
      <c r="A742">
        <v>42</v>
      </c>
      <c r="B742" s="1" t="s">
        <v>8</v>
      </c>
      <c r="C742">
        <v>31.24</v>
      </c>
      <c r="D742">
        <v>1</v>
      </c>
      <c r="E742" t="s">
        <v>9</v>
      </c>
      <c r="F742" t="s">
        <v>12</v>
      </c>
      <c r="G742" s="2">
        <v>10560.4917</v>
      </c>
      <c r="H742" t="str" cm="1">
        <f t="array" ref="H742">_xlfn.IFS(A742&lt;=30, "Youth", A742&lt;=50, "Adult", A742&gt;50, "Older")</f>
        <v>Adult</v>
      </c>
      <c r="I742" t="str" cm="1">
        <f t="array" ref="I742">_xlfn.IFS(A742&lt;=25,"18-25",A742&lt;=35,"26-35",A742&lt;=45,"36-45",A742&lt;=60,"46-60",A742&gt;60,"60+")</f>
        <v>36-45</v>
      </c>
      <c r="J742" t="str" cm="1">
        <f t="array" ref="J742">_xlfn.IFS(C742&lt;18.5,"Underweight",C742&lt;25,"Normal",C742&lt;30,"Overweight",C742&gt;=30,"Obese")</f>
        <v>Obese</v>
      </c>
      <c r="K742" t="str" cm="1">
        <f t="array" ref="K742">_xlfn.IFS(G742&lt;10000, "Low", G742&lt;=25000, "Medium", G742&gt;25000, "High")</f>
        <v>Medium</v>
      </c>
    </row>
    <row r="743" spans="1:11" x14ac:dyDescent="0.3">
      <c r="A743">
        <v>42</v>
      </c>
      <c r="B743" s="1" t="s">
        <v>8</v>
      </c>
      <c r="C743">
        <v>31.254999999999999</v>
      </c>
      <c r="D743">
        <v>1</v>
      </c>
      <c r="E743" t="s">
        <v>9</v>
      </c>
      <c r="F743" t="s">
        <v>14</v>
      </c>
      <c r="G743" s="2">
        <v>10564.8845</v>
      </c>
      <c r="H743" t="str" cm="1">
        <f t="array" ref="H743">_xlfn.IFS(A743&lt;=30, "Youth", A743&lt;=50, "Adult", A743&gt;50, "Older")</f>
        <v>Adult</v>
      </c>
      <c r="I743" t="str" cm="1">
        <f t="array" ref="I743">_xlfn.IFS(A743&lt;=25,"18-25",A743&lt;=35,"26-35",A743&lt;=45,"36-45",A743&lt;=60,"46-60",A743&gt;60,"60+")</f>
        <v>36-45</v>
      </c>
      <c r="J743" t="str" cm="1">
        <f t="array" ref="J743">_xlfn.IFS(C743&lt;18.5,"Underweight",C743&lt;25,"Normal",C743&lt;30,"Overweight",C743&gt;=30,"Obese")</f>
        <v>Obese</v>
      </c>
      <c r="K743" t="str" cm="1">
        <f t="array" ref="K743">_xlfn.IFS(G743&lt;10000, "Low", G743&lt;=25000, "Medium", G743&gt;25000, "High")</f>
        <v>Medium</v>
      </c>
    </row>
    <row r="744" spans="1:11" x14ac:dyDescent="0.3">
      <c r="A744">
        <v>42</v>
      </c>
      <c r="B744" s="1" t="s">
        <v>7</v>
      </c>
      <c r="C744">
        <v>31.254999999999999</v>
      </c>
      <c r="D744">
        <v>1</v>
      </c>
      <c r="E744" t="s">
        <v>10</v>
      </c>
      <c r="F744" t="s">
        <v>12</v>
      </c>
      <c r="G744" s="2">
        <v>10577.087</v>
      </c>
      <c r="H744" t="str" cm="1">
        <f t="array" ref="H744">_xlfn.IFS(A744&lt;=30, "Youth", A744&lt;=50, "Adult", A744&gt;50, "Older")</f>
        <v>Adult</v>
      </c>
      <c r="I744" t="str" cm="1">
        <f t="array" ref="I744">_xlfn.IFS(A744&lt;=25,"18-25",A744&lt;=35,"26-35",A744&lt;=45,"36-45",A744&lt;=60,"46-60",A744&gt;60,"60+")</f>
        <v>36-45</v>
      </c>
      <c r="J744" t="str" cm="1">
        <f t="array" ref="J744">_xlfn.IFS(C744&lt;18.5,"Underweight",C744&lt;25,"Normal",C744&lt;30,"Overweight",C744&gt;=30,"Obese")</f>
        <v>Obese</v>
      </c>
      <c r="K744" t="str" cm="1">
        <f t="array" ref="K744">_xlfn.IFS(G744&lt;10000, "Low", G744&lt;=25000, "Medium", G744&gt;25000, "High")</f>
        <v>Medium</v>
      </c>
    </row>
    <row r="745" spans="1:11" x14ac:dyDescent="0.3">
      <c r="A745">
        <v>42</v>
      </c>
      <c r="B745" s="1" t="s">
        <v>8</v>
      </c>
      <c r="C745">
        <v>31.254999999999999</v>
      </c>
      <c r="D745">
        <v>1</v>
      </c>
      <c r="E745" t="s">
        <v>10</v>
      </c>
      <c r="F745" t="s">
        <v>13</v>
      </c>
      <c r="G745" s="2">
        <v>10579.710999999999</v>
      </c>
      <c r="H745" t="str" cm="1">
        <f t="array" ref="H745">_xlfn.IFS(A745&lt;=30, "Youth", A745&lt;=50, "Adult", A745&gt;50, "Older")</f>
        <v>Adult</v>
      </c>
      <c r="I745" t="str" cm="1">
        <f t="array" ref="I745">_xlfn.IFS(A745&lt;=25,"18-25",A745&lt;=35,"26-35",A745&lt;=45,"36-45",A745&lt;=60,"46-60",A745&gt;60,"60+")</f>
        <v>36-45</v>
      </c>
      <c r="J745" t="str" cm="1">
        <f t="array" ref="J745">_xlfn.IFS(C745&lt;18.5,"Underweight",C745&lt;25,"Normal",C745&lt;30,"Overweight",C745&gt;=30,"Obese")</f>
        <v>Obese</v>
      </c>
      <c r="K745" t="str" cm="1">
        <f t="array" ref="K745">_xlfn.IFS(G745&lt;10000, "Low", G745&lt;=25000, "Medium", G745&gt;25000, "High")</f>
        <v>Medium</v>
      </c>
    </row>
    <row r="746" spans="1:11" x14ac:dyDescent="0.3">
      <c r="A746">
        <v>42</v>
      </c>
      <c r="B746" s="1" t="s">
        <v>7</v>
      </c>
      <c r="C746">
        <v>31.3</v>
      </c>
      <c r="D746">
        <v>1</v>
      </c>
      <c r="E746" t="s">
        <v>10</v>
      </c>
      <c r="F746" t="s">
        <v>13</v>
      </c>
      <c r="G746" s="2">
        <v>10594.225700000001</v>
      </c>
      <c r="H746" t="str" cm="1">
        <f t="array" ref="H746">_xlfn.IFS(A746&lt;=30, "Youth", A746&lt;=50, "Adult", A746&gt;50, "Older")</f>
        <v>Adult</v>
      </c>
      <c r="I746" t="str" cm="1">
        <f t="array" ref="I746">_xlfn.IFS(A746&lt;=25,"18-25",A746&lt;=35,"26-35",A746&lt;=45,"36-45",A746&lt;=60,"46-60",A746&gt;60,"60+")</f>
        <v>36-45</v>
      </c>
      <c r="J746" t="str" cm="1">
        <f t="array" ref="J746">_xlfn.IFS(C746&lt;18.5,"Underweight",C746&lt;25,"Normal",C746&lt;30,"Overweight",C746&gt;=30,"Obese")</f>
        <v>Obese</v>
      </c>
      <c r="K746" t="str" cm="1">
        <f t="array" ref="K746">_xlfn.IFS(G746&lt;10000, "Low", G746&lt;=25000, "Medium", G746&gt;25000, "High")</f>
        <v>Medium</v>
      </c>
    </row>
    <row r="747" spans="1:11" x14ac:dyDescent="0.3">
      <c r="A747">
        <v>42</v>
      </c>
      <c r="B747" s="1" t="s">
        <v>8</v>
      </c>
      <c r="C747">
        <v>31.35</v>
      </c>
      <c r="D747">
        <v>1</v>
      </c>
      <c r="E747" t="s">
        <v>10</v>
      </c>
      <c r="F747" t="s">
        <v>11</v>
      </c>
      <c r="G747" s="2">
        <v>10594.501550000001</v>
      </c>
      <c r="H747" t="str" cm="1">
        <f t="array" ref="H747">_xlfn.IFS(A747&lt;=30, "Youth", A747&lt;=50, "Adult", A747&gt;50, "Older")</f>
        <v>Adult</v>
      </c>
      <c r="I747" t="str" cm="1">
        <f t="array" ref="I747">_xlfn.IFS(A747&lt;=25,"18-25",A747&lt;=35,"26-35",A747&lt;=45,"36-45",A747&lt;=60,"46-60",A747&gt;60,"60+")</f>
        <v>36-45</v>
      </c>
      <c r="J747" t="str" cm="1">
        <f t="array" ref="J747">_xlfn.IFS(C747&lt;18.5,"Underweight",C747&lt;25,"Normal",C747&lt;30,"Overweight",C747&gt;=30,"Obese")</f>
        <v>Obese</v>
      </c>
      <c r="K747" t="str" cm="1">
        <f t="array" ref="K747">_xlfn.IFS(G747&lt;10000, "Low", G747&lt;=25000, "Medium", G747&gt;25000, "High")</f>
        <v>Medium</v>
      </c>
    </row>
    <row r="748" spans="1:11" x14ac:dyDescent="0.3">
      <c r="A748">
        <v>42</v>
      </c>
      <c r="B748" s="1" t="s">
        <v>8</v>
      </c>
      <c r="C748">
        <v>31.35</v>
      </c>
      <c r="D748">
        <v>1</v>
      </c>
      <c r="E748" t="s">
        <v>10</v>
      </c>
      <c r="F748" t="s">
        <v>13</v>
      </c>
      <c r="G748" s="2">
        <v>10600.5483</v>
      </c>
      <c r="H748" t="str" cm="1">
        <f t="array" ref="H748">_xlfn.IFS(A748&lt;=30, "Youth", A748&lt;=50, "Adult", A748&gt;50, "Older")</f>
        <v>Adult</v>
      </c>
      <c r="I748" t="str" cm="1">
        <f t="array" ref="I748">_xlfn.IFS(A748&lt;=25,"18-25",A748&lt;=35,"26-35",A748&lt;=45,"36-45",A748&lt;=60,"46-60",A748&gt;60,"60+")</f>
        <v>36-45</v>
      </c>
      <c r="J748" t="str" cm="1">
        <f t="array" ref="J748">_xlfn.IFS(C748&lt;18.5,"Underweight",C748&lt;25,"Normal",C748&lt;30,"Overweight",C748&gt;=30,"Obese")</f>
        <v>Obese</v>
      </c>
      <c r="K748" t="str" cm="1">
        <f t="array" ref="K748">_xlfn.IFS(G748&lt;10000, "Low", G748&lt;=25000, "Medium", G748&gt;25000, "High")</f>
        <v>Medium</v>
      </c>
    </row>
    <row r="749" spans="1:11" x14ac:dyDescent="0.3">
      <c r="A749">
        <v>42</v>
      </c>
      <c r="B749" s="1" t="s">
        <v>7</v>
      </c>
      <c r="C749">
        <v>31.35</v>
      </c>
      <c r="D749">
        <v>1</v>
      </c>
      <c r="E749" t="s">
        <v>10</v>
      </c>
      <c r="F749" t="s">
        <v>11</v>
      </c>
      <c r="G749" s="2">
        <v>10601.412</v>
      </c>
      <c r="H749" t="str" cm="1">
        <f t="array" ref="H749">_xlfn.IFS(A749&lt;=30, "Youth", A749&lt;=50, "Adult", A749&gt;50, "Older")</f>
        <v>Adult</v>
      </c>
      <c r="I749" t="str" cm="1">
        <f t="array" ref="I749">_xlfn.IFS(A749&lt;=25,"18-25",A749&lt;=35,"26-35",A749&lt;=45,"36-45",A749&lt;=60,"46-60",A749&gt;60,"60+")</f>
        <v>36-45</v>
      </c>
      <c r="J749" t="str" cm="1">
        <f t="array" ref="J749">_xlfn.IFS(C749&lt;18.5,"Underweight",C749&lt;25,"Normal",C749&lt;30,"Overweight",C749&gt;=30,"Obese")</f>
        <v>Obese</v>
      </c>
      <c r="K749" t="str" cm="1">
        <f t="array" ref="K749">_xlfn.IFS(G749&lt;10000, "Low", G749&lt;=25000, "Medium", G749&gt;25000, "High")</f>
        <v>Medium</v>
      </c>
    </row>
    <row r="750" spans="1:11" x14ac:dyDescent="0.3">
      <c r="A750">
        <v>42</v>
      </c>
      <c r="B750" s="1" t="s">
        <v>8</v>
      </c>
      <c r="C750">
        <v>31.35</v>
      </c>
      <c r="D750">
        <v>1</v>
      </c>
      <c r="E750" t="s">
        <v>10</v>
      </c>
      <c r="F750" t="s">
        <v>13</v>
      </c>
      <c r="G750" s="2">
        <v>10601.632250000001</v>
      </c>
      <c r="H750" t="str" cm="1">
        <f t="array" ref="H750">_xlfn.IFS(A750&lt;=30, "Youth", A750&lt;=50, "Adult", A750&gt;50, "Older")</f>
        <v>Adult</v>
      </c>
      <c r="I750" t="str" cm="1">
        <f t="array" ref="I750">_xlfn.IFS(A750&lt;=25,"18-25",A750&lt;=35,"26-35",A750&lt;=45,"36-45",A750&lt;=60,"46-60",A750&gt;60,"60+")</f>
        <v>36-45</v>
      </c>
      <c r="J750" t="str" cm="1">
        <f t="array" ref="J750">_xlfn.IFS(C750&lt;18.5,"Underweight",C750&lt;25,"Normal",C750&lt;30,"Overweight",C750&gt;=30,"Obese")</f>
        <v>Obese</v>
      </c>
      <c r="K750" t="str" cm="1">
        <f t="array" ref="K750">_xlfn.IFS(G750&lt;10000, "Low", G750&lt;=25000, "Medium", G750&gt;25000, "High")</f>
        <v>Medium</v>
      </c>
    </row>
    <row r="751" spans="1:11" x14ac:dyDescent="0.3">
      <c r="A751">
        <v>42</v>
      </c>
      <c r="B751" s="1" t="s">
        <v>7</v>
      </c>
      <c r="C751">
        <v>31.35</v>
      </c>
      <c r="D751">
        <v>1</v>
      </c>
      <c r="E751" t="s">
        <v>9</v>
      </c>
      <c r="F751" t="s">
        <v>12</v>
      </c>
      <c r="G751" s="2">
        <v>10602.385</v>
      </c>
      <c r="H751" t="str" cm="1">
        <f t="array" ref="H751">_xlfn.IFS(A751&lt;=30, "Youth", A751&lt;=50, "Adult", A751&gt;50, "Older")</f>
        <v>Adult</v>
      </c>
      <c r="I751" t="str" cm="1">
        <f t="array" ref="I751">_xlfn.IFS(A751&lt;=25,"18-25",A751&lt;=35,"26-35",A751&lt;=45,"36-45",A751&lt;=60,"46-60",A751&gt;60,"60+")</f>
        <v>36-45</v>
      </c>
      <c r="J751" t="str" cm="1">
        <f t="array" ref="J751">_xlfn.IFS(C751&lt;18.5,"Underweight",C751&lt;25,"Normal",C751&lt;30,"Overweight",C751&gt;=30,"Obese")</f>
        <v>Obese</v>
      </c>
      <c r="K751" t="str" cm="1">
        <f t="array" ref="K751">_xlfn.IFS(G751&lt;10000, "Low", G751&lt;=25000, "Medium", G751&gt;25000, "High")</f>
        <v>Medium</v>
      </c>
    </row>
    <row r="752" spans="1:11" x14ac:dyDescent="0.3">
      <c r="A752">
        <v>42</v>
      </c>
      <c r="B752" s="1" t="s">
        <v>8</v>
      </c>
      <c r="C752">
        <v>31.35</v>
      </c>
      <c r="D752">
        <v>1</v>
      </c>
      <c r="E752" t="s">
        <v>10</v>
      </c>
      <c r="F752" t="s">
        <v>13</v>
      </c>
      <c r="G752" s="2">
        <v>10702.642400000001</v>
      </c>
      <c r="H752" t="str" cm="1">
        <f t="array" ref="H752">_xlfn.IFS(A752&lt;=30, "Youth", A752&lt;=50, "Adult", A752&gt;50, "Older")</f>
        <v>Adult</v>
      </c>
      <c r="I752" t="str" cm="1">
        <f t="array" ref="I752">_xlfn.IFS(A752&lt;=25,"18-25",A752&lt;=35,"26-35",A752&lt;=45,"36-45",A752&lt;=60,"46-60",A752&gt;60,"60+")</f>
        <v>36-45</v>
      </c>
      <c r="J752" t="str" cm="1">
        <f t="array" ref="J752">_xlfn.IFS(C752&lt;18.5,"Underweight",C752&lt;25,"Normal",C752&lt;30,"Overweight",C752&gt;=30,"Obese")</f>
        <v>Obese</v>
      </c>
      <c r="K752" t="str" cm="1">
        <f t="array" ref="K752">_xlfn.IFS(G752&lt;10000, "Low", G752&lt;=25000, "Medium", G752&gt;25000, "High")</f>
        <v>Medium</v>
      </c>
    </row>
    <row r="753" spans="1:11" x14ac:dyDescent="0.3">
      <c r="A753">
        <v>42</v>
      </c>
      <c r="B753" s="1" t="s">
        <v>8</v>
      </c>
      <c r="C753">
        <v>31.35</v>
      </c>
      <c r="D753">
        <v>1</v>
      </c>
      <c r="E753" t="s">
        <v>10</v>
      </c>
      <c r="F753" t="s">
        <v>13</v>
      </c>
      <c r="G753" s="2">
        <v>10704.47</v>
      </c>
      <c r="H753" t="str" cm="1">
        <f t="array" ref="H753">_xlfn.IFS(A753&lt;=30, "Youth", A753&lt;=50, "Adult", A753&gt;50, "Older")</f>
        <v>Adult</v>
      </c>
      <c r="I753" t="str" cm="1">
        <f t="array" ref="I753">_xlfn.IFS(A753&lt;=25,"18-25",A753&lt;=35,"26-35",A753&lt;=45,"36-45",A753&lt;=60,"46-60",A753&gt;60,"60+")</f>
        <v>36-45</v>
      </c>
      <c r="J753" t="str" cm="1">
        <f t="array" ref="J753">_xlfn.IFS(C753&lt;18.5,"Underweight",C753&lt;25,"Normal",C753&lt;30,"Overweight",C753&gt;=30,"Obese")</f>
        <v>Obese</v>
      </c>
      <c r="K753" t="str" cm="1">
        <f t="array" ref="K753">_xlfn.IFS(G753&lt;10000, "Low", G753&lt;=25000, "Medium", G753&gt;25000, "High")</f>
        <v>Medium</v>
      </c>
    </row>
    <row r="754" spans="1:11" x14ac:dyDescent="0.3">
      <c r="A754">
        <v>42</v>
      </c>
      <c r="B754" s="1" t="s">
        <v>7</v>
      </c>
      <c r="C754">
        <v>31.35</v>
      </c>
      <c r="D754">
        <v>1</v>
      </c>
      <c r="E754" t="s">
        <v>10</v>
      </c>
      <c r="F754" t="s">
        <v>12</v>
      </c>
      <c r="G754" s="2">
        <v>10713.644</v>
      </c>
      <c r="H754" t="str" cm="1">
        <f t="array" ref="H754">_xlfn.IFS(A754&lt;=30, "Youth", A754&lt;=50, "Adult", A754&gt;50, "Older")</f>
        <v>Adult</v>
      </c>
      <c r="I754" t="str" cm="1">
        <f t="array" ref="I754">_xlfn.IFS(A754&lt;=25,"18-25",A754&lt;=35,"26-35",A754&lt;=45,"36-45",A754&lt;=60,"46-60",A754&gt;60,"60+")</f>
        <v>36-45</v>
      </c>
      <c r="J754" t="str" cm="1">
        <f t="array" ref="J754">_xlfn.IFS(C754&lt;18.5,"Underweight",C754&lt;25,"Normal",C754&lt;30,"Overweight",C754&gt;=30,"Obese")</f>
        <v>Obese</v>
      </c>
      <c r="K754" t="str" cm="1">
        <f t="array" ref="K754">_xlfn.IFS(G754&lt;10000, "Low", G754&lt;=25000, "Medium", G754&gt;25000, "High")</f>
        <v>Medium</v>
      </c>
    </row>
    <row r="755" spans="1:11" x14ac:dyDescent="0.3">
      <c r="A755">
        <v>42</v>
      </c>
      <c r="B755" s="1" t="s">
        <v>8</v>
      </c>
      <c r="C755">
        <v>31.4</v>
      </c>
      <c r="D755">
        <v>1</v>
      </c>
      <c r="E755" t="s">
        <v>10</v>
      </c>
      <c r="F755" t="s">
        <v>14</v>
      </c>
      <c r="G755" s="2">
        <v>10736.87075</v>
      </c>
      <c r="H755" t="str" cm="1">
        <f t="array" ref="H755">_xlfn.IFS(A755&lt;=30, "Youth", A755&lt;=50, "Adult", A755&gt;50, "Older")</f>
        <v>Adult</v>
      </c>
      <c r="I755" t="str" cm="1">
        <f t="array" ref="I755">_xlfn.IFS(A755&lt;=25,"18-25",A755&lt;=35,"26-35",A755&lt;=45,"36-45",A755&lt;=60,"46-60",A755&gt;60,"60+")</f>
        <v>36-45</v>
      </c>
      <c r="J755" t="str" cm="1">
        <f t="array" ref="J755">_xlfn.IFS(C755&lt;18.5,"Underweight",C755&lt;25,"Normal",C755&lt;30,"Overweight",C755&gt;=30,"Obese")</f>
        <v>Obese</v>
      </c>
      <c r="K755" t="str" cm="1">
        <f t="array" ref="K755">_xlfn.IFS(G755&lt;10000, "Low", G755&lt;=25000, "Medium", G755&gt;25000, "High")</f>
        <v>Medium</v>
      </c>
    </row>
    <row r="756" spans="1:11" x14ac:dyDescent="0.3">
      <c r="A756">
        <v>43</v>
      </c>
      <c r="B756" s="1" t="s">
        <v>8</v>
      </c>
      <c r="C756">
        <v>31.4</v>
      </c>
      <c r="D756">
        <v>1</v>
      </c>
      <c r="E756" t="s">
        <v>10</v>
      </c>
      <c r="F756" t="s">
        <v>14</v>
      </c>
      <c r="G756" s="2">
        <v>10791.96</v>
      </c>
      <c r="H756" t="str" cm="1">
        <f t="array" ref="H756">_xlfn.IFS(A756&lt;=30, "Youth", A756&lt;=50, "Adult", A756&gt;50, "Older")</f>
        <v>Adult</v>
      </c>
      <c r="I756" t="str" cm="1">
        <f t="array" ref="I756">_xlfn.IFS(A756&lt;=25,"18-25",A756&lt;=35,"26-35",A756&lt;=45,"36-45",A756&lt;=60,"46-60",A756&gt;60,"60+")</f>
        <v>36-45</v>
      </c>
      <c r="J756" t="str" cm="1">
        <f t="array" ref="J756">_xlfn.IFS(C756&lt;18.5,"Underweight",C756&lt;25,"Normal",C756&lt;30,"Overweight",C756&gt;=30,"Obese")</f>
        <v>Obese</v>
      </c>
      <c r="K756" t="str" cm="1">
        <f t="array" ref="K756">_xlfn.IFS(G756&lt;10000, "Low", G756&lt;=25000, "Medium", G756&gt;25000, "High")</f>
        <v>Medium</v>
      </c>
    </row>
    <row r="757" spans="1:11" x14ac:dyDescent="0.3">
      <c r="A757">
        <v>43</v>
      </c>
      <c r="B757" s="1" t="s">
        <v>7</v>
      </c>
      <c r="C757">
        <v>31.4</v>
      </c>
      <c r="D757">
        <v>1</v>
      </c>
      <c r="E757" t="s">
        <v>10</v>
      </c>
      <c r="F757" t="s">
        <v>14</v>
      </c>
      <c r="G757" s="2">
        <v>10795.937330000001</v>
      </c>
      <c r="H757" t="str" cm="1">
        <f t="array" ref="H757">_xlfn.IFS(A757&lt;=30, "Youth", A757&lt;=50, "Adult", A757&gt;50, "Older")</f>
        <v>Adult</v>
      </c>
      <c r="I757" t="str" cm="1">
        <f t="array" ref="I757">_xlfn.IFS(A757&lt;=25,"18-25",A757&lt;=35,"26-35",A757&lt;=45,"36-45",A757&lt;=60,"46-60",A757&gt;60,"60+")</f>
        <v>36-45</v>
      </c>
      <c r="J757" t="str" cm="1">
        <f t="array" ref="J757">_xlfn.IFS(C757&lt;18.5,"Underweight",C757&lt;25,"Normal",C757&lt;30,"Overweight",C757&gt;=30,"Obese")</f>
        <v>Obese</v>
      </c>
      <c r="K757" t="str" cm="1">
        <f t="array" ref="K757">_xlfn.IFS(G757&lt;10000, "Low", G757&lt;=25000, "Medium", G757&gt;25000, "High")</f>
        <v>Medium</v>
      </c>
    </row>
    <row r="758" spans="1:11" x14ac:dyDescent="0.3">
      <c r="A758">
        <v>43</v>
      </c>
      <c r="B758" s="1" t="s">
        <v>7</v>
      </c>
      <c r="C758">
        <v>31.445</v>
      </c>
      <c r="D758">
        <v>1</v>
      </c>
      <c r="E758" t="s">
        <v>9</v>
      </c>
      <c r="F758" t="s">
        <v>12</v>
      </c>
      <c r="G758" s="2">
        <v>10796.35025</v>
      </c>
      <c r="H758" t="str" cm="1">
        <f t="array" ref="H758">_xlfn.IFS(A758&lt;=30, "Youth", A758&lt;=50, "Adult", A758&gt;50, "Older")</f>
        <v>Adult</v>
      </c>
      <c r="I758" t="str" cm="1">
        <f t="array" ref="I758">_xlfn.IFS(A758&lt;=25,"18-25",A758&lt;=35,"26-35",A758&lt;=45,"36-45",A758&lt;=60,"46-60",A758&gt;60,"60+")</f>
        <v>36-45</v>
      </c>
      <c r="J758" t="str" cm="1">
        <f t="array" ref="J758">_xlfn.IFS(C758&lt;18.5,"Underweight",C758&lt;25,"Normal",C758&lt;30,"Overweight",C758&gt;=30,"Obese")</f>
        <v>Obese</v>
      </c>
      <c r="K758" t="str" cm="1">
        <f t="array" ref="K758">_xlfn.IFS(G758&lt;10000, "Low", G758&lt;=25000, "Medium", G758&gt;25000, "High")</f>
        <v>Medium</v>
      </c>
    </row>
    <row r="759" spans="1:11" x14ac:dyDescent="0.3">
      <c r="A759">
        <v>43</v>
      </c>
      <c r="B759" s="1" t="s">
        <v>8</v>
      </c>
      <c r="C759">
        <v>31.445</v>
      </c>
      <c r="D759">
        <v>1</v>
      </c>
      <c r="E759" t="s">
        <v>10</v>
      </c>
      <c r="F759" t="s">
        <v>14</v>
      </c>
      <c r="G759" s="2">
        <v>10797.3362</v>
      </c>
      <c r="H759" t="str" cm="1">
        <f t="array" ref="H759">_xlfn.IFS(A759&lt;=30, "Youth", A759&lt;=50, "Adult", A759&gt;50, "Older")</f>
        <v>Adult</v>
      </c>
      <c r="I759" t="str" cm="1">
        <f t="array" ref="I759">_xlfn.IFS(A759&lt;=25,"18-25",A759&lt;=35,"26-35",A759&lt;=45,"36-45",A759&lt;=60,"46-60",A759&gt;60,"60+")</f>
        <v>36-45</v>
      </c>
      <c r="J759" t="str" cm="1">
        <f t="array" ref="J759">_xlfn.IFS(C759&lt;18.5,"Underweight",C759&lt;25,"Normal",C759&lt;30,"Overweight",C759&gt;=30,"Obese")</f>
        <v>Obese</v>
      </c>
      <c r="K759" t="str" cm="1">
        <f t="array" ref="K759">_xlfn.IFS(G759&lt;10000, "Low", G759&lt;=25000, "Medium", G759&gt;25000, "High")</f>
        <v>Medium</v>
      </c>
    </row>
    <row r="760" spans="1:11" x14ac:dyDescent="0.3">
      <c r="A760">
        <v>43</v>
      </c>
      <c r="B760" s="1" t="s">
        <v>8</v>
      </c>
      <c r="C760">
        <v>31.46</v>
      </c>
      <c r="D760">
        <v>1</v>
      </c>
      <c r="E760" t="s">
        <v>9</v>
      </c>
      <c r="F760" t="s">
        <v>12</v>
      </c>
      <c r="G760" s="2">
        <v>10806.839</v>
      </c>
      <c r="H760" t="str" cm="1">
        <f t="array" ref="H760">_xlfn.IFS(A760&lt;=30, "Youth", A760&lt;=50, "Adult", A760&gt;50, "Older")</f>
        <v>Adult</v>
      </c>
      <c r="I760" t="str" cm="1">
        <f t="array" ref="I760">_xlfn.IFS(A760&lt;=25,"18-25",A760&lt;=35,"26-35",A760&lt;=45,"36-45",A760&lt;=60,"46-60",A760&gt;60,"60+")</f>
        <v>36-45</v>
      </c>
      <c r="J760" t="str" cm="1">
        <f t="array" ref="J760">_xlfn.IFS(C760&lt;18.5,"Underweight",C760&lt;25,"Normal",C760&lt;30,"Overweight",C760&gt;=30,"Obese")</f>
        <v>Obese</v>
      </c>
      <c r="K760" t="str" cm="1">
        <f t="array" ref="K760">_xlfn.IFS(G760&lt;10000, "Low", G760&lt;=25000, "Medium", G760&gt;25000, "High")</f>
        <v>Medium</v>
      </c>
    </row>
    <row r="761" spans="1:11" x14ac:dyDescent="0.3">
      <c r="A761">
        <v>43</v>
      </c>
      <c r="B761" s="1" t="s">
        <v>7</v>
      </c>
      <c r="C761">
        <v>31.46</v>
      </c>
      <c r="D761">
        <v>1</v>
      </c>
      <c r="E761" t="s">
        <v>10</v>
      </c>
      <c r="F761" t="s">
        <v>14</v>
      </c>
      <c r="G761" s="2">
        <v>10807.4863</v>
      </c>
      <c r="H761" t="str" cm="1">
        <f t="array" ref="H761">_xlfn.IFS(A761&lt;=30, "Youth", A761&lt;=50, "Adult", A761&gt;50, "Older")</f>
        <v>Adult</v>
      </c>
      <c r="I761" t="str" cm="1">
        <f t="array" ref="I761">_xlfn.IFS(A761&lt;=25,"18-25",A761&lt;=35,"26-35",A761&lt;=45,"36-45",A761&lt;=60,"46-60",A761&gt;60,"60+")</f>
        <v>36-45</v>
      </c>
      <c r="J761" t="str" cm="1">
        <f t="array" ref="J761">_xlfn.IFS(C761&lt;18.5,"Underweight",C761&lt;25,"Normal",C761&lt;30,"Overweight",C761&gt;=30,"Obese")</f>
        <v>Obese</v>
      </c>
      <c r="K761" t="str" cm="1">
        <f t="array" ref="K761">_xlfn.IFS(G761&lt;10000, "Low", G761&lt;=25000, "Medium", G761&gt;25000, "High")</f>
        <v>Medium</v>
      </c>
    </row>
    <row r="762" spans="1:11" x14ac:dyDescent="0.3">
      <c r="A762">
        <v>43</v>
      </c>
      <c r="B762" s="1" t="s">
        <v>8</v>
      </c>
      <c r="C762">
        <v>31.5</v>
      </c>
      <c r="D762">
        <v>1</v>
      </c>
      <c r="E762" t="s">
        <v>10</v>
      </c>
      <c r="F762" t="s">
        <v>11</v>
      </c>
      <c r="G762" s="2">
        <v>10825.253699999999</v>
      </c>
      <c r="H762" t="str" cm="1">
        <f t="array" ref="H762">_xlfn.IFS(A762&lt;=30, "Youth", A762&lt;=50, "Adult", A762&gt;50, "Older")</f>
        <v>Adult</v>
      </c>
      <c r="I762" t="str" cm="1">
        <f t="array" ref="I762">_xlfn.IFS(A762&lt;=25,"18-25",A762&lt;=35,"26-35",A762&lt;=45,"36-45",A762&lt;=60,"46-60",A762&gt;60,"60+")</f>
        <v>36-45</v>
      </c>
      <c r="J762" t="str" cm="1">
        <f t="array" ref="J762">_xlfn.IFS(C762&lt;18.5,"Underweight",C762&lt;25,"Normal",C762&lt;30,"Overweight",C762&gt;=30,"Obese")</f>
        <v>Obese</v>
      </c>
      <c r="K762" t="str" cm="1">
        <f t="array" ref="K762">_xlfn.IFS(G762&lt;10000, "Low", G762&lt;=25000, "Medium", G762&gt;25000, "High")</f>
        <v>Medium</v>
      </c>
    </row>
    <row r="763" spans="1:11" x14ac:dyDescent="0.3">
      <c r="A763">
        <v>43</v>
      </c>
      <c r="B763" s="1" t="s">
        <v>8</v>
      </c>
      <c r="C763">
        <v>31.5</v>
      </c>
      <c r="D763">
        <v>1</v>
      </c>
      <c r="E763" t="s">
        <v>9</v>
      </c>
      <c r="F763" t="s">
        <v>11</v>
      </c>
      <c r="G763" s="2">
        <v>10848.1343</v>
      </c>
      <c r="H763" t="str" cm="1">
        <f t="array" ref="H763">_xlfn.IFS(A763&lt;=30, "Youth", A763&lt;=50, "Adult", A763&gt;50, "Older")</f>
        <v>Adult</v>
      </c>
      <c r="I763" t="str" cm="1">
        <f t="array" ref="I763">_xlfn.IFS(A763&lt;=25,"18-25",A763&lt;=35,"26-35",A763&lt;=45,"36-45",A763&lt;=60,"46-60",A763&gt;60,"60+")</f>
        <v>36-45</v>
      </c>
      <c r="J763" t="str" cm="1">
        <f t="array" ref="J763">_xlfn.IFS(C763&lt;18.5,"Underweight",C763&lt;25,"Normal",C763&lt;30,"Overweight",C763&gt;=30,"Obese")</f>
        <v>Obese</v>
      </c>
      <c r="K763" t="str" cm="1">
        <f t="array" ref="K763">_xlfn.IFS(G763&lt;10000, "Low", G763&lt;=25000, "Medium", G763&gt;25000, "High")</f>
        <v>Medium</v>
      </c>
    </row>
    <row r="764" spans="1:11" x14ac:dyDescent="0.3">
      <c r="A764">
        <v>43</v>
      </c>
      <c r="B764" s="1" t="s">
        <v>8</v>
      </c>
      <c r="C764">
        <v>31.54</v>
      </c>
      <c r="D764">
        <v>1</v>
      </c>
      <c r="E764" t="s">
        <v>10</v>
      </c>
      <c r="F764" t="s">
        <v>14</v>
      </c>
      <c r="G764" s="2">
        <v>10923.933199999999</v>
      </c>
      <c r="H764" t="str" cm="1">
        <f t="array" ref="H764">_xlfn.IFS(A764&lt;=30, "Youth", A764&lt;=50, "Adult", A764&gt;50, "Older")</f>
        <v>Adult</v>
      </c>
      <c r="I764" t="str" cm="1">
        <f t="array" ref="I764">_xlfn.IFS(A764&lt;=25,"18-25",A764&lt;=35,"26-35",A764&lt;=45,"36-45",A764&lt;=60,"46-60",A764&gt;60,"60+")</f>
        <v>36-45</v>
      </c>
      <c r="J764" t="str" cm="1">
        <f t="array" ref="J764">_xlfn.IFS(C764&lt;18.5,"Underweight",C764&lt;25,"Normal",C764&lt;30,"Overweight",C764&gt;=30,"Obese")</f>
        <v>Obese</v>
      </c>
      <c r="K764" t="str" cm="1">
        <f t="array" ref="K764">_xlfn.IFS(G764&lt;10000, "Low", G764&lt;=25000, "Medium", G764&gt;25000, "High")</f>
        <v>Medium</v>
      </c>
    </row>
    <row r="765" spans="1:11" x14ac:dyDescent="0.3">
      <c r="A765">
        <v>43</v>
      </c>
      <c r="B765" s="1" t="s">
        <v>7</v>
      </c>
      <c r="C765">
        <v>31.54</v>
      </c>
      <c r="D765">
        <v>1</v>
      </c>
      <c r="E765" t="s">
        <v>10</v>
      </c>
      <c r="F765" t="s">
        <v>14</v>
      </c>
      <c r="G765" s="2">
        <v>10928.849</v>
      </c>
      <c r="H765" t="str" cm="1">
        <f t="array" ref="H765">_xlfn.IFS(A765&lt;=30, "Youth", A765&lt;=50, "Adult", A765&gt;50, "Older")</f>
        <v>Adult</v>
      </c>
      <c r="I765" t="str" cm="1">
        <f t="array" ref="I765">_xlfn.IFS(A765&lt;=25,"18-25",A765&lt;=35,"26-35",A765&lt;=45,"36-45",A765&lt;=60,"46-60",A765&gt;60,"60+")</f>
        <v>36-45</v>
      </c>
      <c r="J765" t="str" cm="1">
        <f t="array" ref="J765">_xlfn.IFS(C765&lt;18.5,"Underweight",C765&lt;25,"Normal",C765&lt;30,"Overweight",C765&gt;=30,"Obese")</f>
        <v>Obese</v>
      </c>
      <c r="K765" t="str" cm="1">
        <f t="array" ref="K765">_xlfn.IFS(G765&lt;10000, "Low", G765&lt;=25000, "Medium", G765&gt;25000, "High")</f>
        <v>Medium</v>
      </c>
    </row>
    <row r="766" spans="1:11" x14ac:dyDescent="0.3">
      <c r="A766">
        <v>43</v>
      </c>
      <c r="B766" s="1" t="s">
        <v>7</v>
      </c>
      <c r="C766">
        <v>31.57</v>
      </c>
      <c r="D766">
        <v>1</v>
      </c>
      <c r="E766" t="s">
        <v>10</v>
      </c>
      <c r="F766" t="s">
        <v>13</v>
      </c>
      <c r="G766" s="2">
        <v>10942.13205</v>
      </c>
      <c r="H766" t="str" cm="1">
        <f t="array" ref="H766">_xlfn.IFS(A766&lt;=30, "Youth", A766&lt;=50, "Adult", A766&gt;50, "Older")</f>
        <v>Adult</v>
      </c>
      <c r="I766" t="str" cm="1">
        <f t="array" ref="I766">_xlfn.IFS(A766&lt;=25,"18-25",A766&lt;=35,"26-35",A766&lt;=45,"36-45",A766&lt;=60,"46-60",A766&gt;60,"60+")</f>
        <v>36-45</v>
      </c>
      <c r="J766" t="str" cm="1">
        <f t="array" ref="J766">_xlfn.IFS(C766&lt;18.5,"Underweight",C766&lt;25,"Normal",C766&lt;30,"Overweight",C766&gt;=30,"Obese")</f>
        <v>Obese</v>
      </c>
      <c r="K766" t="str" cm="1">
        <f t="array" ref="K766">_xlfn.IFS(G766&lt;10000, "Low", G766&lt;=25000, "Medium", G766&gt;25000, "High")</f>
        <v>Medium</v>
      </c>
    </row>
    <row r="767" spans="1:11" x14ac:dyDescent="0.3">
      <c r="A767">
        <v>43</v>
      </c>
      <c r="B767" s="1" t="s">
        <v>8</v>
      </c>
      <c r="C767">
        <v>31.57</v>
      </c>
      <c r="D767">
        <v>1</v>
      </c>
      <c r="E767" t="s">
        <v>10</v>
      </c>
      <c r="F767" t="s">
        <v>11</v>
      </c>
      <c r="G767" s="2">
        <v>10959.33</v>
      </c>
      <c r="H767" t="str" cm="1">
        <f t="array" ref="H767">_xlfn.IFS(A767&lt;=30, "Youth", A767&lt;=50, "Adult", A767&gt;50, "Older")</f>
        <v>Adult</v>
      </c>
      <c r="I767" t="str" cm="1">
        <f t="array" ref="I767">_xlfn.IFS(A767&lt;=25,"18-25",A767&lt;=35,"26-35",A767&lt;=45,"36-45",A767&lt;=60,"46-60",A767&gt;60,"60+")</f>
        <v>36-45</v>
      </c>
      <c r="J767" t="str" cm="1">
        <f t="array" ref="J767">_xlfn.IFS(C767&lt;18.5,"Underweight",C767&lt;25,"Normal",C767&lt;30,"Overweight",C767&gt;=30,"Obese")</f>
        <v>Obese</v>
      </c>
      <c r="K767" t="str" cm="1">
        <f t="array" ref="K767">_xlfn.IFS(G767&lt;10000, "Low", G767&lt;=25000, "Medium", G767&gt;25000, "High")</f>
        <v>Medium</v>
      </c>
    </row>
    <row r="768" spans="1:11" x14ac:dyDescent="0.3">
      <c r="A768">
        <v>43</v>
      </c>
      <c r="B768" s="1" t="s">
        <v>7</v>
      </c>
      <c r="C768">
        <v>31.6</v>
      </c>
      <c r="D768">
        <v>1</v>
      </c>
      <c r="E768" t="s">
        <v>10</v>
      </c>
      <c r="F768" t="s">
        <v>11</v>
      </c>
      <c r="G768" s="2">
        <v>10959.6947</v>
      </c>
      <c r="H768" t="str" cm="1">
        <f t="array" ref="H768">_xlfn.IFS(A768&lt;=30, "Youth", A768&lt;=50, "Adult", A768&gt;50, "Older")</f>
        <v>Adult</v>
      </c>
      <c r="I768" t="str" cm="1">
        <f t="array" ref="I768">_xlfn.IFS(A768&lt;=25,"18-25",A768&lt;=35,"26-35",A768&lt;=45,"36-45",A768&lt;=60,"46-60",A768&gt;60,"60+")</f>
        <v>36-45</v>
      </c>
      <c r="J768" t="str" cm="1">
        <f t="array" ref="J768">_xlfn.IFS(C768&lt;18.5,"Underweight",C768&lt;25,"Normal",C768&lt;30,"Overweight",C768&gt;=30,"Obese")</f>
        <v>Obese</v>
      </c>
      <c r="K768" t="str" cm="1">
        <f t="array" ref="K768">_xlfn.IFS(G768&lt;10000, "Low", G768&lt;=25000, "Medium", G768&gt;25000, "High")</f>
        <v>Medium</v>
      </c>
    </row>
    <row r="769" spans="1:11" x14ac:dyDescent="0.3">
      <c r="A769">
        <v>43</v>
      </c>
      <c r="B769" s="1" t="s">
        <v>7</v>
      </c>
      <c r="C769">
        <v>31.6</v>
      </c>
      <c r="D769">
        <v>1</v>
      </c>
      <c r="E769" t="s">
        <v>10</v>
      </c>
      <c r="F769" t="s">
        <v>11</v>
      </c>
      <c r="G769" s="2">
        <v>10965.446</v>
      </c>
      <c r="H769" t="str" cm="1">
        <f t="array" ref="H769">_xlfn.IFS(A769&lt;=30, "Youth", A769&lt;=50, "Adult", A769&gt;50, "Older")</f>
        <v>Adult</v>
      </c>
      <c r="I769" t="str" cm="1">
        <f t="array" ref="I769">_xlfn.IFS(A769&lt;=25,"18-25",A769&lt;=35,"26-35",A769&lt;=45,"36-45",A769&lt;=60,"46-60",A769&gt;60,"60+")</f>
        <v>36-45</v>
      </c>
      <c r="J769" t="str" cm="1">
        <f t="array" ref="J769">_xlfn.IFS(C769&lt;18.5,"Underweight",C769&lt;25,"Normal",C769&lt;30,"Overweight",C769&gt;=30,"Obese")</f>
        <v>Obese</v>
      </c>
      <c r="K769" t="str" cm="1">
        <f t="array" ref="K769">_xlfn.IFS(G769&lt;10000, "Low", G769&lt;=25000, "Medium", G769&gt;25000, "High")</f>
        <v>Medium</v>
      </c>
    </row>
    <row r="770" spans="1:11" x14ac:dyDescent="0.3">
      <c r="A770">
        <v>43</v>
      </c>
      <c r="B770" s="1" t="s">
        <v>7</v>
      </c>
      <c r="C770">
        <v>31.6</v>
      </c>
      <c r="D770">
        <v>1</v>
      </c>
      <c r="E770" t="s">
        <v>10</v>
      </c>
      <c r="F770" t="s">
        <v>13</v>
      </c>
      <c r="G770" s="2">
        <v>10976.24575</v>
      </c>
      <c r="H770" t="str" cm="1">
        <f t="array" ref="H770">_xlfn.IFS(A770&lt;=30, "Youth", A770&lt;=50, "Adult", A770&gt;50, "Older")</f>
        <v>Adult</v>
      </c>
      <c r="I770" t="str" cm="1">
        <f t="array" ref="I770">_xlfn.IFS(A770&lt;=25,"18-25",A770&lt;=35,"26-35",A770&lt;=45,"36-45",A770&lt;=60,"46-60",A770&gt;60,"60+")</f>
        <v>36-45</v>
      </c>
      <c r="J770" t="str" cm="1">
        <f t="array" ref="J770">_xlfn.IFS(C770&lt;18.5,"Underweight",C770&lt;25,"Normal",C770&lt;30,"Overweight",C770&gt;=30,"Obese")</f>
        <v>Obese</v>
      </c>
      <c r="K770" t="str" cm="1">
        <f t="array" ref="K770">_xlfn.IFS(G770&lt;10000, "Low", G770&lt;=25000, "Medium", G770&gt;25000, "High")</f>
        <v>Medium</v>
      </c>
    </row>
    <row r="771" spans="1:11" x14ac:dyDescent="0.3">
      <c r="A771">
        <v>43</v>
      </c>
      <c r="B771" s="1" t="s">
        <v>8</v>
      </c>
      <c r="C771">
        <v>31.635000000000002</v>
      </c>
      <c r="D771">
        <v>1</v>
      </c>
      <c r="E771" t="s">
        <v>10</v>
      </c>
      <c r="F771" t="s">
        <v>11</v>
      </c>
      <c r="G771" s="2">
        <v>10977.2063</v>
      </c>
      <c r="H771" t="str" cm="1">
        <f t="array" ref="H771">_xlfn.IFS(A771&lt;=30, "Youth", A771&lt;=50, "Adult", A771&gt;50, "Older")</f>
        <v>Adult</v>
      </c>
      <c r="I771" t="str" cm="1">
        <f t="array" ref="I771">_xlfn.IFS(A771&lt;=25,"18-25",A771&lt;=35,"26-35",A771&lt;=45,"36-45",A771&lt;=60,"46-60",A771&gt;60,"60+")</f>
        <v>36-45</v>
      </c>
      <c r="J771" t="str" cm="1">
        <f t="array" ref="J771">_xlfn.IFS(C771&lt;18.5,"Underweight",C771&lt;25,"Normal",C771&lt;30,"Overweight",C771&gt;=30,"Obese")</f>
        <v>Obese</v>
      </c>
      <c r="K771" t="str" cm="1">
        <f t="array" ref="K771">_xlfn.IFS(G771&lt;10000, "Low", G771&lt;=25000, "Medium", G771&gt;25000, "High")</f>
        <v>Medium</v>
      </c>
    </row>
    <row r="772" spans="1:11" x14ac:dyDescent="0.3">
      <c r="A772">
        <v>43</v>
      </c>
      <c r="B772" s="1" t="s">
        <v>7</v>
      </c>
      <c r="C772">
        <v>31.635000000000002</v>
      </c>
      <c r="D772">
        <v>1</v>
      </c>
      <c r="E772" t="s">
        <v>10</v>
      </c>
      <c r="F772" t="s">
        <v>11</v>
      </c>
      <c r="G772" s="2">
        <v>10982.5013</v>
      </c>
      <c r="H772" t="str" cm="1">
        <f t="array" ref="H772">_xlfn.IFS(A772&lt;=30, "Youth", A772&lt;=50, "Adult", A772&gt;50, "Older")</f>
        <v>Adult</v>
      </c>
      <c r="I772" t="str" cm="1">
        <f t="array" ref="I772">_xlfn.IFS(A772&lt;=25,"18-25",A772&lt;=35,"26-35",A772&lt;=45,"36-45",A772&lt;=60,"46-60",A772&gt;60,"60+")</f>
        <v>36-45</v>
      </c>
      <c r="J772" t="str" cm="1">
        <f t="array" ref="J772">_xlfn.IFS(C772&lt;18.5,"Underweight",C772&lt;25,"Normal",C772&lt;30,"Overweight",C772&gt;=30,"Obese")</f>
        <v>Obese</v>
      </c>
      <c r="K772" t="str" cm="1">
        <f t="array" ref="K772">_xlfn.IFS(G772&lt;10000, "Low", G772&lt;=25000, "Medium", G772&gt;25000, "High")</f>
        <v>Medium</v>
      </c>
    </row>
    <row r="773" spans="1:11" x14ac:dyDescent="0.3">
      <c r="A773">
        <v>43</v>
      </c>
      <c r="B773" s="1" t="s">
        <v>7</v>
      </c>
      <c r="C773">
        <v>31.68</v>
      </c>
      <c r="D773">
        <v>1</v>
      </c>
      <c r="E773" t="s">
        <v>10</v>
      </c>
      <c r="F773" t="s">
        <v>14</v>
      </c>
      <c r="G773" s="2">
        <v>11013.7119</v>
      </c>
      <c r="H773" t="str" cm="1">
        <f t="array" ref="H773">_xlfn.IFS(A773&lt;=30, "Youth", A773&lt;=50, "Adult", A773&gt;50, "Older")</f>
        <v>Adult</v>
      </c>
      <c r="I773" t="str" cm="1">
        <f t="array" ref="I773">_xlfn.IFS(A773&lt;=25,"18-25",A773&lt;=35,"26-35",A773&lt;=45,"36-45",A773&lt;=60,"46-60",A773&gt;60,"60+")</f>
        <v>36-45</v>
      </c>
      <c r="J773" t="str" cm="1">
        <f t="array" ref="J773">_xlfn.IFS(C773&lt;18.5,"Underweight",C773&lt;25,"Normal",C773&lt;30,"Overweight",C773&gt;=30,"Obese")</f>
        <v>Obese</v>
      </c>
      <c r="K773" t="str" cm="1">
        <f t="array" ref="K773">_xlfn.IFS(G773&lt;10000, "Low", G773&lt;=25000, "Medium", G773&gt;25000, "High")</f>
        <v>Medium</v>
      </c>
    </row>
    <row r="774" spans="1:11" x14ac:dyDescent="0.3">
      <c r="A774">
        <v>43</v>
      </c>
      <c r="B774" s="1" t="s">
        <v>7</v>
      </c>
      <c r="C774">
        <v>31.68</v>
      </c>
      <c r="D774">
        <v>1</v>
      </c>
      <c r="E774" t="s">
        <v>9</v>
      </c>
      <c r="F774" t="s">
        <v>13</v>
      </c>
      <c r="G774" s="2">
        <v>11015.1747</v>
      </c>
      <c r="H774" t="str" cm="1">
        <f t="array" ref="H774">_xlfn.IFS(A774&lt;=30, "Youth", A774&lt;=50, "Adult", A774&gt;50, "Older")</f>
        <v>Adult</v>
      </c>
      <c r="I774" t="str" cm="1">
        <f t="array" ref="I774">_xlfn.IFS(A774&lt;=25,"18-25",A774&lt;=35,"26-35",A774&lt;=45,"36-45",A774&lt;=60,"46-60",A774&gt;60,"60+")</f>
        <v>36-45</v>
      </c>
      <c r="J774" t="str" cm="1">
        <f t="array" ref="J774">_xlfn.IFS(C774&lt;18.5,"Underweight",C774&lt;25,"Normal",C774&lt;30,"Overweight",C774&gt;=30,"Obese")</f>
        <v>Obese</v>
      </c>
      <c r="K774" t="str" cm="1">
        <f t="array" ref="K774">_xlfn.IFS(G774&lt;10000, "Low", G774&lt;=25000, "Medium", G774&gt;25000, "High")</f>
        <v>Medium</v>
      </c>
    </row>
    <row r="775" spans="1:11" x14ac:dyDescent="0.3">
      <c r="A775">
        <v>43</v>
      </c>
      <c r="B775" s="1" t="s">
        <v>8</v>
      </c>
      <c r="C775">
        <v>31.73</v>
      </c>
      <c r="D775">
        <v>1</v>
      </c>
      <c r="E775" t="s">
        <v>10</v>
      </c>
      <c r="F775" t="s">
        <v>13</v>
      </c>
      <c r="G775" s="2">
        <v>11033.661700000001</v>
      </c>
      <c r="H775" t="str" cm="1">
        <f t="array" ref="H775">_xlfn.IFS(A775&lt;=30, "Youth", A775&lt;=50, "Adult", A775&gt;50, "Older")</f>
        <v>Adult</v>
      </c>
      <c r="I775" t="str" cm="1">
        <f t="array" ref="I775">_xlfn.IFS(A775&lt;=25,"18-25",A775&lt;=35,"26-35",A775&lt;=45,"36-45",A775&lt;=60,"46-60",A775&gt;60,"60+")</f>
        <v>36-45</v>
      </c>
      <c r="J775" t="str" cm="1">
        <f t="array" ref="J775">_xlfn.IFS(C775&lt;18.5,"Underweight",C775&lt;25,"Normal",C775&lt;30,"Overweight",C775&gt;=30,"Obese")</f>
        <v>Obese</v>
      </c>
      <c r="K775" t="str" cm="1">
        <f t="array" ref="K775">_xlfn.IFS(G775&lt;10000, "Low", G775&lt;=25000, "Medium", G775&gt;25000, "High")</f>
        <v>Medium</v>
      </c>
    </row>
    <row r="776" spans="1:11" x14ac:dyDescent="0.3">
      <c r="A776">
        <v>43</v>
      </c>
      <c r="B776" s="1" t="s">
        <v>8</v>
      </c>
      <c r="C776">
        <v>31.73</v>
      </c>
      <c r="D776">
        <v>1</v>
      </c>
      <c r="E776" t="s">
        <v>10</v>
      </c>
      <c r="F776" t="s">
        <v>12</v>
      </c>
      <c r="G776" s="2">
        <v>11070.535</v>
      </c>
      <c r="H776" t="str" cm="1">
        <f t="array" ref="H776">_xlfn.IFS(A776&lt;=30, "Youth", A776&lt;=50, "Adult", A776&gt;50, "Older")</f>
        <v>Adult</v>
      </c>
      <c r="I776" t="str" cm="1">
        <f t="array" ref="I776">_xlfn.IFS(A776&lt;=25,"18-25",A776&lt;=35,"26-35",A776&lt;=45,"36-45",A776&lt;=60,"46-60",A776&gt;60,"60+")</f>
        <v>36-45</v>
      </c>
      <c r="J776" t="str" cm="1">
        <f t="array" ref="J776">_xlfn.IFS(C776&lt;18.5,"Underweight",C776&lt;25,"Normal",C776&lt;30,"Overweight",C776&gt;=30,"Obese")</f>
        <v>Obese</v>
      </c>
      <c r="K776" t="str" cm="1">
        <f t="array" ref="K776">_xlfn.IFS(G776&lt;10000, "Low", G776&lt;=25000, "Medium", G776&gt;25000, "High")</f>
        <v>Medium</v>
      </c>
    </row>
    <row r="777" spans="1:11" x14ac:dyDescent="0.3">
      <c r="A777">
        <v>43</v>
      </c>
      <c r="B777" s="1" t="s">
        <v>8</v>
      </c>
      <c r="C777">
        <v>31.73</v>
      </c>
      <c r="D777">
        <v>1</v>
      </c>
      <c r="E777" t="s">
        <v>10</v>
      </c>
      <c r="F777" t="s">
        <v>13</v>
      </c>
      <c r="G777" s="2">
        <v>11073.175999999999</v>
      </c>
      <c r="H777" t="str" cm="1">
        <f t="array" ref="H777">_xlfn.IFS(A777&lt;=30, "Youth", A777&lt;=50, "Adult", A777&gt;50, "Older")</f>
        <v>Adult</v>
      </c>
      <c r="I777" t="str" cm="1">
        <f t="array" ref="I777">_xlfn.IFS(A777&lt;=25,"18-25",A777&lt;=35,"26-35",A777&lt;=45,"36-45",A777&lt;=60,"46-60",A777&gt;60,"60+")</f>
        <v>36-45</v>
      </c>
      <c r="J777" t="str" cm="1">
        <f t="array" ref="J777">_xlfn.IFS(C777&lt;18.5,"Underweight",C777&lt;25,"Normal",C777&lt;30,"Overweight",C777&gt;=30,"Obese")</f>
        <v>Obese</v>
      </c>
      <c r="K777" t="str" cm="1">
        <f t="array" ref="K777">_xlfn.IFS(G777&lt;10000, "Low", G777&lt;=25000, "Medium", G777&gt;25000, "High")</f>
        <v>Medium</v>
      </c>
    </row>
    <row r="778" spans="1:11" x14ac:dyDescent="0.3">
      <c r="A778">
        <v>43</v>
      </c>
      <c r="B778" s="1" t="s">
        <v>8</v>
      </c>
      <c r="C778">
        <v>31.73</v>
      </c>
      <c r="D778">
        <v>1</v>
      </c>
      <c r="E778" t="s">
        <v>10</v>
      </c>
      <c r="F778" t="s">
        <v>14</v>
      </c>
      <c r="G778" s="2">
        <v>11082.5772</v>
      </c>
      <c r="H778" t="str" cm="1">
        <f t="array" ref="H778">_xlfn.IFS(A778&lt;=30, "Youth", A778&lt;=50, "Adult", A778&gt;50, "Older")</f>
        <v>Adult</v>
      </c>
      <c r="I778" t="str" cm="1">
        <f t="array" ref="I778">_xlfn.IFS(A778&lt;=25,"18-25",A778&lt;=35,"26-35",A778&lt;=45,"36-45",A778&lt;=60,"46-60",A778&gt;60,"60+")</f>
        <v>36-45</v>
      </c>
      <c r="J778" t="str" cm="1">
        <f t="array" ref="J778">_xlfn.IFS(C778&lt;18.5,"Underweight",C778&lt;25,"Normal",C778&lt;30,"Overweight",C778&gt;=30,"Obese")</f>
        <v>Obese</v>
      </c>
      <c r="K778" t="str" cm="1">
        <f t="array" ref="K778">_xlfn.IFS(G778&lt;10000, "Low", G778&lt;=25000, "Medium", G778&gt;25000, "High")</f>
        <v>Medium</v>
      </c>
    </row>
    <row r="779" spans="1:11" x14ac:dyDescent="0.3">
      <c r="A779">
        <v>43</v>
      </c>
      <c r="B779" s="1" t="s">
        <v>8</v>
      </c>
      <c r="C779">
        <v>31.73</v>
      </c>
      <c r="D779">
        <v>1</v>
      </c>
      <c r="E779" t="s">
        <v>10</v>
      </c>
      <c r="F779" t="s">
        <v>12</v>
      </c>
      <c r="G779" s="2">
        <v>11085.586799999999</v>
      </c>
      <c r="H779" t="str" cm="1">
        <f t="array" ref="H779">_xlfn.IFS(A779&lt;=30, "Youth", A779&lt;=50, "Adult", A779&gt;50, "Older")</f>
        <v>Adult</v>
      </c>
      <c r="I779" t="str" cm="1">
        <f t="array" ref="I779">_xlfn.IFS(A779&lt;=25,"18-25",A779&lt;=35,"26-35",A779&lt;=45,"36-45",A779&lt;=60,"46-60",A779&gt;60,"60+")</f>
        <v>36-45</v>
      </c>
      <c r="J779" t="str" cm="1">
        <f t="array" ref="J779">_xlfn.IFS(C779&lt;18.5,"Underweight",C779&lt;25,"Normal",C779&lt;30,"Overweight",C779&gt;=30,"Obese")</f>
        <v>Obese</v>
      </c>
      <c r="K779" t="str" cm="1">
        <f t="array" ref="K779">_xlfn.IFS(G779&lt;10000, "Low", G779&lt;=25000, "Medium", G779&gt;25000, "High")</f>
        <v>Medium</v>
      </c>
    </row>
    <row r="780" spans="1:11" x14ac:dyDescent="0.3">
      <c r="A780">
        <v>43</v>
      </c>
      <c r="B780" s="1" t="s">
        <v>8</v>
      </c>
      <c r="C780">
        <v>31.73</v>
      </c>
      <c r="D780">
        <v>1</v>
      </c>
      <c r="E780" t="s">
        <v>10</v>
      </c>
      <c r="F780" t="s">
        <v>13</v>
      </c>
      <c r="G780" s="2">
        <v>11090.7178</v>
      </c>
      <c r="H780" t="str" cm="1">
        <f t="array" ref="H780">_xlfn.IFS(A780&lt;=30, "Youth", A780&lt;=50, "Adult", A780&gt;50, "Older")</f>
        <v>Adult</v>
      </c>
      <c r="I780" t="str" cm="1">
        <f t="array" ref="I780">_xlfn.IFS(A780&lt;=25,"18-25",A780&lt;=35,"26-35",A780&lt;=45,"36-45",A780&lt;=60,"46-60",A780&gt;60,"60+")</f>
        <v>36-45</v>
      </c>
      <c r="J780" t="str" cm="1">
        <f t="array" ref="J780">_xlfn.IFS(C780&lt;18.5,"Underweight",C780&lt;25,"Normal",C780&lt;30,"Overweight",C780&gt;=30,"Obese")</f>
        <v>Obese</v>
      </c>
      <c r="K780" t="str" cm="1">
        <f t="array" ref="K780">_xlfn.IFS(G780&lt;10000, "Low", G780&lt;=25000, "Medium", G780&gt;25000, "High")</f>
        <v>Medium</v>
      </c>
    </row>
    <row r="781" spans="1:11" x14ac:dyDescent="0.3">
      <c r="A781">
        <v>43</v>
      </c>
      <c r="B781" s="1" t="s">
        <v>8</v>
      </c>
      <c r="C781">
        <v>31.79</v>
      </c>
      <c r="D781">
        <v>1</v>
      </c>
      <c r="E781" t="s">
        <v>9</v>
      </c>
      <c r="F781" t="s">
        <v>11</v>
      </c>
      <c r="G781" s="2">
        <v>11093.6229</v>
      </c>
      <c r="H781" t="str" cm="1">
        <f t="array" ref="H781">_xlfn.IFS(A781&lt;=30, "Youth", A781&lt;=50, "Adult", A781&gt;50, "Older")</f>
        <v>Adult</v>
      </c>
      <c r="I781" t="str" cm="1">
        <f t="array" ref="I781">_xlfn.IFS(A781&lt;=25,"18-25",A781&lt;=35,"26-35",A781&lt;=45,"36-45",A781&lt;=60,"46-60",A781&gt;60,"60+")</f>
        <v>36-45</v>
      </c>
      <c r="J781" t="str" cm="1">
        <f t="array" ref="J781">_xlfn.IFS(C781&lt;18.5,"Underweight",C781&lt;25,"Normal",C781&lt;30,"Overweight",C781&gt;=30,"Obese")</f>
        <v>Obese</v>
      </c>
      <c r="K781" t="str" cm="1">
        <f t="array" ref="K781">_xlfn.IFS(G781&lt;10000, "Low", G781&lt;=25000, "Medium", G781&gt;25000, "High")</f>
        <v>Medium</v>
      </c>
    </row>
    <row r="782" spans="1:11" x14ac:dyDescent="0.3">
      <c r="A782">
        <v>43</v>
      </c>
      <c r="B782" s="1" t="s">
        <v>8</v>
      </c>
      <c r="C782">
        <v>31.79</v>
      </c>
      <c r="D782">
        <v>1</v>
      </c>
      <c r="E782" t="s">
        <v>10</v>
      </c>
      <c r="F782" t="s">
        <v>12</v>
      </c>
      <c r="G782" s="2">
        <v>11150.78</v>
      </c>
      <c r="H782" t="str" cm="1">
        <f t="array" ref="H782">_xlfn.IFS(A782&lt;=30, "Youth", A782&lt;=50, "Adult", A782&gt;50, "Older")</f>
        <v>Adult</v>
      </c>
      <c r="I782" t="str" cm="1">
        <f t="array" ref="I782">_xlfn.IFS(A782&lt;=25,"18-25",A782&lt;=35,"26-35",A782&lt;=45,"36-45",A782&lt;=60,"46-60",A782&gt;60,"60+")</f>
        <v>36-45</v>
      </c>
      <c r="J782" t="str" cm="1">
        <f t="array" ref="J782">_xlfn.IFS(C782&lt;18.5,"Underweight",C782&lt;25,"Normal",C782&lt;30,"Overweight",C782&gt;=30,"Obese")</f>
        <v>Obese</v>
      </c>
      <c r="K782" t="str" cm="1">
        <f t="array" ref="K782">_xlfn.IFS(G782&lt;10000, "Low", G782&lt;=25000, "Medium", G782&gt;25000, "High")</f>
        <v>Medium</v>
      </c>
    </row>
    <row r="783" spans="1:11" x14ac:dyDescent="0.3">
      <c r="A783">
        <v>44</v>
      </c>
      <c r="B783" s="1" t="s">
        <v>8</v>
      </c>
      <c r="C783">
        <v>31.79</v>
      </c>
      <c r="D783">
        <v>1</v>
      </c>
      <c r="E783" t="s">
        <v>10</v>
      </c>
      <c r="F783" t="s">
        <v>12</v>
      </c>
      <c r="G783" s="2">
        <v>11163.567999999999</v>
      </c>
      <c r="H783" t="str" cm="1">
        <f t="array" ref="H783">_xlfn.IFS(A783&lt;=30, "Youth", A783&lt;=50, "Adult", A783&gt;50, "Older")</f>
        <v>Adult</v>
      </c>
      <c r="I783" t="str" cm="1">
        <f t="array" ref="I783">_xlfn.IFS(A783&lt;=25,"18-25",A783&lt;=35,"26-35",A783&lt;=45,"36-45",A783&lt;=60,"46-60",A783&gt;60,"60+")</f>
        <v>36-45</v>
      </c>
      <c r="J783" t="str" cm="1">
        <f t="array" ref="J783">_xlfn.IFS(C783&lt;18.5,"Underweight",C783&lt;25,"Normal",C783&lt;30,"Overweight",C783&gt;=30,"Obese")</f>
        <v>Obese</v>
      </c>
      <c r="K783" t="str" cm="1">
        <f t="array" ref="K783">_xlfn.IFS(G783&lt;10000, "Low", G783&lt;=25000, "Medium", G783&gt;25000, "High")</f>
        <v>Medium</v>
      </c>
    </row>
    <row r="784" spans="1:11" x14ac:dyDescent="0.3">
      <c r="A784">
        <v>44</v>
      </c>
      <c r="B784" s="1" t="s">
        <v>7</v>
      </c>
      <c r="C784">
        <v>31.79</v>
      </c>
      <c r="D784">
        <v>1</v>
      </c>
      <c r="E784" t="s">
        <v>9</v>
      </c>
      <c r="F784" t="s">
        <v>11</v>
      </c>
      <c r="G784" s="2">
        <v>11165.417649999999</v>
      </c>
      <c r="H784" t="str" cm="1">
        <f t="array" ref="H784">_xlfn.IFS(A784&lt;=30, "Youth", A784&lt;=50, "Adult", A784&gt;50, "Older")</f>
        <v>Adult</v>
      </c>
      <c r="I784" t="str" cm="1">
        <f t="array" ref="I784">_xlfn.IFS(A784&lt;=25,"18-25",A784&lt;=35,"26-35",A784&lt;=45,"36-45",A784&lt;=60,"46-60",A784&gt;60,"60+")</f>
        <v>36-45</v>
      </c>
      <c r="J784" t="str" cm="1">
        <f t="array" ref="J784">_xlfn.IFS(C784&lt;18.5,"Underweight",C784&lt;25,"Normal",C784&lt;30,"Overweight",C784&gt;=30,"Obese")</f>
        <v>Obese</v>
      </c>
      <c r="K784" t="str" cm="1">
        <f t="array" ref="K784">_xlfn.IFS(G784&lt;10000, "Low", G784&lt;=25000, "Medium", G784&gt;25000, "High")</f>
        <v>Medium</v>
      </c>
    </row>
    <row r="785" spans="1:11" x14ac:dyDescent="0.3">
      <c r="A785">
        <v>44</v>
      </c>
      <c r="B785" s="1" t="s">
        <v>7</v>
      </c>
      <c r="C785">
        <v>31.8</v>
      </c>
      <c r="D785">
        <v>1</v>
      </c>
      <c r="E785" t="s">
        <v>10</v>
      </c>
      <c r="F785" t="s">
        <v>12</v>
      </c>
      <c r="G785" s="2">
        <v>11187.6567</v>
      </c>
      <c r="H785" t="str" cm="1">
        <f t="array" ref="H785">_xlfn.IFS(A785&lt;=30, "Youth", A785&lt;=50, "Adult", A785&gt;50, "Older")</f>
        <v>Adult</v>
      </c>
      <c r="I785" t="str" cm="1">
        <f t="array" ref="I785">_xlfn.IFS(A785&lt;=25,"18-25",A785&lt;=35,"26-35",A785&lt;=45,"36-45",A785&lt;=60,"46-60",A785&gt;60,"60+")</f>
        <v>36-45</v>
      </c>
      <c r="J785" t="str" cm="1">
        <f t="array" ref="J785">_xlfn.IFS(C785&lt;18.5,"Underweight",C785&lt;25,"Normal",C785&lt;30,"Overweight",C785&gt;=30,"Obese")</f>
        <v>Obese</v>
      </c>
      <c r="K785" t="str" cm="1">
        <f t="array" ref="K785">_xlfn.IFS(G785&lt;10000, "Low", G785&lt;=25000, "Medium", G785&gt;25000, "High")</f>
        <v>Medium</v>
      </c>
    </row>
    <row r="786" spans="1:11" x14ac:dyDescent="0.3">
      <c r="A786">
        <v>44</v>
      </c>
      <c r="B786" s="1" t="s">
        <v>7</v>
      </c>
      <c r="C786">
        <v>31.824999999999999</v>
      </c>
      <c r="D786">
        <v>1</v>
      </c>
      <c r="E786" t="s">
        <v>10</v>
      </c>
      <c r="F786" t="s">
        <v>11</v>
      </c>
      <c r="G786" s="2">
        <v>11244.376899999999</v>
      </c>
      <c r="H786" t="str" cm="1">
        <f t="array" ref="H786">_xlfn.IFS(A786&lt;=30, "Youth", A786&lt;=50, "Adult", A786&gt;50, "Older")</f>
        <v>Adult</v>
      </c>
      <c r="I786" t="str" cm="1">
        <f t="array" ref="I786">_xlfn.IFS(A786&lt;=25,"18-25",A786&lt;=35,"26-35",A786&lt;=45,"36-45",A786&lt;=60,"46-60",A786&gt;60,"60+")</f>
        <v>36-45</v>
      </c>
      <c r="J786" t="str" cm="1">
        <f t="array" ref="J786">_xlfn.IFS(C786&lt;18.5,"Underweight",C786&lt;25,"Normal",C786&lt;30,"Overweight",C786&gt;=30,"Obese")</f>
        <v>Obese</v>
      </c>
      <c r="K786" t="str" cm="1">
        <f t="array" ref="K786">_xlfn.IFS(G786&lt;10000, "Low", G786&lt;=25000, "Medium", G786&gt;25000, "High")</f>
        <v>Medium</v>
      </c>
    </row>
    <row r="787" spans="1:11" x14ac:dyDescent="0.3">
      <c r="A787">
        <v>44</v>
      </c>
      <c r="B787" s="1" t="s">
        <v>8</v>
      </c>
      <c r="C787">
        <v>31.824999999999999</v>
      </c>
      <c r="D787">
        <v>1</v>
      </c>
      <c r="E787" t="s">
        <v>10</v>
      </c>
      <c r="F787" t="s">
        <v>14</v>
      </c>
      <c r="G787" s="2">
        <v>11253.421</v>
      </c>
      <c r="H787" t="str" cm="1">
        <f t="array" ref="H787">_xlfn.IFS(A787&lt;=30, "Youth", A787&lt;=50, "Adult", A787&gt;50, "Older")</f>
        <v>Adult</v>
      </c>
      <c r="I787" t="str" cm="1">
        <f t="array" ref="I787">_xlfn.IFS(A787&lt;=25,"18-25",A787&lt;=35,"26-35",A787&lt;=45,"36-45",A787&lt;=60,"46-60",A787&gt;60,"60+")</f>
        <v>36-45</v>
      </c>
      <c r="J787" t="str" cm="1">
        <f t="array" ref="J787">_xlfn.IFS(C787&lt;18.5,"Underweight",C787&lt;25,"Normal",C787&lt;30,"Overweight",C787&gt;=30,"Obese")</f>
        <v>Obese</v>
      </c>
      <c r="K787" t="str" cm="1">
        <f t="array" ref="K787">_xlfn.IFS(G787&lt;10000, "Low", G787&lt;=25000, "Medium", G787&gt;25000, "High")</f>
        <v>Medium</v>
      </c>
    </row>
    <row r="788" spans="1:11" x14ac:dyDescent="0.3">
      <c r="A788">
        <v>44</v>
      </c>
      <c r="B788" s="1" t="s">
        <v>8</v>
      </c>
      <c r="C788">
        <v>31.824999999999999</v>
      </c>
      <c r="D788">
        <v>1</v>
      </c>
      <c r="E788" t="s">
        <v>10</v>
      </c>
      <c r="F788" t="s">
        <v>13</v>
      </c>
      <c r="G788" s="2">
        <v>11264.540999999999</v>
      </c>
      <c r="H788" t="str" cm="1">
        <f t="array" ref="H788">_xlfn.IFS(A788&lt;=30, "Youth", A788&lt;=50, "Adult", A788&gt;50, "Older")</f>
        <v>Adult</v>
      </c>
      <c r="I788" t="str" cm="1">
        <f t="array" ref="I788">_xlfn.IFS(A788&lt;=25,"18-25",A788&lt;=35,"26-35",A788&lt;=45,"36-45",A788&lt;=60,"46-60",A788&gt;60,"60+")</f>
        <v>36-45</v>
      </c>
      <c r="J788" t="str" cm="1">
        <f t="array" ref="J788">_xlfn.IFS(C788&lt;18.5,"Underweight",C788&lt;25,"Normal",C788&lt;30,"Overweight",C788&gt;=30,"Obese")</f>
        <v>Obese</v>
      </c>
      <c r="K788" t="str" cm="1">
        <f t="array" ref="K788">_xlfn.IFS(G788&lt;10000, "Low", G788&lt;=25000, "Medium", G788&gt;25000, "High")</f>
        <v>Medium</v>
      </c>
    </row>
    <row r="789" spans="1:11" x14ac:dyDescent="0.3">
      <c r="A789">
        <v>44</v>
      </c>
      <c r="B789" s="1" t="s">
        <v>8</v>
      </c>
      <c r="C789">
        <v>31.824999999999999</v>
      </c>
      <c r="D789">
        <v>1</v>
      </c>
      <c r="E789" t="s">
        <v>10</v>
      </c>
      <c r="F789" t="s">
        <v>14</v>
      </c>
      <c r="G789" s="2">
        <v>11272.331389999999</v>
      </c>
      <c r="H789" t="str" cm="1">
        <f t="array" ref="H789">_xlfn.IFS(A789&lt;=30, "Youth", A789&lt;=50, "Adult", A789&gt;50, "Older")</f>
        <v>Adult</v>
      </c>
      <c r="I789" t="str" cm="1">
        <f t="array" ref="I789">_xlfn.IFS(A789&lt;=25,"18-25",A789&lt;=35,"26-35",A789&lt;=45,"36-45",A789&lt;=60,"46-60",A789&gt;60,"60+")</f>
        <v>36-45</v>
      </c>
      <c r="J789" t="str" cm="1">
        <f t="array" ref="J789">_xlfn.IFS(C789&lt;18.5,"Underweight",C789&lt;25,"Normal",C789&lt;30,"Overweight",C789&gt;=30,"Obese")</f>
        <v>Obese</v>
      </c>
      <c r="K789" t="str" cm="1">
        <f t="array" ref="K789">_xlfn.IFS(G789&lt;10000, "Low", G789&lt;=25000, "Medium", G789&gt;25000, "High")</f>
        <v>Medium</v>
      </c>
    </row>
    <row r="790" spans="1:11" x14ac:dyDescent="0.3">
      <c r="A790">
        <v>44</v>
      </c>
      <c r="B790" s="1" t="s">
        <v>7</v>
      </c>
      <c r="C790">
        <v>31.824999999999999</v>
      </c>
      <c r="D790">
        <v>1</v>
      </c>
      <c r="E790" t="s">
        <v>10</v>
      </c>
      <c r="F790" t="s">
        <v>12</v>
      </c>
      <c r="G790" s="2">
        <v>11286.538699999999</v>
      </c>
      <c r="H790" t="str" cm="1">
        <f t="array" ref="H790">_xlfn.IFS(A790&lt;=30, "Youth", A790&lt;=50, "Adult", A790&gt;50, "Older")</f>
        <v>Adult</v>
      </c>
      <c r="I790" t="str" cm="1">
        <f t="array" ref="I790">_xlfn.IFS(A790&lt;=25,"18-25",A790&lt;=35,"26-35",A790&lt;=45,"36-45",A790&lt;=60,"46-60",A790&gt;60,"60+")</f>
        <v>36-45</v>
      </c>
      <c r="J790" t="str" cm="1">
        <f t="array" ref="J790">_xlfn.IFS(C790&lt;18.5,"Underweight",C790&lt;25,"Normal",C790&lt;30,"Overweight",C790&gt;=30,"Obese")</f>
        <v>Obese</v>
      </c>
      <c r="K790" t="str" cm="1">
        <f t="array" ref="K790">_xlfn.IFS(G790&lt;10000, "Low", G790&lt;=25000, "Medium", G790&gt;25000, "High")</f>
        <v>Medium</v>
      </c>
    </row>
    <row r="791" spans="1:11" x14ac:dyDescent="0.3">
      <c r="A791">
        <v>44</v>
      </c>
      <c r="B791" s="1" t="s">
        <v>7</v>
      </c>
      <c r="C791">
        <v>31.9</v>
      </c>
      <c r="D791">
        <v>1</v>
      </c>
      <c r="E791" t="s">
        <v>10</v>
      </c>
      <c r="F791" t="s">
        <v>12</v>
      </c>
      <c r="G791" s="2">
        <v>11289.10925</v>
      </c>
      <c r="H791" t="str" cm="1">
        <f t="array" ref="H791">_xlfn.IFS(A791&lt;=30, "Youth", A791&lt;=50, "Adult", A791&gt;50, "Older")</f>
        <v>Adult</v>
      </c>
      <c r="I791" t="str" cm="1">
        <f t="array" ref="I791">_xlfn.IFS(A791&lt;=25,"18-25",A791&lt;=35,"26-35",A791&lt;=45,"36-45",A791&lt;=60,"46-60",A791&gt;60,"60+")</f>
        <v>36-45</v>
      </c>
      <c r="J791" t="str" cm="1">
        <f t="array" ref="J791">_xlfn.IFS(C791&lt;18.5,"Underweight",C791&lt;25,"Normal",C791&lt;30,"Overweight",C791&gt;=30,"Obese")</f>
        <v>Obese</v>
      </c>
      <c r="K791" t="str" cm="1">
        <f t="array" ref="K791">_xlfn.IFS(G791&lt;10000, "Low", G791&lt;=25000, "Medium", G791&gt;25000, "High")</f>
        <v>Medium</v>
      </c>
    </row>
    <row r="792" spans="1:11" x14ac:dyDescent="0.3">
      <c r="A792">
        <v>44</v>
      </c>
      <c r="B792" s="1" t="s">
        <v>8</v>
      </c>
      <c r="C792">
        <v>31.9</v>
      </c>
      <c r="D792">
        <v>1</v>
      </c>
      <c r="E792" t="s">
        <v>10</v>
      </c>
      <c r="F792" t="s">
        <v>11</v>
      </c>
      <c r="G792" s="2">
        <v>11299.343000000001</v>
      </c>
      <c r="H792" t="str" cm="1">
        <f t="array" ref="H792">_xlfn.IFS(A792&lt;=30, "Youth", A792&lt;=50, "Adult", A792&gt;50, "Older")</f>
        <v>Adult</v>
      </c>
      <c r="I792" t="str" cm="1">
        <f t="array" ref="I792">_xlfn.IFS(A792&lt;=25,"18-25",A792&lt;=35,"26-35",A792&lt;=45,"36-45",A792&lt;=60,"46-60",A792&gt;60,"60+")</f>
        <v>36-45</v>
      </c>
      <c r="J792" t="str" cm="1">
        <f t="array" ref="J792">_xlfn.IFS(C792&lt;18.5,"Underweight",C792&lt;25,"Normal",C792&lt;30,"Overweight",C792&gt;=30,"Obese")</f>
        <v>Obese</v>
      </c>
      <c r="K792" t="str" cm="1">
        <f t="array" ref="K792">_xlfn.IFS(G792&lt;10000, "Low", G792&lt;=25000, "Medium", G792&gt;25000, "High")</f>
        <v>Medium</v>
      </c>
    </row>
    <row r="793" spans="1:11" x14ac:dyDescent="0.3">
      <c r="A793">
        <v>44</v>
      </c>
      <c r="B793" s="1" t="s">
        <v>7</v>
      </c>
      <c r="C793">
        <v>31.9</v>
      </c>
      <c r="D793">
        <v>1</v>
      </c>
      <c r="E793" t="s">
        <v>10</v>
      </c>
      <c r="F793" t="s">
        <v>14</v>
      </c>
      <c r="G793" s="2">
        <v>11305.93455</v>
      </c>
      <c r="H793" t="str" cm="1">
        <f t="array" ref="H793">_xlfn.IFS(A793&lt;=30, "Youth", A793&lt;=50, "Adult", A793&gt;50, "Older")</f>
        <v>Adult</v>
      </c>
      <c r="I793" t="str" cm="1">
        <f t="array" ref="I793">_xlfn.IFS(A793&lt;=25,"18-25",A793&lt;=35,"26-35",A793&lt;=45,"36-45",A793&lt;=60,"46-60",A793&gt;60,"60+")</f>
        <v>36-45</v>
      </c>
      <c r="J793" t="str" cm="1">
        <f t="array" ref="J793">_xlfn.IFS(C793&lt;18.5,"Underweight",C793&lt;25,"Normal",C793&lt;30,"Overweight",C793&gt;=30,"Obese")</f>
        <v>Obese</v>
      </c>
      <c r="K793" t="str" cm="1">
        <f t="array" ref="K793">_xlfn.IFS(G793&lt;10000, "Low", G793&lt;=25000, "Medium", G793&gt;25000, "High")</f>
        <v>Medium</v>
      </c>
    </row>
    <row r="794" spans="1:11" x14ac:dyDescent="0.3">
      <c r="A794">
        <v>44</v>
      </c>
      <c r="B794" s="1" t="s">
        <v>8</v>
      </c>
      <c r="C794">
        <v>31.92</v>
      </c>
      <c r="D794">
        <v>1</v>
      </c>
      <c r="E794" t="s">
        <v>9</v>
      </c>
      <c r="F794" t="s">
        <v>12</v>
      </c>
      <c r="G794" s="2">
        <v>11326.71487</v>
      </c>
      <c r="H794" t="str" cm="1">
        <f t="array" ref="H794">_xlfn.IFS(A794&lt;=30, "Youth", A794&lt;=50, "Adult", A794&gt;50, "Older")</f>
        <v>Adult</v>
      </c>
      <c r="I794" t="str" cm="1">
        <f t="array" ref="I794">_xlfn.IFS(A794&lt;=25,"18-25",A794&lt;=35,"26-35",A794&lt;=45,"36-45",A794&lt;=60,"46-60",A794&gt;60,"60+")</f>
        <v>36-45</v>
      </c>
      <c r="J794" t="str" cm="1">
        <f t="array" ref="J794">_xlfn.IFS(C794&lt;18.5,"Underweight",C794&lt;25,"Normal",C794&lt;30,"Overweight",C794&gt;=30,"Obese")</f>
        <v>Obese</v>
      </c>
      <c r="K794" t="str" cm="1">
        <f t="array" ref="K794">_xlfn.IFS(G794&lt;10000, "Low", G794&lt;=25000, "Medium", G794&gt;25000, "High")</f>
        <v>Medium</v>
      </c>
    </row>
    <row r="795" spans="1:11" x14ac:dyDescent="0.3">
      <c r="A795">
        <v>44</v>
      </c>
      <c r="B795" s="1" t="s">
        <v>7</v>
      </c>
      <c r="C795">
        <v>31.92</v>
      </c>
      <c r="D795">
        <v>1</v>
      </c>
      <c r="E795" t="s">
        <v>10</v>
      </c>
      <c r="F795" t="s">
        <v>13</v>
      </c>
      <c r="G795" s="2">
        <v>11345.519</v>
      </c>
      <c r="H795" t="str" cm="1">
        <f t="array" ref="H795">_xlfn.IFS(A795&lt;=30, "Youth", A795&lt;=50, "Adult", A795&gt;50, "Older")</f>
        <v>Adult</v>
      </c>
      <c r="I795" t="str" cm="1">
        <f t="array" ref="I795">_xlfn.IFS(A795&lt;=25,"18-25",A795&lt;=35,"26-35",A795&lt;=45,"36-45",A795&lt;=60,"46-60",A795&gt;60,"60+")</f>
        <v>36-45</v>
      </c>
      <c r="J795" t="str" cm="1">
        <f t="array" ref="J795">_xlfn.IFS(C795&lt;18.5,"Underweight",C795&lt;25,"Normal",C795&lt;30,"Overweight",C795&gt;=30,"Obese")</f>
        <v>Obese</v>
      </c>
      <c r="K795" t="str" cm="1">
        <f t="array" ref="K795">_xlfn.IFS(G795&lt;10000, "Low", G795&lt;=25000, "Medium", G795&gt;25000, "High")</f>
        <v>Medium</v>
      </c>
    </row>
    <row r="796" spans="1:11" x14ac:dyDescent="0.3">
      <c r="A796">
        <v>44</v>
      </c>
      <c r="B796" s="1" t="s">
        <v>8</v>
      </c>
      <c r="C796">
        <v>31.92</v>
      </c>
      <c r="D796">
        <v>1</v>
      </c>
      <c r="E796" t="s">
        <v>9</v>
      </c>
      <c r="F796" t="s">
        <v>13</v>
      </c>
      <c r="G796" s="2">
        <v>11353.2276</v>
      </c>
      <c r="H796" t="str" cm="1">
        <f t="array" ref="H796">_xlfn.IFS(A796&lt;=30, "Youth", A796&lt;=50, "Adult", A796&gt;50, "Older")</f>
        <v>Adult</v>
      </c>
      <c r="I796" t="str" cm="1">
        <f t="array" ref="I796">_xlfn.IFS(A796&lt;=25,"18-25",A796&lt;=35,"26-35",A796&lt;=45,"36-45",A796&lt;=60,"46-60",A796&gt;60,"60+")</f>
        <v>36-45</v>
      </c>
      <c r="J796" t="str" cm="1">
        <f t="array" ref="J796">_xlfn.IFS(C796&lt;18.5,"Underweight",C796&lt;25,"Normal",C796&lt;30,"Overweight",C796&gt;=30,"Obese")</f>
        <v>Obese</v>
      </c>
      <c r="K796" t="str" cm="1">
        <f t="array" ref="K796">_xlfn.IFS(G796&lt;10000, "Low", G796&lt;=25000, "Medium", G796&gt;25000, "High")</f>
        <v>Medium</v>
      </c>
    </row>
    <row r="797" spans="1:11" x14ac:dyDescent="0.3">
      <c r="A797">
        <v>44</v>
      </c>
      <c r="B797" s="1" t="s">
        <v>8</v>
      </c>
      <c r="C797">
        <v>31.92</v>
      </c>
      <c r="D797">
        <v>1</v>
      </c>
      <c r="E797" t="s">
        <v>10</v>
      </c>
      <c r="F797" t="s">
        <v>12</v>
      </c>
      <c r="G797" s="2">
        <v>11356.660900000001</v>
      </c>
      <c r="H797" t="str" cm="1">
        <f t="array" ref="H797">_xlfn.IFS(A797&lt;=30, "Youth", A797&lt;=50, "Adult", A797&gt;50, "Older")</f>
        <v>Adult</v>
      </c>
      <c r="I797" t="str" cm="1">
        <f t="array" ref="I797">_xlfn.IFS(A797&lt;=25,"18-25",A797&lt;=35,"26-35",A797&lt;=45,"36-45",A797&lt;=60,"46-60",A797&gt;60,"60+")</f>
        <v>36-45</v>
      </c>
      <c r="J797" t="str" cm="1">
        <f t="array" ref="J797">_xlfn.IFS(C797&lt;18.5,"Underweight",C797&lt;25,"Normal",C797&lt;30,"Overweight",C797&gt;=30,"Obese")</f>
        <v>Obese</v>
      </c>
      <c r="K797" t="str" cm="1">
        <f t="array" ref="K797">_xlfn.IFS(G797&lt;10000, "Low", G797&lt;=25000, "Medium", G797&gt;25000, "High")</f>
        <v>Medium</v>
      </c>
    </row>
    <row r="798" spans="1:11" x14ac:dyDescent="0.3">
      <c r="A798">
        <v>44</v>
      </c>
      <c r="B798" s="1" t="s">
        <v>7</v>
      </c>
      <c r="C798">
        <v>31.92</v>
      </c>
      <c r="D798">
        <v>1</v>
      </c>
      <c r="E798" t="s">
        <v>10</v>
      </c>
      <c r="F798" t="s">
        <v>14</v>
      </c>
      <c r="G798" s="2">
        <v>11362.754999999999</v>
      </c>
      <c r="H798" t="str" cm="1">
        <f t="array" ref="H798">_xlfn.IFS(A798&lt;=30, "Youth", A798&lt;=50, "Adult", A798&gt;50, "Older")</f>
        <v>Adult</v>
      </c>
      <c r="I798" t="str" cm="1">
        <f t="array" ref="I798">_xlfn.IFS(A798&lt;=25,"18-25",A798&lt;=35,"26-35",A798&lt;=45,"36-45",A798&lt;=60,"46-60",A798&gt;60,"60+")</f>
        <v>36-45</v>
      </c>
      <c r="J798" t="str" cm="1">
        <f t="array" ref="J798">_xlfn.IFS(C798&lt;18.5,"Underweight",C798&lt;25,"Normal",C798&lt;30,"Overweight",C798&gt;=30,"Obese")</f>
        <v>Obese</v>
      </c>
      <c r="K798" t="str" cm="1">
        <f t="array" ref="K798">_xlfn.IFS(G798&lt;10000, "Low", G798&lt;=25000, "Medium", G798&gt;25000, "High")</f>
        <v>Medium</v>
      </c>
    </row>
    <row r="799" spans="1:11" x14ac:dyDescent="0.3">
      <c r="A799">
        <v>44</v>
      </c>
      <c r="B799" s="1" t="s">
        <v>7</v>
      </c>
      <c r="C799">
        <v>32</v>
      </c>
      <c r="D799">
        <v>1</v>
      </c>
      <c r="E799" t="s">
        <v>10</v>
      </c>
      <c r="F799" t="s">
        <v>11</v>
      </c>
      <c r="G799" s="2">
        <v>11363.2832</v>
      </c>
      <c r="H799" t="str" cm="1">
        <f t="array" ref="H799">_xlfn.IFS(A799&lt;=30, "Youth", A799&lt;=50, "Adult", A799&gt;50, "Older")</f>
        <v>Adult</v>
      </c>
      <c r="I799" t="str" cm="1">
        <f t="array" ref="I799">_xlfn.IFS(A799&lt;=25,"18-25",A799&lt;=35,"26-35",A799&lt;=45,"36-45",A799&lt;=60,"46-60",A799&gt;60,"60+")</f>
        <v>36-45</v>
      </c>
      <c r="J799" t="str" cm="1">
        <f t="array" ref="J799">_xlfn.IFS(C799&lt;18.5,"Underweight",C799&lt;25,"Normal",C799&lt;30,"Overweight",C799&gt;=30,"Obese")</f>
        <v>Obese</v>
      </c>
      <c r="K799" t="str" cm="1">
        <f t="array" ref="K799">_xlfn.IFS(G799&lt;10000, "Low", G799&lt;=25000, "Medium", G799&gt;25000, "High")</f>
        <v>Medium</v>
      </c>
    </row>
    <row r="800" spans="1:11" x14ac:dyDescent="0.3">
      <c r="A800">
        <v>44</v>
      </c>
      <c r="B800" s="1" t="s">
        <v>8</v>
      </c>
      <c r="C800">
        <v>32.01</v>
      </c>
      <c r="D800">
        <v>1</v>
      </c>
      <c r="E800" t="s">
        <v>9</v>
      </c>
      <c r="F800" t="s">
        <v>14</v>
      </c>
      <c r="G800" s="2">
        <v>11365.951999999999</v>
      </c>
      <c r="H800" t="str" cm="1">
        <f t="array" ref="H800">_xlfn.IFS(A800&lt;=30, "Youth", A800&lt;=50, "Adult", A800&gt;50, "Older")</f>
        <v>Adult</v>
      </c>
      <c r="I800" t="str" cm="1">
        <f t="array" ref="I800">_xlfn.IFS(A800&lt;=25,"18-25",A800&lt;=35,"26-35",A800&lt;=45,"36-45",A800&lt;=60,"46-60",A800&gt;60,"60+")</f>
        <v>36-45</v>
      </c>
      <c r="J800" t="str" cm="1">
        <f t="array" ref="J800">_xlfn.IFS(C800&lt;18.5,"Underweight",C800&lt;25,"Normal",C800&lt;30,"Overweight",C800&gt;=30,"Obese")</f>
        <v>Obese</v>
      </c>
      <c r="K800" t="str" cm="1">
        <f t="array" ref="K800">_xlfn.IFS(G800&lt;10000, "Low", G800&lt;=25000, "Medium", G800&gt;25000, "High")</f>
        <v>Medium</v>
      </c>
    </row>
    <row r="801" spans="1:11" x14ac:dyDescent="0.3">
      <c r="A801">
        <v>44</v>
      </c>
      <c r="B801" s="1" t="s">
        <v>7</v>
      </c>
      <c r="C801">
        <v>32.01</v>
      </c>
      <c r="D801">
        <v>1</v>
      </c>
      <c r="E801" t="s">
        <v>10</v>
      </c>
      <c r="F801" t="s">
        <v>12</v>
      </c>
      <c r="G801" s="2">
        <v>11381.3254</v>
      </c>
      <c r="H801" t="str" cm="1">
        <f t="array" ref="H801">_xlfn.IFS(A801&lt;=30, "Youth", A801&lt;=50, "Adult", A801&gt;50, "Older")</f>
        <v>Adult</v>
      </c>
      <c r="I801" t="str" cm="1">
        <f t="array" ref="I801">_xlfn.IFS(A801&lt;=25,"18-25",A801&lt;=35,"26-35",A801&lt;=45,"36-45",A801&lt;=60,"46-60",A801&gt;60,"60+")</f>
        <v>36-45</v>
      </c>
      <c r="J801" t="str" cm="1">
        <f t="array" ref="J801">_xlfn.IFS(C801&lt;18.5,"Underweight",C801&lt;25,"Normal",C801&lt;30,"Overweight",C801&gt;=30,"Obese")</f>
        <v>Obese</v>
      </c>
      <c r="K801" t="str" cm="1">
        <f t="array" ref="K801">_xlfn.IFS(G801&lt;10000, "Low", G801&lt;=25000, "Medium", G801&gt;25000, "High")</f>
        <v>Medium</v>
      </c>
    </row>
    <row r="802" spans="1:11" x14ac:dyDescent="0.3">
      <c r="A802">
        <v>44</v>
      </c>
      <c r="B802" s="1" t="s">
        <v>7</v>
      </c>
      <c r="C802">
        <v>32.015000000000001</v>
      </c>
      <c r="D802">
        <v>1</v>
      </c>
      <c r="E802" t="s">
        <v>10</v>
      </c>
      <c r="F802" t="s">
        <v>12</v>
      </c>
      <c r="G802" s="2">
        <v>11394.065549999999</v>
      </c>
      <c r="H802" t="str" cm="1">
        <f t="array" ref="H802">_xlfn.IFS(A802&lt;=30, "Youth", A802&lt;=50, "Adult", A802&gt;50, "Older")</f>
        <v>Adult</v>
      </c>
      <c r="I802" t="str" cm="1">
        <f t="array" ref="I802">_xlfn.IFS(A802&lt;=25,"18-25",A802&lt;=35,"26-35",A802&lt;=45,"36-45",A802&lt;=60,"46-60",A802&gt;60,"60+")</f>
        <v>36-45</v>
      </c>
      <c r="J802" t="str" cm="1">
        <f t="array" ref="J802">_xlfn.IFS(C802&lt;18.5,"Underweight",C802&lt;25,"Normal",C802&lt;30,"Overweight",C802&gt;=30,"Obese")</f>
        <v>Obese</v>
      </c>
      <c r="K802" t="str" cm="1">
        <f t="array" ref="K802">_xlfn.IFS(G802&lt;10000, "Low", G802&lt;=25000, "Medium", G802&gt;25000, "High")</f>
        <v>Medium</v>
      </c>
    </row>
    <row r="803" spans="1:11" x14ac:dyDescent="0.3">
      <c r="A803">
        <v>44</v>
      </c>
      <c r="B803" s="1" t="s">
        <v>8</v>
      </c>
      <c r="C803">
        <v>32.015000000000001</v>
      </c>
      <c r="D803">
        <v>1</v>
      </c>
      <c r="E803" t="s">
        <v>10</v>
      </c>
      <c r="F803" t="s">
        <v>11</v>
      </c>
      <c r="G803" s="2">
        <v>11396.9002</v>
      </c>
      <c r="H803" t="str" cm="1">
        <f t="array" ref="H803">_xlfn.IFS(A803&lt;=30, "Youth", A803&lt;=50, "Adult", A803&gt;50, "Older")</f>
        <v>Adult</v>
      </c>
      <c r="I803" t="str" cm="1">
        <f t="array" ref="I803">_xlfn.IFS(A803&lt;=25,"18-25",A803&lt;=35,"26-35",A803&lt;=45,"36-45",A803&lt;=60,"46-60",A803&gt;60,"60+")</f>
        <v>36-45</v>
      </c>
      <c r="J803" t="str" cm="1">
        <f t="array" ref="J803">_xlfn.IFS(C803&lt;18.5,"Underweight",C803&lt;25,"Normal",C803&lt;30,"Overweight",C803&gt;=30,"Obese")</f>
        <v>Obese</v>
      </c>
      <c r="K803" t="str" cm="1">
        <f t="array" ref="K803">_xlfn.IFS(G803&lt;10000, "Low", G803&lt;=25000, "Medium", G803&gt;25000, "High")</f>
        <v>Medium</v>
      </c>
    </row>
    <row r="804" spans="1:11" x14ac:dyDescent="0.3">
      <c r="A804">
        <v>44</v>
      </c>
      <c r="B804" s="1" t="s">
        <v>7</v>
      </c>
      <c r="C804">
        <v>32.1</v>
      </c>
      <c r="D804">
        <v>1</v>
      </c>
      <c r="E804" t="s">
        <v>9</v>
      </c>
      <c r="F804" t="s">
        <v>12</v>
      </c>
      <c r="G804" s="2">
        <v>11411.684999999999</v>
      </c>
      <c r="H804" t="str" cm="1">
        <f t="array" ref="H804">_xlfn.IFS(A804&lt;=30, "Youth", A804&lt;=50, "Adult", A804&gt;50, "Older")</f>
        <v>Adult</v>
      </c>
      <c r="I804" t="str" cm="1">
        <f t="array" ref="I804">_xlfn.IFS(A804&lt;=25,"18-25",A804&lt;=35,"26-35",A804&lt;=45,"36-45",A804&lt;=60,"46-60",A804&gt;60,"60+")</f>
        <v>36-45</v>
      </c>
      <c r="J804" t="str" cm="1">
        <f t="array" ref="J804">_xlfn.IFS(C804&lt;18.5,"Underweight",C804&lt;25,"Normal",C804&lt;30,"Overweight",C804&gt;=30,"Obese")</f>
        <v>Obese</v>
      </c>
      <c r="K804" t="str" cm="1">
        <f t="array" ref="K804">_xlfn.IFS(G804&lt;10000, "Low", G804&lt;=25000, "Medium", G804&gt;25000, "High")</f>
        <v>Medium</v>
      </c>
    </row>
    <row r="805" spans="1:11" x14ac:dyDescent="0.3">
      <c r="A805">
        <v>44</v>
      </c>
      <c r="B805" s="1" t="s">
        <v>8</v>
      </c>
      <c r="C805">
        <v>32.11</v>
      </c>
      <c r="D805">
        <v>1</v>
      </c>
      <c r="E805" t="s">
        <v>10</v>
      </c>
      <c r="F805" t="s">
        <v>12</v>
      </c>
      <c r="G805" s="2">
        <v>11436.738149999999</v>
      </c>
      <c r="H805" t="str" cm="1">
        <f t="array" ref="H805">_xlfn.IFS(A805&lt;=30, "Youth", A805&lt;=50, "Adult", A805&gt;50, "Older")</f>
        <v>Adult</v>
      </c>
      <c r="I805" t="str" cm="1">
        <f t="array" ref="I805">_xlfn.IFS(A805&lt;=25,"18-25",A805&lt;=35,"26-35",A805&lt;=45,"36-45",A805&lt;=60,"46-60",A805&gt;60,"60+")</f>
        <v>36-45</v>
      </c>
      <c r="J805" t="str" cm="1">
        <f t="array" ref="J805">_xlfn.IFS(C805&lt;18.5,"Underweight",C805&lt;25,"Normal",C805&lt;30,"Overweight",C805&gt;=30,"Obese")</f>
        <v>Obese</v>
      </c>
      <c r="K805" t="str" cm="1">
        <f t="array" ref="K805">_xlfn.IFS(G805&lt;10000, "Low", G805&lt;=25000, "Medium", G805&gt;25000, "High")</f>
        <v>Medium</v>
      </c>
    </row>
    <row r="806" spans="1:11" x14ac:dyDescent="0.3">
      <c r="A806">
        <v>44</v>
      </c>
      <c r="B806" s="1" t="s">
        <v>7</v>
      </c>
      <c r="C806">
        <v>32.11</v>
      </c>
      <c r="D806">
        <v>1</v>
      </c>
      <c r="E806" t="s">
        <v>10</v>
      </c>
      <c r="F806" t="s">
        <v>13</v>
      </c>
      <c r="G806" s="2">
        <v>11454.021500000001</v>
      </c>
      <c r="H806" t="str" cm="1">
        <f t="array" ref="H806">_xlfn.IFS(A806&lt;=30, "Youth", A806&lt;=50, "Adult", A806&gt;50, "Older")</f>
        <v>Adult</v>
      </c>
      <c r="I806" t="str" cm="1">
        <f t="array" ref="I806">_xlfn.IFS(A806&lt;=25,"18-25",A806&lt;=35,"26-35",A806&lt;=45,"36-45",A806&lt;=60,"46-60",A806&gt;60,"60+")</f>
        <v>36-45</v>
      </c>
      <c r="J806" t="str" cm="1">
        <f t="array" ref="J806">_xlfn.IFS(C806&lt;18.5,"Underweight",C806&lt;25,"Normal",C806&lt;30,"Overweight",C806&gt;=30,"Obese")</f>
        <v>Obese</v>
      </c>
      <c r="K806" t="str" cm="1">
        <f t="array" ref="K806">_xlfn.IFS(G806&lt;10000, "Low", G806&lt;=25000, "Medium", G806&gt;25000, "High")</f>
        <v>Medium</v>
      </c>
    </row>
    <row r="807" spans="1:11" x14ac:dyDescent="0.3">
      <c r="A807">
        <v>44</v>
      </c>
      <c r="B807" s="1" t="s">
        <v>7</v>
      </c>
      <c r="C807">
        <v>32.11</v>
      </c>
      <c r="D807">
        <v>1</v>
      </c>
      <c r="E807" t="s">
        <v>10</v>
      </c>
      <c r="F807" t="s">
        <v>13</v>
      </c>
      <c r="G807" s="2">
        <v>11455.28</v>
      </c>
      <c r="H807" t="str" cm="1">
        <f t="array" ref="H807">_xlfn.IFS(A807&lt;=30, "Youth", A807&lt;=50, "Adult", A807&gt;50, "Older")</f>
        <v>Adult</v>
      </c>
      <c r="I807" t="str" cm="1">
        <f t="array" ref="I807">_xlfn.IFS(A807&lt;=25,"18-25",A807&lt;=35,"26-35",A807&lt;=45,"36-45",A807&lt;=60,"46-60",A807&gt;60,"60+")</f>
        <v>36-45</v>
      </c>
      <c r="J807" t="str" cm="1">
        <f t="array" ref="J807">_xlfn.IFS(C807&lt;18.5,"Underweight",C807&lt;25,"Normal",C807&lt;30,"Overweight",C807&gt;=30,"Obese")</f>
        <v>Obese</v>
      </c>
      <c r="K807" t="str" cm="1">
        <f t="array" ref="K807">_xlfn.IFS(G807&lt;10000, "Low", G807&lt;=25000, "Medium", G807&gt;25000, "High")</f>
        <v>Medium</v>
      </c>
    </row>
    <row r="808" spans="1:11" x14ac:dyDescent="0.3">
      <c r="A808">
        <v>44</v>
      </c>
      <c r="B808" s="1" t="s">
        <v>7</v>
      </c>
      <c r="C808">
        <v>32.11</v>
      </c>
      <c r="D808">
        <v>1</v>
      </c>
      <c r="E808" t="s">
        <v>10</v>
      </c>
      <c r="F808" t="s">
        <v>13</v>
      </c>
      <c r="G808" s="2">
        <v>11482.63485</v>
      </c>
      <c r="H808" t="str" cm="1">
        <f t="array" ref="H808">_xlfn.IFS(A808&lt;=30, "Youth", A808&lt;=50, "Adult", A808&gt;50, "Older")</f>
        <v>Adult</v>
      </c>
      <c r="I808" t="str" cm="1">
        <f t="array" ref="I808">_xlfn.IFS(A808&lt;=25,"18-25",A808&lt;=35,"26-35",A808&lt;=45,"36-45",A808&lt;=60,"46-60",A808&gt;60,"60+")</f>
        <v>36-45</v>
      </c>
      <c r="J808" t="str" cm="1">
        <f t="array" ref="J808">_xlfn.IFS(C808&lt;18.5,"Underweight",C808&lt;25,"Normal",C808&lt;30,"Overweight",C808&gt;=30,"Obese")</f>
        <v>Obese</v>
      </c>
      <c r="K808" t="str" cm="1">
        <f t="array" ref="K808">_xlfn.IFS(G808&lt;10000, "Low", G808&lt;=25000, "Medium", G808&gt;25000, "High")</f>
        <v>Medium</v>
      </c>
    </row>
    <row r="809" spans="1:11" x14ac:dyDescent="0.3">
      <c r="A809">
        <v>44</v>
      </c>
      <c r="B809" s="1" t="s">
        <v>8</v>
      </c>
      <c r="C809">
        <v>32.11</v>
      </c>
      <c r="D809">
        <v>1</v>
      </c>
      <c r="E809" t="s">
        <v>10</v>
      </c>
      <c r="F809" t="s">
        <v>12</v>
      </c>
      <c r="G809" s="2">
        <v>11488.31695</v>
      </c>
      <c r="H809" t="str" cm="1">
        <f t="array" ref="H809">_xlfn.IFS(A809&lt;=30, "Youth", A809&lt;=50, "Adult", A809&gt;50, "Older")</f>
        <v>Adult</v>
      </c>
      <c r="I809" t="str" cm="1">
        <f t="array" ref="I809">_xlfn.IFS(A809&lt;=25,"18-25",A809&lt;=35,"26-35",A809&lt;=45,"36-45",A809&lt;=60,"46-60",A809&gt;60,"60+")</f>
        <v>36-45</v>
      </c>
      <c r="J809" t="str" cm="1">
        <f t="array" ref="J809">_xlfn.IFS(C809&lt;18.5,"Underweight",C809&lt;25,"Normal",C809&lt;30,"Overweight",C809&gt;=30,"Obese")</f>
        <v>Obese</v>
      </c>
      <c r="K809" t="str" cm="1">
        <f t="array" ref="K809">_xlfn.IFS(G809&lt;10000, "Low", G809&lt;=25000, "Medium", G809&gt;25000, "High")</f>
        <v>Medium</v>
      </c>
    </row>
    <row r="810" spans="1:11" x14ac:dyDescent="0.3">
      <c r="A810">
        <v>45</v>
      </c>
      <c r="B810" s="1" t="s">
        <v>8</v>
      </c>
      <c r="C810">
        <v>32.11</v>
      </c>
      <c r="D810">
        <v>1</v>
      </c>
      <c r="E810" t="s">
        <v>10</v>
      </c>
      <c r="F810" t="s">
        <v>14</v>
      </c>
      <c r="G810" s="2">
        <v>11512.405000000001</v>
      </c>
      <c r="H810" t="str" cm="1">
        <f t="array" ref="H810">_xlfn.IFS(A810&lt;=30, "Youth", A810&lt;=50, "Adult", A810&gt;50, "Older")</f>
        <v>Adult</v>
      </c>
      <c r="I810" t="str" cm="1">
        <f t="array" ref="I810">_xlfn.IFS(A810&lt;=25,"18-25",A810&lt;=35,"26-35",A810&lt;=45,"36-45",A810&lt;=60,"46-60",A810&gt;60,"60+")</f>
        <v>36-45</v>
      </c>
      <c r="J810" t="str" cm="1">
        <f t="array" ref="J810">_xlfn.IFS(C810&lt;18.5,"Underweight",C810&lt;25,"Normal",C810&lt;30,"Overweight",C810&gt;=30,"Obese")</f>
        <v>Obese</v>
      </c>
      <c r="K810" t="str" cm="1">
        <f t="array" ref="K810">_xlfn.IFS(G810&lt;10000, "Low", G810&lt;=25000, "Medium", G810&gt;25000, "High")</f>
        <v>Medium</v>
      </c>
    </row>
    <row r="811" spans="1:11" x14ac:dyDescent="0.3">
      <c r="A811">
        <v>45</v>
      </c>
      <c r="B811" s="1" t="s">
        <v>7</v>
      </c>
      <c r="C811">
        <v>32.11</v>
      </c>
      <c r="D811">
        <v>1</v>
      </c>
      <c r="E811" t="s">
        <v>10</v>
      </c>
      <c r="F811" t="s">
        <v>11</v>
      </c>
      <c r="G811" s="2">
        <v>11520.099850000001</v>
      </c>
      <c r="H811" t="str" cm="1">
        <f t="array" ref="H811">_xlfn.IFS(A811&lt;=30, "Youth", A811&lt;=50, "Adult", A811&gt;50, "Older")</f>
        <v>Adult</v>
      </c>
      <c r="I811" t="str" cm="1">
        <f t="array" ref="I811">_xlfn.IFS(A811&lt;=25,"18-25",A811&lt;=35,"26-35",A811&lt;=45,"36-45",A811&lt;=60,"46-60",A811&gt;60,"60+")</f>
        <v>36-45</v>
      </c>
      <c r="J811" t="str" cm="1">
        <f t="array" ref="J811">_xlfn.IFS(C811&lt;18.5,"Underweight",C811&lt;25,"Normal",C811&lt;30,"Overweight",C811&gt;=30,"Obese")</f>
        <v>Obese</v>
      </c>
      <c r="K811" t="str" cm="1">
        <f t="array" ref="K811">_xlfn.IFS(G811&lt;10000, "Low", G811&lt;=25000, "Medium", G811&gt;25000, "High")</f>
        <v>Medium</v>
      </c>
    </row>
    <row r="812" spans="1:11" x14ac:dyDescent="0.3">
      <c r="A812">
        <v>45</v>
      </c>
      <c r="B812" s="1" t="s">
        <v>7</v>
      </c>
      <c r="C812">
        <v>32.119999999999997</v>
      </c>
      <c r="D812">
        <v>1</v>
      </c>
      <c r="E812" t="s">
        <v>10</v>
      </c>
      <c r="F812" t="s">
        <v>13</v>
      </c>
      <c r="G812" s="2">
        <v>11534.872649999999</v>
      </c>
      <c r="H812" t="str" cm="1">
        <f t="array" ref="H812">_xlfn.IFS(A812&lt;=30, "Youth", A812&lt;=50, "Adult", A812&gt;50, "Older")</f>
        <v>Adult</v>
      </c>
      <c r="I812" t="str" cm="1">
        <f t="array" ref="I812">_xlfn.IFS(A812&lt;=25,"18-25",A812&lt;=35,"26-35",A812&lt;=45,"36-45",A812&lt;=60,"46-60",A812&gt;60,"60+")</f>
        <v>36-45</v>
      </c>
      <c r="J812" t="str" cm="1">
        <f t="array" ref="J812">_xlfn.IFS(C812&lt;18.5,"Underweight",C812&lt;25,"Normal",C812&lt;30,"Overweight",C812&gt;=30,"Obese")</f>
        <v>Obese</v>
      </c>
      <c r="K812" t="str" cm="1">
        <f t="array" ref="K812">_xlfn.IFS(G812&lt;10000, "Low", G812&lt;=25000, "Medium", G812&gt;25000, "High")</f>
        <v>Medium</v>
      </c>
    </row>
    <row r="813" spans="1:11" x14ac:dyDescent="0.3">
      <c r="A813">
        <v>45</v>
      </c>
      <c r="B813" s="1" t="s">
        <v>8</v>
      </c>
      <c r="C813">
        <v>32.200000000000003</v>
      </c>
      <c r="D813">
        <v>1</v>
      </c>
      <c r="E813" t="s">
        <v>10</v>
      </c>
      <c r="F813" t="s">
        <v>12</v>
      </c>
      <c r="G813" s="2">
        <v>11538.421</v>
      </c>
      <c r="H813" t="str" cm="1">
        <f t="array" ref="H813">_xlfn.IFS(A813&lt;=30, "Youth", A813&lt;=50, "Adult", A813&gt;50, "Older")</f>
        <v>Adult</v>
      </c>
      <c r="I813" t="str" cm="1">
        <f t="array" ref="I813">_xlfn.IFS(A813&lt;=25,"18-25",A813&lt;=35,"26-35",A813&lt;=45,"36-45",A813&lt;=60,"46-60",A813&gt;60,"60+")</f>
        <v>36-45</v>
      </c>
      <c r="J813" t="str" cm="1">
        <f t="array" ref="J813">_xlfn.IFS(C813&lt;18.5,"Underweight",C813&lt;25,"Normal",C813&lt;30,"Overweight",C813&gt;=30,"Obese")</f>
        <v>Obese</v>
      </c>
      <c r="K813" t="str" cm="1">
        <f t="array" ref="K813">_xlfn.IFS(G813&lt;10000, "Low", G813&lt;=25000, "Medium", G813&gt;25000, "High")</f>
        <v>Medium</v>
      </c>
    </row>
    <row r="814" spans="1:11" x14ac:dyDescent="0.3">
      <c r="A814">
        <v>45</v>
      </c>
      <c r="B814" s="1" t="s">
        <v>8</v>
      </c>
      <c r="C814">
        <v>32.200000000000003</v>
      </c>
      <c r="D814">
        <v>1</v>
      </c>
      <c r="E814" t="s">
        <v>10</v>
      </c>
      <c r="F814" t="s">
        <v>14</v>
      </c>
      <c r="G814" s="2">
        <v>11552.904</v>
      </c>
      <c r="H814" t="str" cm="1">
        <f t="array" ref="H814">_xlfn.IFS(A814&lt;=30, "Youth", A814&lt;=50, "Adult", A814&gt;50, "Older")</f>
        <v>Adult</v>
      </c>
      <c r="I814" t="str" cm="1">
        <f t="array" ref="I814">_xlfn.IFS(A814&lt;=25,"18-25",A814&lt;=35,"26-35",A814&lt;=45,"36-45",A814&lt;=60,"46-60",A814&gt;60,"60+")</f>
        <v>36-45</v>
      </c>
      <c r="J814" t="str" cm="1">
        <f t="array" ref="J814">_xlfn.IFS(C814&lt;18.5,"Underweight",C814&lt;25,"Normal",C814&lt;30,"Overweight",C814&gt;=30,"Obese")</f>
        <v>Obese</v>
      </c>
      <c r="K814" t="str" cm="1">
        <f t="array" ref="K814">_xlfn.IFS(G814&lt;10000, "Low", G814&lt;=25000, "Medium", G814&gt;25000, "High")</f>
        <v>Medium</v>
      </c>
    </row>
    <row r="815" spans="1:11" x14ac:dyDescent="0.3">
      <c r="A815">
        <v>45</v>
      </c>
      <c r="B815" s="1" t="s">
        <v>8</v>
      </c>
      <c r="C815">
        <v>32.200000000000003</v>
      </c>
      <c r="D815">
        <v>1</v>
      </c>
      <c r="E815" t="s">
        <v>10</v>
      </c>
      <c r="F815" t="s">
        <v>12</v>
      </c>
      <c r="G815" s="2">
        <v>11554.223599999999</v>
      </c>
      <c r="H815" t="str" cm="1">
        <f t="array" ref="H815">_xlfn.IFS(A815&lt;=30, "Youth", A815&lt;=50, "Adult", A815&gt;50, "Older")</f>
        <v>Adult</v>
      </c>
      <c r="I815" t="str" cm="1">
        <f t="array" ref="I815">_xlfn.IFS(A815&lt;=25,"18-25",A815&lt;=35,"26-35",A815&lt;=45,"36-45",A815&lt;=60,"46-60",A815&gt;60,"60+")</f>
        <v>36-45</v>
      </c>
      <c r="J815" t="str" cm="1">
        <f t="array" ref="J815">_xlfn.IFS(C815&lt;18.5,"Underweight",C815&lt;25,"Normal",C815&lt;30,"Overweight",C815&gt;=30,"Obese")</f>
        <v>Obese</v>
      </c>
      <c r="K815" t="str" cm="1">
        <f t="array" ref="K815">_xlfn.IFS(G815&lt;10000, "Low", G815&lt;=25000, "Medium", G815&gt;25000, "High")</f>
        <v>Medium</v>
      </c>
    </row>
    <row r="816" spans="1:11" x14ac:dyDescent="0.3">
      <c r="A816">
        <v>45</v>
      </c>
      <c r="B816" s="1" t="s">
        <v>7</v>
      </c>
      <c r="C816">
        <v>32.204999999999998</v>
      </c>
      <c r="D816">
        <v>1</v>
      </c>
      <c r="E816" t="s">
        <v>10</v>
      </c>
      <c r="F816" t="s">
        <v>12</v>
      </c>
      <c r="G816" s="2">
        <v>11566.30055</v>
      </c>
      <c r="H816" t="str" cm="1">
        <f t="array" ref="H816">_xlfn.IFS(A816&lt;=30, "Youth", A816&lt;=50, "Adult", A816&gt;50, "Older")</f>
        <v>Adult</v>
      </c>
      <c r="I816" t="str" cm="1">
        <f t="array" ref="I816">_xlfn.IFS(A816&lt;=25,"18-25",A816&lt;=35,"26-35",A816&lt;=45,"36-45",A816&lt;=60,"46-60",A816&gt;60,"60+")</f>
        <v>36-45</v>
      </c>
      <c r="J816" t="str" cm="1">
        <f t="array" ref="J816">_xlfn.IFS(C816&lt;18.5,"Underweight",C816&lt;25,"Normal",C816&lt;30,"Overweight",C816&gt;=30,"Obese")</f>
        <v>Obese</v>
      </c>
      <c r="K816" t="str" cm="1">
        <f t="array" ref="K816">_xlfn.IFS(G816&lt;10000, "Low", G816&lt;=25000, "Medium", G816&gt;25000, "High")</f>
        <v>Medium</v>
      </c>
    </row>
    <row r="817" spans="1:11" x14ac:dyDescent="0.3">
      <c r="A817">
        <v>45</v>
      </c>
      <c r="B817" s="1" t="s">
        <v>7</v>
      </c>
      <c r="C817">
        <v>32.204999999999998</v>
      </c>
      <c r="D817">
        <v>1</v>
      </c>
      <c r="E817" t="s">
        <v>10</v>
      </c>
      <c r="F817" t="s">
        <v>13</v>
      </c>
      <c r="G817" s="2">
        <v>11576.13</v>
      </c>
      <c r="H817" t="str" cm="1">
        <f t="array" ref="H817">_xlfn.IFS(A817&lt;=30, "Youth", A817&lt;=50, "Adult", A817&gt;50, "Older")</f>
        <v>Adult</v>
      </c>
      <c r="I817" t="str" cm="1">
        <f t="array" ref="I817">_xlfn.IFS(A817&lt;=25,"18-25",A817&lt;=35,"26-35",A817&lt;=45,"36-45",A817&lt;=60,"46-60",A817&gt;60,"60+")</f>
        <v>36-45</v>
      </c>
      <c r="J817" t="str" cm="1">
        <f t="array" ref="J817">_xlfn.IFS(C817&lt;18.5,"Underweight",C817&lt;25,"Normal",C817&lt;30,"Overweight",C817&gt;=30,"Obese")</f>
        <v>Obese</v>
      </c>
      <c r="K817" t="str" cm="1">
        <f t="array" ref="K817">_xlfn.IFS(G817&lt;10000, "Low", G817&lt;=25000, "Medium", G817&gt;25000, "High")</f>
        <v>Medium</v>
      </c>
    </row>
    <row r="818" spans="1:11" x14ac:dyDescent="0.3">
      <c r="A818">
        <v>45</v>
      </c>
      <c r="B818" s="1" t="s">
        <v>8</v>
      </c>
      <c r="C818">
        <v>32.229999999999997</v>
      </c>
      <c r="D818">
        <v>1</v>
      </c>
      <c r="E818" t="s">
        <v>10</v>
      </c>
      <c r="F818" t="s">
        <v>11</v>
      </c>
      <c r="G818" s="2">
        <v>11657.7189</v>
      </c>
      <c r="H818" t="str" cm="1">
        <f t="array" ref="H818">_xlfn.IFS(A818&lt;=30, "Youth", A818&lt;=50, "Adult", A818&gt;50, "Older")</f>
        <v>Adult</v>
      </c>
      <c r="I818" t="str" cm="1">
        <f t="array" ref="I818">_xlfn.IFS(A818&lt;=25,"18-25",A818&lt;=35,"26-35",A818&lt;=45,"36-45",A818&lt;=60,"46-60",A818&gt;60,"60+")</f>
        <v>36-45</v>
      </c>
      <c r="J818" t="str" cm="1">
        <f t="array" ref="J818">_xlfn.IFS(C818&lt;18.5,"Underweight",C818&lt;25,"Normal",C818&lt;30,"Overweight",C818&gt;=30,"Obese")</f>
        <v>Obese</v>
      </c>
      <c r="K818" t="str" cm="1">
        <f t="array" ref="K818">_xlfn.IFS(G818&lt;10000, "Low", G818&lt;=25000, "Medium", G818&gt;25000, "High")</f>
        <v>Medium</v>
      </c>
    </row>
    <row r="819" spans="1:11" x14ac:dyDescent="0.3">
      <c r="A819">
        <v>45</v>
      </c>
      <c r="B819" s="1" t="s">
        <v>7</v>
      </c>
      <c r="C819">
        <v>32.229999999999997</v>
      </c>
      <c r="D819">
        <v>1</v>
      </c>
      <c r="E819" t="s">
        <v>9</v>
      </c>
      <c r="F819" t="s">
        <v>14</v>
      </c>
      <c r="G819" s="2">
        <v>11658.11505</v>
      </c>
      <c r="H819" t="str" cm="1">
        <f t="array" ref="H819">_xlfn.IFS(A819&lt;=30, "Youth", A819&lt;=50, "Adult", A819&gt;50, "Older")</f>
        <v>Adult</v>
      </c>
      <c r="I819" t="str" cm="1">
        <f t="array" ref="I819">_xlfn.IFS(A819&lt;=25,"18-25",A819&lt;=35,"26-35",A819&lt;=45,"36-45",A819&lt;=60,"46-60",A819&gt;60,"60+")</f>
        <v>36-45</v>
      </c>
      <c r="J819" t="str" cm="1">
        <f t="array" ref="J819">_xlfn.IFS(C819&lt;18.5,"Underweight",C819&lt;25,"Normal",C819&lt;30,"Overweight",C819&gt;=30,"Obese")</f>
        <v>Obese</v>
      </c>
      <c r="K819" t="str" cm="1">
        <f t="array" ref="K819">_xlfn.IFS(G819&lt;10000, "Low", G819&lt;=25000, "Medium", G819&gt;25000, "High")</f>
        <v>Medium</v>
      </c>
    </row>
    <row r="820" spans="1:11" x14ac:dyDescent="0.3">
      <c r="A820">
        <v>45</v>
      </c>
      <c r="B820" s="1" t="s">
        <v>7</v>
      </c>
      <c r="C820">
        <v>32.299999999999997</v>
      </c>
      <c r="D820">
        <v>1</v>
      </c>
      <c r="E820" t="s">
        <v>9</v>
      </c>
      <c r="F820" t="s">
        <v>13</v>
      </c>
      <c r="G820" s="2">
        <v>11658.379150000001</v>
      </c>
      <c r="H820" t="str" cm="1">
        <f t="array" ref="H820">_xlfn.IFS(A820&lt;=30, "Youth", A820&lt;=50, "Adult", A820&gt;50, "Older")</f>
        <v>Adult</v>
      </c>
      <c r="I820" t="str" cm="1">
        <f t="array" ref="I820">_xlfn.IFS(A820&lt;=25,"18-25",A820&lt;=35,"26-35",A820&lt;=45,"36-45",A820&lt;=60,"46-60",A820&gt;60,"60+")</f>
        <v>36-45</v>
      </c>
      <c r="J820" t="str" cm="1">
        <f t="array" ref="J820">_xlfn.IFS(C820&lt;18.5,"Underweight",C820&lt;25,"Normal",C820&lt;30,"Overweight",C820&gt;=30,"Obese")</f>
        <v>Obese</v>
      </c>
      <c r="K820" t="str" cm="1">
        <f t="array" ref="K820">_xlfn.IFS(G820&lt;10000, "Low", G820&lt;=25000, "Medium", G820&gt;25000, "High")</f>
        <v>Medium</v>
      </c>
    </row>
    <row r="821" spans="1:11" x14ac:dyDescent="0.3">
      <c r="A821">
        <v>45</v>
      </c>
      <c r="B821" s="1" t="s">
        <v>8</v>
      </c>
      <c r="C821">
        <v>32.299999999999997</v>
      </c>
      <c r="D821">
        <v>1</v>
      </c>
      <c r="E821" t="s">
        <v>10</v>
      </c>
      <c r="F821" t="s">
        <v>11</v>
      </c>
      <c r="G821" s="2">
        <v>11674.13</v>
      </c>
      <c r="H821" t="str" cm="1">
        <f t="array" ref="H821">_xlfn.IFS(A821&lt;=30, "Youth", A821&lt;=50, "Adult", A821&gt;50, "Older")</f>
        <v>Adult</v>
      </c>
      <c r="I821" t="str" cm="1">
        <f t="array" ref="I821">_xlfn.IFS(A821&lt;=25,"18-25",A821&lt;=35,"26-35",A821&lt;=45,"36-45",A821&lt;=60,"46-60",A821&gt;60,"60+")</f>
        <v>36-45</v>
      </c>
      <c r="J821" t="str" cm="1">
        <f t="array" ref="J821">_xlfn.IFS(C821&lt;18.5,"Underweight",C821&lt;25,"Normal",C821&lt;30,"Overweight",C821&gt;=30,"Obese")</f>
        <v>Obese</v>
      </c>
      <c r="K821" t="str" cm="1">
        <f t="array" ref="K821">_xlfn.IFS(G821&lt;10000, "Low", G821&lt;=25000, "Medium", G821&gt;25000, "High")</f>
        <v>Medium</v>
      </c>
    </row>
    <row r="822" spans="1:11" x14ac:dyDescent="0.3">
      <c r="A822">
        <v>45</v>
      </c>
      <c r="B822" s="1" t="s">
        <v>8</v>
      </c>
      <c r="C822">
        <v>32.299999999999997</v>
      </c>
      <c r="D822">
        <v>1</v>
      </c>
      <c r="E822" t="s">
        <v>10</v>
      </c>
      <c r="F822" t="s">
        <v>13</v>
      </c>
      <c r="G822" s="2">
        <v>11729.6795</v>
      </c>
      <c r="H822" t="str" cm="1">
        <f t="array" ref="H822">_xlfn.IFS(A822&lt;=30, "Youth", A822&lt;=50, "Adult", A822&gt;50, "Older")</f>
        <v>Adult</v>
      </c>
      <c r="I822" t="str" cm="1">
        <f t="array" ref="I822">_xlfn.IFS(A822&lt;=25,"18-25",A822&lt;=35,"26-35",A822&lt;=45,"36-45",A822&lt;=60,"46-60",A822&gt;60,"60+")</f>
        <v>36-45</v>
      </c>
      <c r="J822" t="str" cm="1">
        <f t="array" ref="J822">_xlfn.IFS(C822&lt;18.5,"Underweight",C822&lt;25,"Normal",C822&lt;30,"Overweight",C822&gt;=30,"Obese")</f>
        <v>Obese</v>
      </c>
      <c r="K822" t="str" cm="1">
        <f t="array" ref="K822">_xlfn.IFS(G822&lt;10000, "Low", G822&lt;=25000, "Medium", G822&gt;25000, "High")</f>
        <v>Medium</v>
      </c>
    </row>
    <row r="823" spans="1:11" x14ac:dyDescent="0.3">
      <c r="A823">
        <v>45</v>
      </c>
      <c r="B823" s="1" t="s">
        <v>7</v>
      </c>
      <c r="C823">
        <v>32.299999999999997</v>
      </c>
      <c r="D823">
        <v>1</v>
      </c>
      <c r="E823" t="s">
        <v>10</v>
      </c>
      <c r="F823" t="s">
        <v>12</v>
      </c>
      <c r="G823" s="2">
        <v>11735.87905</v>
      </c>
      <c r="H823" t="str" cm="1">
        <f t="array" ref="H823">_xlfn.IFS(A823&lt;=30, "Youth", A823&lt;=50, "Adult", A823&gt;50, "Older")</f>
        <v>Adult</v>
      </c>
      <c r="I823" t="str" cm="1">
        <f t="array" ref="I823">_xlfn.IFS(A823&lt;=25,"18-25",A823&lt;=35,"26-35",A823&lt;=45,"36-45",A823&lt;=60,"46-60",A823&gt;60,"60+")</f>
        <v>36-45</v>
      </c>
      <c r="J823" t="str" cm="1">
        <f t="array" ref="J823">_xlfn.IFS(C823&lt;18.5,"Underweight",C823&lt;25,"Normal",C823&lt;30,"Overweight",C823&gt;=30,"Obese")</f>
        <v>Obese</v>
      </c>
      <c r="K823" t="str" cm="1">
        <f t="array" ref="K823">_xlfn.IFS(G823&lt;10000, "Low", G823&lt;=25000, "Medium", G823&gt;25000, "High")</f>
        <v>Medium</v>
      </c>
    </row>
    <row r="824" spans="1:11" x14ac:dyDescent="0.3">
      <c r="A824">
        <v>45</v>
      </c>
      <c r="B824" s="1" t="s">
        <v>7</v>
      </c>
      <c r="C824">
        <v>32.299999999999997</v>
      </c>
      <c r="D824">
        <v>1</v>
      </c>
      <c r="E824" t="s">
        <v>10</v>
      </c>
      <c r="F824" t="s">
        <v>12</v>
      </c>
      <c r="G824" s="2">
        <v>11737.848840000001</v>
      </c>
      <c r="H824" t="str" cm="1">
        <f t="array" ref="H824">_xlfn.IFS(A824&lt;=30, "Youth", A824&lt;=50, "Adult", A824&gt;50, "Older")</f>
        <v>Adult</v>
      </c>
      <c r="I824" t="str" cm="1">
        <f t="array" ref="I824">_xlfn.IFS(A824&lt;=25,"18-25",A824&lt;=35,"26-35",A824&lt;=45,"36-45",A824&lt;=60,"46-60",A824&gt;60,"60+")</f>
        <v>36-45</v>
      </c>
      <c r="J824" t="str" cm="1">
        <f t="array" ref="J824">_xlfn.IFS(C824&lt;18.5,"Underweight",C824&lt;25,"Normal",C824&lt;30,"Overweight",C824&gt;=30,"Obese")</f>
        <v>Obese</v>
      </c>
      <c r="K824" t="str" cm="1">
        <f t="array" ref="K824">_xlfn.IFS(G824&lt;10000, "Low", G824&lt;=25000, "Medium", G824&gt;25000, "High")</f>
        <v>Medium</v>
      </c>
    </row>
    <row r="825" spans="1:11" x14ac:dyDescent="0.3">
      <c r="A825">
        <v>45</v>
      </c>
      <c r="B825" s="1" t="s">
        <v>8</v>
      </c>
      <c r="C825">
        <v>32.299999999999997</v>
      </c>
      <c r="D825">
        <v>1</v>
      </c>
      <c r="E825" t="s">
        <v>10</v>
      </c>
      <c r="F825" t="s">
        <v>13</v>
      </c>
      <c r="G825" s="2">
        <v>11741.726000000001</v>
      </c>
      <c r="H825" t="str" cm="1">
        <f t="array" ref="H825">_xlfn.IFS(A825&lt;=30, "Youth", A825&lt;=50, "Adult", A825&gt;50, "Older")</f>
        <v>Adult</v>
      </c>
      <c r="I825" t="str" cm="1">
        <f t="array" ref="I825">_xlfn.IFS(A825&lt;=25,"18-25",A825&lt;=35,"26-35",A825&lt;=45,"36-45",A825&lt;=60,"46-60",A825&gt;60,"60+")</f>
        <v>36-45</v>
      </c>
      <c r="J825" t="str" cm="1">
        <f t="array" ref="J825">_xlfn.IFS(C825&lt;18.5,"Underweight",C825&lt;25,"Normal",C825&lt;30,"Overweight",C825&gt;=30,"Obese")</f>
        <v>Obese</v>
      </c>
      <c r="K825" t="str" cm="1">
        <f t="array" ref="K825">_xlfn.IFS(G825&lt;10000, "Low", G825&lt;=25000, "Medium", G825&gt;25000, "High")</f>
        <v>Medium</v>
      </c>
    </row>
    <row r="826" spans="1:11" x14ac:dyDescent="0.3">
      <c r="A826">
        <v>45</v>
      </c>
      <c r="B826" s="1" t="s">
        <v>7</v>
      </c>
      <c r="C826">
        <v>32.299999999999997</v>
      </c>
      <c r="D826">
        <v>1</v>
      </c>
      <c r="E826" t="s">
        <v>10</v>
      </c>
      <c r="F826" t="s">
        <v>14</v>
      </c>
      <c r="G826" s="2">
        <v>11743.299000000001</v>
      </c>
      <c r="H826" t="str" cm="1">
        <f t="array" ref="H826">_xlfn.IFS(A826&lt;=30, "Youth", A826&lt;=50, "Adult", A826&gt;50, "Older")</f>
        <v>Adult</v>
      </c>
      <c r="I826" t="str" cm="1">
        <f t="array" ref="I826">_xlfn.IFS(A826&lt;=25,"18-25",A826&lt;=35,"26-35",A826&lt;=45,"36-45",A826&lt;=60,"46-60",A826&gt;60,"60+")</f>
        <v>36-45</v>
      </c>
      <c r="J826" t="str" cm="1">
        <f t="array" ref="J826">_xlfn.IFS(C826&lt;18.5,"Underweight",C826&lt;25,"Normal",C826&lt;30,"Overweight",C826&gt;=30,"Obese")</f>
        <v>Obese</v>
      </c>
      <c r="K826" t="str" cm="1">
        <f t="array" ref="K826">_xlfn.IFS(G826&lt;10000, "Low", G826&lt;=25000, "Medium", G826&gt;25000, "High")</f>
        <v>Medium</v>
      </c>
    </row>
    <row r="827" spans="1:11" x14ac:dyDescent="0.3">
      <c r="A827">
        <v>45</v>
      </c>
      <c r="B827" s="1" t="s">
        <v>8</v>
      </c>
      <c r="C827">
        <v>32.299999999999997</v>
      </c>
      <c r="D827">
        <v>1</v>
      </c>
      <c r="E827" t="s">
        <v>9</v>
      </c>
      <c r="F827" t="s">
        <v>12</v>
      </c>
      <c r="G827" s="2">
        <v>11743.9341</v>
      </c>
      <c r="H827" t="str" cm="1">
        <f t="array" ref="H827">_xlfn.IFS(A827&lt;=30, "Youth", A827&lt;=50, "Adult", A827&gt;50, "Older")</f>
        <v>Adult</v>
      </c>
      <c r="I827" t="str" cm="1">
        <f t="array" ref="I827">_xlfn.IFS(A827&lt;=25,"18-25",A827&lt;=35,"26-35",A827&lt;=45,"36-45",A827&lt;=60,"46-60",A827&gt;60,"60+")</f>
        <v>36-45</v>
      </c>
      <c r="J827" t="str" cm="1">
        <f t="array" ref="J827">_xlfn.IFS(C827&lt;18.5,"Underweight",C827&lt;25,"Normal",C827&lt;30,"Overweight",C827&gt;=30,"Obese")</f>
        <v>Obese</v>
      </c>
      <c r="K827" t="str" cm="1">
        <f t="array" ref="K827">_xlfn.IFS(G827&lt;10000, "Low", G827&lt;=25000, "Medium", G827&gt;25000, "High")</f>
        <v>Medium</v>
      </c>
    </row>
    <row r="828" spans="1:11" x14ac:dyDescent="0.3">
      <c r="A828">
        <v>45</v>
      </c>
      <c r="B828" s="1" t="s">
        <v>8</v>
      </c>
      <c r="C828">
        <v>32.299999999999997</v>
      </c>
      <c r="D828">
        <v>1</v>
      </c>
      <c r="E828" t="s">
        <v>9</v>
      </c>
      <c r="F828" t="s">
        <v>14</v>
      </c>
      <c r="G828" s="2">
        <v>11763.000899999999</v>
      </c>
      <c r="H828" t="str" cm="1">
        <f t="array" ref="H828">_xlfn.IFS(A828&lt;=30, "Youth", A828&lt;=50, "Adult", A828&gt;50, "Older")</f>
        <v>Adult</v>
      </c>
      <c r="I828" t="str" cm="1">
        <f t="array" ref="I828">_xlfn.IFS(A828&lt;=25,"18-25",A828&lt;=35,"26-35",A828&lt;=45,"36-45",A828&lt;=60,"46-60",A828&gt;60,"60+")</f>
        <v>36-45</v>
      </c>
      <c r="J828" t="str" cm="1">
        <f t="array" ref="J828">_xlfn.IFS(C828&lt;18.5,"Underweight",C828&lt;25,"Normal",C828&lt;30,"Overweight",C828&gt;=30,"Obese")</f>
        <v>Obese</v>
      </c>
      <c r="K828" t="str" cm="1">
        <f t="array" ref="K828">_xlfn.IFS(G828&lt;10000, "Low", G828&lt;=25000, "Medium", G828&gt;25000, "High")</f>
        <v>Medium</v>
      </c>
    </row>
    <row r="829" spans="1:11" x14ac:dyDescent="0.3">
      <c r="A829">
        <v>45</v>
      </c>
      <c r="B829" s="1" t="s">
        <v>8</v>
      </c>
      <c r="C829">
        <v>32.299999999999997</v>
      </c>
      <c r="D829">
        <v>1</v>
      </c>
      <c r="E829" t="s">
        <v>9</v>
      </c>
      <c r="F829" t="s">
        <v>14</v>
      </c>
      <c r="G829" s="2">
        <v>11830.6072</v>
      </c>
      <c r="H829" t="str" cm="1">
        <f t="array" ref="H829">_xlfn.IFS(A829&lt;=30, "Youth", A829&lt;=50, "Adult", A829&gt;50, "Older")</f>
        <v>Adult</v>
      </c>
      <c r="I829" t="str" cm="1">
        <f t="array" ref="I829">_xlfn.IFS(A829&lt;=25,"18-25",A829&lt;=35,"26-35",A829&lt;=45,"36-45",A829&lt;=60,"46-60",A829&gt;60,"60+")</f>
        <v>36-45</v>
      </c>
      <c r="J829" t="str" cm="1">
        <f t="array" ref="J829">_xlfn.IFS(C829&lt;18.5,"Underweight",C829&lt;25,"Normal",C829&lt;30,"Overweight",C829&gt;=30,"Obese")</f>
        <v>Obese</v>
      </c>
      <c r="K829" t="str" cm="1">
        <f t="array" ref="K829">_xlfn.IFS(G829&lt;10000, "Low", G829&lt;=25000, "Medium", G829&gt;25000, "High")</f>
        <v>Medium</v>
      </c>
    </row>
    <row r="830" spans="1:11" x14ac:dyDescent="0.3">
      <c r="A830">
        <v>45</v>
      </c>
      <c r="B830" s="1" t="s">
        <v>8</v>
      </c>
      <c r="C830">
        <v>32.299999999999997</v>
      </c>
      <c r="D830">
        <v>1</v>
      </c>
      <c r="E830" t="s">
        <v>10</v>
      </c>
      <c r="F830" t="s">
        <v>13</v>
      </c>
      <c r="G830" s="2">
        <v>11833.782300000001</v>
      </c>
      <c r="H830" t="str" cm="1">
        <f t="array" ref="H830">_xlfn.IFS(A830&lt;=30, "Youth", A830&lt;=50, "Adult", A830&gt;50, "Older")</f>
        <v>Adult</v>
      </c>
      <c r="I830" t="str" cm="1">
        <f t="array" ref="I830">_xlfn.IFS(A830&lt;=25,"18-25",A830&lt;=35,"26-35",A830&lt;=45,"36-45",A830&lt;=60,"46-60",A830&gt;60,"60+")</f>
        <v>36-45</v>
      </c>
      <c r="J830" t="str" cm="1">
        <f t="array" ref="J830">_xlfn.IFS(C830&lt;18.5,"Underweight",C830&lt;25,"Normal",C830&lt;30,"Overweight",C830&gt;=30,"Obese")</f>
        <v>Obese</v>
      </c>
      <c r="K830" t="str" cm="1">
        <f t="array" ref="K830">_xlfn.IFS(G830&lt;10000, "Low", G830&lt;=25000, "Medium", G830&gt;25000, "High")</f>
        <v>Medium</v>
      </c>
    </row>
    <row r="831" spans="1:11" x14ac:dyDescent="0.3">
      <c r="A831">
        <v>45</v>
      </c>
      <c r="B831" s="1" t="s">
        <v>8</v>
      </c>
      <c r="C831">
        <v>32.299999999999997</v>
      </c>
      <c r="D831">
        <v>1</v>
      </c>
      <c r="E831" t="s">
        <v>10</v>
      </c>
      <c r="F831" t="s">
        <v>11</v>
      </c>
      <c r="G831" s="2">
        <v>11837.16</v>
      </c>
      <c r="H831" t="str" cm="1">
        <f t="array" ref="H831">_xlfn.IFS(A831&lt;=30, "Youth", A831&lt;=50, "Adult", A831&gt;50, "Older")</f>
        <v>Adult</v>
      </c>
      <c r="I831" t="str" cm="1">
        <f t="array" ref="I831">_xlfn.IFS(A831&lt;=25,"18-25",A831&lt;=35,"26-35",A831&lt;=45,"36-45",A831&lt;=60,"46-60",A831&gt;60,"60+")</f>
        <v>36-45</v>
      </c>
      <c r="J831" t="str" cm="1">
        <f t="array" ref="J831">_xlfn.IFS(C831&lt;18.5,"Underweight",C831&lt;25,"Normal",C831&lt;30,"Overweight",C831&gt;=30,"Obese")</f>
        <v>Obese</v>
      </c>
      <c r="K831" t="str" cm="1">
        <f t="array" ref="K831">_xlfn.IFS(G831&lt;10000, "Low", G831&lt;=25000, "Medium", G831&gt;25000, "High")</f>
        <v>Medium</v>
      </c>
    </row>
    <row r="832" spans="1:11" x14ac:dyDescent="0.3">
      <c r="A832">
        <v>45</v>
      </c>
      <c r="B832" s="1" t="s">
        <v>7</v>
      </c>
      <c r="C832">
        <v>32.299999999999997</v>
      </c>
      <c r="D832">
        <v>1</v>
      </c>
      <c r="E832" t="s">
        <v>10</v>
      </c>
      <c r="F832" t="s">
        <v>13</v>
      </c>
      <c r="G832" s="2">
        <v>11840.77505</v>
      </c>
      <c r="H832" t="str" cm="1">
        <f t="array" ref="H832">_xlfn.IFS(A832&lt;=30, "Youth", A832&lt;=50, "Adult", A832&gt;50, "Older")</f>
        <v>Adult</v>
      </c>
      <c r="I832" t="str" cm="1">
        <f t="array" ref="I832">_xlfn.IFS(A832&lt;=25,"18-25",A832&lt;=35,"26-35",A832&lt;=45,"36-45",A832&lt;=60,"46-60",A832&gt;60,"60+")</f>
        <v>36-45</v>
      </c>
      <c r="J832" t="str" cm="1">
        <f t="array" ref="J832">_xlfn.IFS(C832&lt;18.5,"Underweight",C832&lt;25,"Normal",C832&lt;30,"Overweight",C832&gt;=30,"Obese")</f>
        <v>Obese</v>
      </c>
      <c r="K832" t="str" cm="1">
        <f t="array" ref="K832">_xlfn.IFS(G832&lt;10000, "Low", G832&lt;=25000, "Medium", G832&gt;25000, "High")</f>
        <v>Medium</v>
      </c>
    </row>
    <row r="833" spans="1:11" x14ac:dyDescent="0.3">
      <c r="A833">
        <v>45</v>
      </c>
      <c r="B833" s="1" t="s">
        <v>7</v>
      </c>
      <c r="C833">
        <v>32.340000000000003</v>
      </c>
      <c r="D833">
        <v>1</v>
      </c>
      <c r="E833" t="s">
        <v>10</v>
      </c>
      <c r="F833" t="s">
        <v>13</v>
      </c>
      <c r="G833" s="2">
        <v>11842.441999999999</v>
      </c>
      <c r="H833" t="str" cm="1">
        <f t="array" ref="H833">_xlfn.IFS(A833&lt;=30, "Youth", A833&lt;=50, "Adult", A833&gt;50, "Older")</f>
        <v>Adult</v>
      </c>
      <c r="I833" t="str" cm="1">
        <f t="array" ref="I833">_xlfn.IFS(A833&lt;=25,"18-25",A833&lt;=35,"26-35",A833&lt;=45,"36-45",A833&lt;=60,"46-60",A833&gt;60,"60+")</f>
        <v>36-45</v>
      </c>
      <c r="J833" t="str" cm="1">
        <f t="array" ref="J833">_xlfn.IFS(C833&lt;18.5,"Underweight",C833&lt;25,"Normal",C833&lt;30,"Overweight",C833&gt;=30,"Obese")</f>
        <v>Obese</v>
      </c>
      <c r="K833" t="str" cm="1">
        <f t="array" ref="K833">_xlfn.IFS(G833&lt;10000, "Low", G833&lt;=25000, "Medium", G833&gt;25000, "High")</f>
        <v>Medium</v>
      </c>
    </row>
    <row r="834" spans="1:11" x14ac:dyDescent="0.3">
      <c r="A834">
        <v>45</v>
      </c>
      <c r="B834" s="1" t="s">
        <v>8</v>
      </c>
      <c r="C834">
        <v>32.340000000000003</v>
      </c>
      <c r="D834">
        <v>1</v>
      </c>
      <c r="E834" t="s">
        <v>10</v>
      </c>
      <c r="F834" t="s">
        <v>13</v>
      </c>
      <c r="G834" s="2">
        <v>11842.623750000001</v>
      </c>
      <c r="H834" t="str" cm="1">
        <f t="array" ref="H834">_xlfn.IFS(A834&lt;=30, "Youth", A834&lt;=50, "Adult", A834&gt;50, "Older")</f>
        <v>Adult</v>
      </c>
      <c r="I834" t="str" cm="1">
        <f t="array" ref="I834">_xlfn.IFS(A834&lt;=25,"18-25",A834&lt;=35,"26-35",A834&lt;=45,"36-45",A834&lt;=60,"46-60",A834&gt;60,"60+")</f>
        <v>36-45</v>
      </c>
      <c r="J834" t="str" cm="1">
        <f t="array" ref="J834">_xlfn.IFS(C834&lt;18.5,"Underweight",C834&lt;25,"Normal",C834&lt;30,"Overweight",C834&gt;=30,"Obese")</f>
        <v>Obese</v>
      </c>
      <c r="K834" t="str" cm="1">
        <f t="array" ref="K834">_xlfn.IFS(G834&lt;10000, "Low", G834&lt;=25000, "Medium", G834&gt;25000, "High")</f>
        <v>Medium</v>
      </c>
    </row>
    <row r="835" spans="1:11" x14ac:dyDescent="0.3">
      <c r="A835">
        <v>45</v>
      </c>
      <c r="B835" s="1" t="s">
        <v>8</v>
      </c>
      <c r="C835">
        <v>32.395000000000003</v>
      </c>
      <c r="D835">
        <v>1</v>
      </c>
      <c r="E835" t="s">
        <v>10</v>
      </c>
      <c r="F835" t="s">
        <v>13</v>
      </c>
      <c r="G835" s="2">
        <v>11848.141</v>
      </c>
      <c r="H835" t="str" cm="1">
        <f t="array" ref="H835">_xlfn.IFS(A835&lt;=30, "Youth", A835&lt;=50, "Adult", A835&gt;50, "Older")</f>
        <v>Adult</v>
      </c>
      <c r="I835" t="str" cm="1">
        <f t="array" ref="I835">_xlfn.IFS(A835&lt;=25,"18-25",A835&lt;=35,"26-35",A835&lt;=45,"36-45",A835&lt;=60,"46-60",A835&gt;60,"60+")</f>
        <v>36-45</v>
      </c>
      <c r="J835" t="str" cm="1">
        <f t="array" ref="J835">_xlfn.IFS(C835&lt;18.5,"Underweight",C835&lt;25,"Normal",C835&lt;30,"Overweight",C835&gt;=30,"Obese")</f>
        <v>Obese</v>
      </c>
      <c r="K835" t="str" cm="1">
        <f t="array" ref="K835">_xlfn.IFS(G835&lt;10000, "Low", G835&lt;=25000, "Medium", G835&gt;25000, "High")</f>
        <v>Medium</v>
      </c>
    </row>
    <row r="836" spans="1:11" x14ac:dyDescent="0.3">
      <c r="A836">
        <v>45</v>
      </c>
      <c r="B836" s="1" t="s">
        <v>8</v>
      </c>
      <c r="C836">
        <v>32.395000000000003</v>
      </c>
      <c r="D836">
        <v>1</v>
      </c>
      <c r="E836" t="s">
        <v>10</v>
      </c>
      <c r="F836" t="s">
        <v>12</v>
      </c>
      <c r="G836" s="2">
        <v>11856.4115</v>
      </c>
      <c r="H836" t="str" cm="1">
        <f t="array" ref="H836">_xlfn.IFS(A836&lt;=30, "Youth", A836&lt;=50, "Adult", A836&gt;50, "Older")</f>
        <v>Adult</v>
      </c>
      <c r="I836" t="str" cm="1">
        <f t="array" ref="I836">_xlfn.IFS(A836&lt;=25,"18-25",A836&lt;=35,"26-35",A836&lt;=45,"36-45",A836&lt;=60,"46-60",A836&gt;60,"60+")</f>
        <v>36-45</v>
      </c>
      <c r="J836" t="str" cm="1">
        <f t="array" ref="J836">_xlfn.IFS(C836&lt;18.5,"Underweight",C836&lt;25,"Normal",C836&lt;30,"Overweight",C836&gt;=30,"Obese")</f>
        <v>Obese</v>
      </c>
      <c r="K836" t="str" cm="1">
        <f t="array" ref="K836">_xlfn.IFS(G836&lt;10000, "Low", G836&lt;=25000, "Medium", G836&gt;25000, "High")</f>
        <v>Medium</v>
      </c>
    </row>
    <row r="837" spans="1:11" x14ac:dyDescent="0.3">
      <c r="A837">
        <v>45</v>
      </c>
      <c r="B837" s="1" t="s">
        <v>8</v>
      </c>
      <c r="C837">
        <v>32.395000000000003</v>
      </c>
      <c r="D837">
        <v>1</v>
      </c>
      <c r="E837" t="s">
        <v>10</v>
      </c>
      <c r="F837" t="s">
        <v>11</v>
      </c>
      <c r="G837" s="2">
        <v>11879.10405</v>
      </c>
      <c r="H837" t="str" cm="1">
        <f t="array" ref="H837">_xlfn.IFS(A837&lt;=30, "Youth", A837&lt;=50, "Adult", A837&gt;50, "Older")</f>
        <v>Adult</v>
      </c>
      <c r="I837" t="str" cm="1">
        <f t="array" ref="I837">_xlfn.IFS(A837&lt;=25,"18-25",A837&lt;=35,"26-35",A837&lt;=45,"36-45",A837&lt;=60,"46-60",A837&gt;60,"60+")</f>
        <v>36-45</v>
      </c>
      <c r="J837" t="str" cm="1">
        <f t="array" ref="J837">_xlfn.IFS(C837&lt;18.5,"Underweight",C837&lt;25,"Normal",C837&lt;30,"Overweight",C837&gt;=30,"Obese")</f>
        <v>Obese</v>
      </c>
      <c r="K837" t="str" cm="1">
        <f t="array" ref="K837">_xlfn.IFS(G837&lt;10000, "Low", G837&lt;=25000, "Medium", G837&gt;25000, "High")</f>
        <v>Medium</v>
      </c>
    </row>
    <row r="838" spans="1:11" x14ac:dyDescent="0.3">
      <c r="A838">
        <v>45</v>
      </c>
      <c r="B838" s="1" t="s">
        <v>7</v>
      </c>
      <c r="C838">
        <v>32.395000000000003</v>
      </c>
      <c r="D838">
        <v>1</v>
      </c>
      <c r="E838" t="s">
        <v>10</v>
      </c>
      <c r="F838" t="s">
        <v>14</v>
      </c>
      <c r="G838" s="2">
        <v>11881.358</v>
      </c>
      <c r="H838" t="str" cm="1">
        <f t="array" ref="H838">_xlfn.IFS(A838&lt;=30, "Youth", A838&lt;=50, "Adult", A838&gt;50, "Older")</f>
        <v>Adult</v>
      </c>
      <c r="I838" t="str" cm="1">
        <f t="array" ref="I838">_xlfn.IFS(A838&lt;=25,"18-25",A838&lt;=35,"26-35",A838&lt;=45,"36-45",A838&lt;=60,"46-60",A838&gt;60,"60+")</f>
        <v>36-45</v>
      </c>
      <c r="J838" t="str" cm="1">
        <f t="array" ref="J838">_xlfn.IFS(C838&lt;18.5,"Underweight",C838&lt;25,"Normal",C838&lt;30,"Overweight",C838&gt;=30,"Obese")</f>
        <v>Obese</v>
      </c>
      <c r="K838" t="str" cm="1">
        <f t="array" ref="K838">_xlfn.IFS(G838&lt;10000, "Low", G838&lt;=25000, "Medium", G838&gt;25000, "High")</f>
        <v>Medium</v>
      </c>
    </row>
    <row r="839" spans="1:11" x14ac:dyDescent="0.3">
      <c r="A839">
        <v>46</v>
      </c>
      <c r="B839" s="1" t="s">
        <v>7</v>
      </c>
      <c r="C839">
        <v>32.395000000000003</v>
      </c>
      <c r="D839">
        <v>1</v>
      </c>
      <c r="E839" t="s">
        <v>10</v>
      </c>
      <c r="F839" t="s">
        <v>14</v>
      </c>
      <c r="G839" s="2">
        <v>11881.9696</v>
      </c>
      <c r="H839" t="str" cm="1">
        <f t="array" ref="H839">_xlfn.IFS(A839&lt;=30, "Youth", A839&lt;=50, "Adult", A839&gt;50, "Older")</f>
        <v>Adult</v>
      </c>
      <c r="I839" t="str" cm="1">
        <f t="array" ref="I839">_xlfn.IFS(A839&lt;=25,"18-25",A839&lt;=35,"26-35",A839&lt;=45,"36-45",A839&lt;=60,"46-60",A839&gt;60,"60+")</f>
        <v>46-60</v>
      </c>
      <c r="J839" t="str" cm="1">
        <f t="array" ref="J839">_xlfn.IFS(C839&lt;18.5,"Underweight",C839&lt;25,"Normal",C839&lt;30,"Overweight",C839&gt;=30,"Obese")</f>
        <v>Obese</v>
      </c>
      <c r="K839" t="str" cm="1">
        <f t="array" ref="K839">_xlfn.IFS(G839&lt;10000, "Low", G839&lt;=25000, "Medium", G839&gt;25000, "High")</f>
        <v>Medium</v>
      </c>
    </row>
    <row r="840" spans="1:11" x14ac:dyDescent="0.3">
      <c r="A840">
        <v>46</v>
      </c>
      <c r="B840" s="1" t="s">
        <v>7</v>
      </c>
      <c r="C840">
        <v>32.4</v>
      </c>
      <c r="D840">
        <v>1</v>
      </c>
      <c r="E840" t="s">
        <v>10</v>
      </c>
      <c r="F840" t="s">
        <v>13</v>
      </c>
      <c r="G840" s="2">
        <v>11884.048580000001</v>
      </c>
      <c r="H840" t="str" cm="1">
        <f t="array" ref="H840">_xlfn.IFS(A840&lt;=30, "Youth", A840&lt;=50, "Adult", A840&gt;50, "Older")</f>
        <v>Adult</v>
      </c>
      <c r="I840" t="str" cm="1">
        <f t="array" ref="I840">_xlfn.IFS(A840&lt;=25,"18-25",A840&lt;=35,"26-35",A840&lt;=45,"36-45",A840&lt;=60,"46-60",A840&gt;60,"60+")</f>
        <v>46-60</v>
      </c>
      <c r="J840" t="str" cm="1">
        <f t="array" ref="J840">_xlfn.IFS(C840&lt;18.5,"Underweight",C840&lt;25,"Normal",C840&lt;30,"Overweight",C840&gt;=30,"Obese")</f>
        <v>Obese</v>
      </c>
      <c r="K840" t="str" cm="1">
        <f t="array" ref="K840">_xlfn.IFS(G840&lt;10000, "Low", G840&lt;=25000, "Medium", G840&gt;25000, "High")</f>
        <v>Medium</v>
      </c>
    </row>
    <row r="841" spans="1:11" x14ac:dyDescent="0.3">
      <c r="A841">
        <v>46</v>
      </c>
      <c r="B841" s="1" t="s">
        <v>8</v>
      </c>
      <c r="C841">
        <v>32.450000000000003</v>
      </c>
      <c r="D841">
        <v>1</v>
      </c>
      <c r="E841" t="s">
        <v>10</v>
      </c>
      <c r="F841" t="s">
        <v>11</v>
      </c>
      <c r="G841" s="2">
        <v>11931.125249999999</v>
      </c>
      <c r="H841" t="str" cm="1">
        <f t="array" ref="H841">_xlfn.IFS(A841&lt;=30, "Youth", A841&lt;=50, "Adult", A841&gt;50, "Older")</f>
        <v>Adult</v>
      </c>
      <c r="I841" t="str" cm="1">
        <f t="array" ref="I841">_xlfn.IFS(A841&lt;=25,"18-25",A841&lt;=35,"26-35",A841&lt;=45,"36-45",A841&lt;=60,"46-60",A841&gt;60,"60+")</f>
        <v>46-60</v>
      </c>
      <c r="J841" t="str" cm="1">
        <f t="array" ref="J841">_xlfn.IFS(C841&lt;18.5,"Underweight",C841&lt;25,"Normal",C841&lt;30,"Overweight",C841&gt;=30,"Obese")</f>
        <v>Obese</v>
      </c>
      <c r="K841" t="str" cm="1">
        <f t="array" ref="K841">_xlfn.IFS(G841&lt;10000, "Low", G841&lt;=25000, "Medium", G841&gt;25000, "High")</f>
        <v>Medium</v>
      </c>
    </row>
    <row r="842" spans="1:11" x14ac:dyDescent="0.3">
      <c r="A842">
        <v>46</v>
      </c>
      <c r="B842" s="1" t="s">
        <v>8</v>
      </c>
      <c r="C842">
        <v>32.49</v>
      </c>
      <c r="D842">
        <v>1</v>
      </c>
      <c r="E842" t="s">
        <v>10</v>
      </c>
      <c r="F842" t="s">
        <v>14</v>
      </c>
      <c r="G842" s="2">
        <v>11938.255950000001</v>
      </c>
      <c r="H842" t="str" cm="1">
        <f t="array" ref="H842">_xlfn.IFS(A842&lt;=30, "Youth", A842&lt;=50, "Adult", A842&gt;50, "Older")</f>
        <v>Adult</v>
      </c>
      <c r="I842" t="str" cm="1">
        <f t="array" ref="I842">_xlfn.IFS(A842&lt;=25,"18-25",A842&lt;=35,"26-35",A842&lt;=45,"36-45",A842&lt;=60,"46-60",A842&gt;60,"60+")</f>
        <v>46-60</v>
      </c>
      <c r="J842" t="str" cm="1">
        <f t="array" ref="J842">_xlfn.IFS(C842&lt;18.5,"Underweight",C842&lt;25,"Normal",C842&lt;30,"Overweight",C842&gt;=30,"Obese")</f>
        <v>Obese</v>
      </c>
      <c r="K842" t="str" cm="1">
        <f t="array" ref="K842">_xlfn.IFS(G842&lt;10000, "Low", G842&lt;=25000, "Medium", G842&gt;25000, "High")</f>
        <v>Medium</v>
      </c>
    </row>
    <row r="843" spans="1:11" x14ac:dyDescent="0.3">
      <c r="A843">
        <v>46</v>
      </c>
      <c r="B843" s="1" t="s">
        <v>7</v>
      </c>
      <c r="C843">
        <v>32.49</v>
      </c>
      <c r="D843">
        <v>1</v>
      </c>
      <c r="E843" t="s">
        <v>9</v>
      </c>
      <c r="F843" t="s">
        <v>12</v>
      </c>
      <c r="G843" s="2">
        <v>11944.594349999999</v>
      </c>
      <c r="H843" t="str" cm="1">
        <f t="array" ref="H843">_xlfn.IFS(A843&lt;=30, "Youth", A843&lt;=50, "Adult", A843&gt;50, "Older")</f>
        <v>Adult</v>
      </c>
      <c r="I843" t="str" cm="1">
        <f t="array" ref="I843">_xlfn.IFS(A843&lt;=25,"18-25",A843&lt;=35,"26-35",A843&lt;=45,"36-45",A843&lt;=60,"46-60",A843&gt;60,"60+")</f>
        <v>46-60</v>
      </c>
      <c r="J843" t="str" cm="1">
        <f t="array" ref="J843">_xlfn.IFS(C843&lt;18.5,"Underweight",C843&lt;25,"Normal",C843&lt;30,"Overweight",C843&gt;=30,"Obese")</f>
        <v>Obese</v>
      </c>
      <c r="K843" t="str" cm="1">
        <f t="array" ref="K843">_xlfn.IFS(G843&lt;10000, "Low", G843&lt;=25000, "Medium", G843&gt;25000, "High")</f>
        <v>Medium</v>
      </c>
    </row>
    <row r="844" spans="1:11" x14ac:dyDescent="0.3">
      <c r="A844">
        <v>46</v>
      </c>
      <c r="B844" s="1" t="s">
        <v>7</v>
      </c>
      <c r="C844">
        <v>32.5</v>
      </c>
      <c r="D844">
        <v>1</v>
      </c>
      <c r="E844" t="s">
        <v>9</v>
      </c>
      <c r="F844" t="s">
        <v>12</v>
      </c>
      <c r="G844" s="2">
        <v>11945.1327</v>
      </c>
      <c r="H844" t="str" cm="1">
        <f t="array" ref="H844">_xlfn.IFS(A844&lt;=30, "Youth", A844&lt;=50, "Adult", A844&gt;50, "Older")</f>
        <v>Adult</v>
      </c>
      <c r="I844" t="str" cm="1">
        <f t="array" ref="I844">_xlfn.IFS(A844&lt;=25,"18-25",A844&lt;=35,"26-35",A844&lt;=45,"36-45",A844&lt;=60,"46-60",A844&gt;60,"60+")</f>
        <v>46-60</v>
      </c>
      <c r="J844" t="str" cm="1">
        <f t="array" ref="J844">_xlfn.IFS(C844&lt;18.5,"Underweight",C844&lt;25,"Normal",C844&lt;30,"Overweight",C844&gt;=30,"Obese")</f>
        <v>Obese</v>
      </c>
      <c r="K844" t="str" cm="1">
        <f t="array" ref="K844">_xlfn.IFS(G844&lt;10000, "Low", G844&lt;=25000, "Medium", G844&gt;25000, "High")</f>
        <v>Medium</v>
      </c>
    </row>
    <row r="845" spans="1:11" x14ac:dyDescent="0.3">
      <c r="A845">
        <v>46</v>
      </c>
      <c r="B845" s="1" t="s">
        <v>8</v>
      </c>
      <c r="C845">
        <v>32.56</v>
      </c>
      <c r="D845">
        <v>1</v>
      </c>
      <c r="E845" t="s">
        <v>10</v>
      </c>
      <c r="F845" t="s">
        <v>14</v>
      </c>
      <c r="G845" s="2">
        <v>11946.625899999999</v>
      </c>
      <c r="H845" t="str" cm="1">
        <f t="array" ref="H845">_xlfn.IFS(A845&lt;=30, "Youth", A845&lt;=50, "Adult", A845&gt;50, "Older")</f>
        <v>Adult</v>
      </c>
      <c r="I845" t="str" cm="1">
        <f t="array" ref="I845">_xlfn.IFS(A845&lt;=25,"18-25",A845&lt;=35,"26-35",A845&lt;=45,"36-45",A845&lt;=60,"46-60",A845&gt;60,"60+")</f>
        <v>46-60</v>
      </c>
      <c r="J845" t="str" cm="1">
        <f t="array" ref="J845">_xlfn.IFS(C845&lt;18.5,"Underweight",C845&lt;25,"Normal",C845&lt;30,"Overweight",C845&gt;=30,"Obese")</f>
        <v>Obese</v>
      </c>
      <c r="K845" t="str" cm="1">
        <f t="array" ref="K845">_xlfn.IFS(G845&lt;10000, "Low", G845&lt;=25000, "Medium", G845&gt;25000, "High")</f>
        <v>Medium</v>
      </c>
    </row>
    <row r="846" spans="1:11" x14ac:dyDescent="0.3">
      <c r="A846">
        <v>46</v>
      </c>
      <c r="B846" s="1" t="s">
        <v>7</v>
      </c>
      <c r="C846">
        <v>32.56</v>
      </c>
      <c r="D846">
        <v>1</v>
      </c>
      <c r="E846" t="s">
        <v>9</v>
      </c>
      <c r="F846" t="s">
        <v>12</v>
      </c>
      <c r="G846" s="2">
        <v>11987.1682</v>
      </c>
      <c r="H846" t="str" cm="1">
        <f t="array" ref="H846">_xlfn.IFS(A846&lt;=30, "Youth", A846&lt;=50, "Adult", A846&gt;50, "Older")</f>
        <v>Adult</v>
      </c>
      <c r="I846" t="str" cm="1">
        <f t="array" ref="I846">_xlfn.IFS(A846&lt;=25,"18-25",A846&lt;=35,"26-35",A846&lt;=45,"36-45",A846&lt;=60,"46-60",A846&gt;60,"60+")</f>
        <v>46-60</v>
      </c>
      <c r="J846" t="str" cm="1">
        <f t="array" ref="J846">_xlfn.IFS(C846&lt;18.5,"Underweight",C846&lt;25,"Normal",C846&lt;30,"Overweight",C846&gt;=30,"Obese")</f>
        <v>Obese</v>
      </c>
      <c r="K846" t="str" cm="1">
        <f t="array" ref="K846">_xlfn.IFS(G846&lt;10000, "Low", G846&lt;=25000, "Medium", G846&gt;25000, "High")</f>
        <v>Medium</v>
      </c>
    </row>
    <row r="847" spans="1:11" x14ac:dyDescent="0.3">
      <c r="A847">
        <v>46</v>
      </c>
      <c r="B847" s="1" t="s">
        <v>7</v>
      </c>
      <c r="C847">
        <v>32.585000000000001</v>
      </c>
      <c r="D847">
        <v>1</v>
      </c>
      <c r="E847" t="s">
        <v>10</v>
      </c>
      <c r="F847" t="s">
        <v>11</v>
      </c>
      <c r="G847" s="2">
        <v>12029.286700000001</v>
      </c>
      <c r="H847" t="str" cm="1">
        <f t="array" ref="H847">_xlfn.IFS(A847&lt;=30, "Youth", A847&lt;=50, "Adult", A847&gt;50, "Older")</f>
        <v>Adult</v>
      </c>
      <c r="I847" t="str" cm="1">
        <f t="array" ref="I847">_xlfn.IFS(A847&lt;=25,"18-25",A847&lt;=35,"26-35",A847&lt;=45,"36-45",A847&lt;=60,"46-60",A847&gt;60,"60+")</f>
        <v>46-60</v>
      </c>
      <c r="J847" t="str" cm="1">
        <f t="array" ref="J847">_xlfn.IFS(C847&lt;18.5,"Underweight",C847&lt;25,"Normal",C847&lt;30,"Overweight",C847&gt;=30,"Obese")</f>
        <v>Obese</v>
      </c>
      <c r="K847" t="str" cm="1">
        <f t="array" ref="K847">_xlfn.IFS(G847&lt;10000, "Low", G847&lt;=25000, "Medium", G847&gt;25000, "High")</f>
        <v>Medium</v>
      </c>
    </row>
    <row r="848" spans="1:11" x14ac:dyDescent="0.3">
      <c r="A848">
        <v>46</v>
      </c>
      <c r="B848" s="1" t="s">
        <v>8</v>
      </c>
      <c r="C848">
        <v>32.6</v>
      </c>
      <c r="D848">
        <v>1</v>
      </c>
      <c r="E848" t="s">
        <v>10</v>
      </c>
      <c r="F848" t="s">
        <v>12</v>
      </c>
      <c r="G848" s="2">
        <v>12032.325999999999</v>
      </c>
      <c r="H848" t="str" cm="1">
        <f t="array" ref="H848">_xlfn.IFS(A848&lt;=30, "Youth", A848&lt;=50, "Adult", A848&gt;50, "Older")</f>
        <v>Adult</v>
      </c>
      <c r="I848" t="str" cm="1">
        <f t="array" ref="I848">_xlfn.IFS(A848&lt;=25,"18-25",A848&lt;=35,"26-35",A848&lt;=45,"36-45",A848&lt;=60,"46-60",A848&gt;60,"60+")</f>
        <v>46-60</v>
      </c>
      <c r="J848" t="str" cm="1">
        <f t="array" ref="J848">_xlfn.IFS(C848&lt;18.5,"Underweight",C848&lt;25,"Normal",C848&lt;30,"Overweight",C848&gt;=30,"Obese")</f>
        <v>Obese</v>
      </c>
      <c r="K848" t="str" cm="1">
        <f t="array" ref="K848">_xlfn.IFS(G848&lt;10000, "Low", G848&lt;=25000, "Medium", G848&gt;25000, "High")</f>
        <v>Medium</v>
      </c>
    </row>
    <row r="849" spans="1:11" x14ac:dyDescent="0.3">
      <c r="A849">
        <v>46</v>
      </c>
      <c r="B849" s="1" t="s">
        <v>7</v>
      </c>
      <c r="C849">
        <v>32.6</v>
      </c>
      <c r="D849">
        <v>1</v>
      </c>
      <c r="E849" t="s">
        <v>10</v>
      </c>
      <c r="F849" t="s">
        <v>11</v>
      </c>
      <c r="G849" s="2">
        <v>12044.342000000001</v>
      </c>
      <c r="H849" t="str" cm="1">
        <f t="array" ref="H849">_xlfn.IFS(A849&lt;=30, "Youth", A849&lt;=50, "Adult", A849&gt;50, "Older")</f>
        <v>Adult</v>
      </c>
      <c r="I849" t="str" cm="1">
        <f t="array" ref="I849">_xlfn.IFS(A849&lt;=25,"18-25",A849&lt;=35,"26-35",A849&lt;=45,"36-45",A849&lt;=60,"46-60",A849&gt;60,"60+")</f>
        <v>46-60</v>
      </c>
      <c r="J849" t="str" cm="1">
        <f t="array" ref="J849">_xlfn.IFS(C849&lt;18.5,"Underweight",C849&lt;25,"Normal",C849&lt;30,"Overweight",C849&gt;=30,"Obese")</f>
        <v>Obese</v>
      </c>
      <c r="K849" t="str" cm="1">
        <f t="array" ref="K849">_xlfn.IFS(G849&lt;10000, "Low", G849&lt;=25000, "Medium", G849&gt;25000, "High")</f>
        <v>Medium</v>
      </c>
    </row>
    <row r="850" spans="1:11" x14ac:dyDescent="0.3">
      <c r="A850">
        <v>46</v>
      </c>
      <c r="B850" s="1" t="s">
        <v>8</v>
      </c>
      <c r="C850">
        <v>32.67</v>
      </c>
      <c r="D850">
        <v>1</v>
      </c>
      <c r="E850" t="s">
        <v>10</v>
      </c>
      <c r="F850" t="s">
        <v>13</v>
      </c>
      <c r="G850" s="2">
        <v>12094.477999999999</v>
      </c>
      <c r="H850" t="str" cm="1">
        <f t="array" ref="H850">_xlfn.IFS(A850&lt;=30, "Youth", A850&lt;=50, "Adult", A850&gt;50, "Older")</f>
        <v>Adult</v>
      </c>
      <c r="I850" t="str" cm="1">
        <f t="array" ref="I850">_xlfn.IFS(A850&lt;=25,"18-25",A850&lt;=35,"26-35",A850&lt;=45,"36-45",A850&lt;=60,"46-60",A850&gt;60,"60+")</f>
        <v>46-60</v>
      </c>
      <c r="J850" t="str" cm="1">
        <f t="array" ref="J850">_xlfn.IFS(C850&lt;18.5,"Underweight",C850&lt;25,"Normal",C850&lt;30,"Overweight",C850&gt;=30,"Obese")</f>
        <v>Obese</v>
      </c>
      <c r="K850" t="str" cm="1">
        <f t="array" ref="K850">_xlfn.IFS(G850&lt;10000, "Low", G850&lt;=25000, "Medium", G850&gt;25000, "High")</f>
        <v>Medium</v>
      </c>
    </row>
    <row r="851" spans="1:11" x14ac:dyDescent="0.3">
      <c r="A851">
        <v>46</v>
      </c>
      <c r="B851" s="1" t="s">
        <v>7</v>
      </c>
      <c r="C851">
        <v>32.67</v>
      </c>
      <c r="D851">
        <v>1</v>
      </c>
      <c r="E851" t="s">
        <v>9</v>
      </c>
      <c r="F851" t="s">
        <v>14</v>
      </c>
      <c r="G851" s="2">
        <v>12096.6512</v>
      </c>
      <c r="H851" t="str" cm="1">
        <f t="array" ref="H851">_xlfn.IFS(A851&lt;=30, "Youth", A851&lt;=50, "Adult", A851&gt;50, "Older")</f>
        <v>Adult</v>
      </c>
      <c r="I851" t="str" cm="1">
        <f t="array" ref="I851">_xlfn.IFS(A851&lt;=25,"18-25",A851&lt;=35,"26-35",A851&lt;=45,"36-45",A851&lt;=60,"46-60",A851&gt;60,"60+")</f>
        <v>46-60</v>
      </c>
      <c r="J851" t="str" cm="1">
        <f t="array" ref="J851">_xlfn.IFS(C851&lt;18.5,"Underweight",C851&lt;25,"Normal",C851&lt;30,"Overweight",C851&gt;=30,"Obese")</f>
        <v>Obese</v>
      </c>
      <c r="K851" t="str" cm="1">
        <f t="array" ref="K851">_xlfn.IFS(G851&lt;10000, "Low", G851&lt;=25000, "Medium", G851&gt;25000, "High")</f>
        <v>Medium</v>
      </c>
    </row>
    <row r="852" spans="1:11" x14ac:dyDescent="0.3">
      <c r="A852">
        <v>46</v>
      </c>
      <c r="B852" s="1" t="s">
        <v>8</v>
      </c>
      <c r="C852">
        <v>32.68</v>
      </c>
      <c r="D852">
        <v>1</v>
      </c>
      <c r="E852" t="s">
        <v>10</v>
      </c>
      <c r="F852" t="s">
        <v>13</v>
      </c>
      <c r="G852" s="2">
        <v>12105.32</v>
      </c>
      <c r="H852" t="str" cm="1">
        <f t="array" ref="H852">_xlfn.IFS(A852&lt;=30, "Youth", A852&lt;=50, "Adult", A852&gt;50, "Older")</f>
        <v>Adult</v>
      </c>
      <c r="I852" t="str" cm="1">
        <f t="array" ref="I852">_xlfn.IFS(A852&lt;=25,"18-25",A852&lt;=35,"26-35",A852&lt;=45,"36-45",A852&lt;=60,"46-60",A852&gt;60,"60+")</f>
        <v>46-60</v>
      </c>
      <c r="J852" t="str" cm="1">
        <f t="array" ref="J852">_xlfn.IFS(C852&lt;18.5,"Underweight",C852&lt;25,"Normal",C852&lt;30,"Overweight",C852&gt;=30,"Obese")</f>
        <v>Obese</v>
      </c>
      <c r="K852" t="str" cm="1">
        <f t="array" ref="K852">_xlfn.IFS(G852&lt;10000, "Low", G852&lt;=25000, "Medium", G852&gt;25000, "High")</f>
        <v>Medium</v>
      </c>
    </row>
    <row r="853" spans="1:11" x14ac:dyDescent="0.3">
      <c r="A853">
        <v>46</v>
      </c>
      <c r="B853" s="1" t="s">
        <v>7</v>
      </c>
      <c r="C853">
        <v>32.68</v>
      </c>
      <c r="D853">
        <v>1</v>
      </c>
      <c r="E853" t="s">
        <v>9</v>
      </c>
      <c r="F853" t="s">
        <v>14</v>
      </c>
      <c r="G853" s="2">
        <v>12124.992399999999</v>
      </c>
      <c r="H853" t="str" cm="1">
        <f t="array" ref="H853">_xlfn.IFS(A853&lt;=30, "Youth", A853&lt;=50, "Adult", A853&gt;50, "Older")</f>
        <v>Adult</v>
      </c>
      <c r="I853" t="str" cm="1">
        <f t="array" ref="I853">_xlfn.IFS(A853&lt;=25,"18-25",A853&lt;=35,"26-35",A853&lt;=45,"36-45",A853&lt;=60,"46-60",A853&gt;60,"60+")</f>
        <v>46-60</v>
      </c>
      <c r="J853" t="str" cm="1">
        <f t="array" ref="J853">_xlfn.IFS(C853&lt;18.5,"Underweight",C853&lt;25,"Normal",C853&lt;30,"Overweight",C853&gt;=30,"Obese")</f>
        <v>Obese</v>
      </c>
      <c r="K853" t="str" cm="1">
        <f t="array" ref="K853">_xlfn.IFS(G853&lt;10000, "Low", G853&lt;=25000, "Medium", G853&gt;25000, "High")</f>
        <v>Medium</v>
      </c>
    </row>
    <row r="854" spans="1:11" x14ac:dyDescent="0.3">
      <c r="A854">
        <v>46</v>
      </c>
      <c r="B854" s="1" t="s">
        <v>7</v>
      </c>
      <c r="C854">
        <v>32.68</v>
      </c>
      <c r="D854">
        <v>1</v>
      </c>
      <c r="E854" t="s">
        <v>10</v>
      </c>
      <c r="F854" t="s">
        <v>14</v>
      </c>
      <c r="G854" s="2">
        <v>12129.614149999999</v>
      </c>
      <c r="H854" t="str" cm="1">
        <f t="array" ref="H854">_xlfn.IFS(A854&lt;=30, "Youth", A854&lt;=50, "Adult", A854&gt;50, "Older")</f>
        <v>Adult</v>
      </c>
      <c r="I854" t="str" cm="1">
        <f t="array" ref="I854">_xlfn.IFS(A854&lt;=25,"18-25",A854&lt;=35,"26-35",A854&lt;=45,"36-45",A854&lt;=60,"46-60",A854&gt;60,"60+")</f>
        <v>46-60</v>
      </c>
      <c r="J854" t="str" cm="1">
        <f t="array" ref="J854">_xlfn.IFS(C854&lt;18.5,"Underweight",C854&lt;25,"Normal",C854&lt;30,"Overweight",C854&gt;=30,"Obese")</f>
        <v>Obese</v>
      </c>
      <c r="K854" t="str" cm="1">
        <f t="array" ref="K854">_xlfn.IFS(G854&lt;10000, "Low", G854&lt;=25000, "Medium", G854&gt;25000, "High")</f>
        <v>Medium</v>
      </c>
    </row>
    <row r="855" spans="1:11" x14ac:dyDescent="0.3">
      <c r="A855">
        <v>46</v>
      </c>
      <c r="B855" s="1" t="s">
        <v>7</v>
      </c>
      <c r="C855">
        <v>32.68</v>
      </c>
      <c r="D855">
        <v>1</v>
      </c>
      <c r="E855" t="s">
        <v>9</v>
      </c>
      <c r="F855" t="s">
        <v>14</v>
      </c>
      <c r="G855" s="2">
        <v>12142.578600000001</v>
      </c>
      <c r="H855" t="str" cm="1">
        <f t="array" ref="H855">_xlfn.IFS(A855&lt;=30, "Youth", A855&lt;=50, "Adult", A855&gt;50, "Older")</f>
        <v>Adult</v>
      </c>
      <c r="I855" t="str" cm="1">
        <f t="array" ref="I855">_xlfn.IFS(A855&lt;=25,"18-25",A855&lt;=35,"26-35",A855&lt;=45,"36-45",A855&lt;=60,"46-60",A855&gt;60,"60+")</f>
        <v>46-60</v>
      </c>
      <c r="J855" t="str" cm="1">
        <f t="array" ref="J855">_xlfn.IFS(C855&lt;18.5,"Underweight",C855&lt;25,"Normal",C855&lt;30,"Overweight",C855&gt;=30,"Obese")</f>
        <v>Obese</v>
      </c>
      <c r="K855" t="str" cm="1">
        <f t="array" ref="K855">_xlfn.IFS(G855&lt;10000, "Low", G855&lt;=25000, "Medium", G855&gt;25000, "High")</f>
        <v>Medium</v>
      </c>
    </row>
    <row r="856" spans="1:11" x14ac:dyDescent="0.3">
      <c r="A856">
        <v>46</v>
      </c>
      <c r="B856" s="1" t="s">
        <v>7</v>
      </c>
      <c r="C856">
        <v>32.700000000000003</v>
      </c>
      <c r="D856">
        <v>1</v>
      </c>
      <c r="E856" t="s">
        <v>10</v>
      </c>
      <c r="F856" t="s">
        <v>11</v>
      </c>
      <c r="G856" s="2">
        <v>12146.971</v>
      </c>
      <c r="H856" t="str" cm="1">
        <f t="array" ref="H856">_xlfn.IFS(A856&lt;=30, "Youth", A856&lt;=50, "Adult", A856&gt;50, "Older")</f>
        <v>Adult</v>
      </c>
      <c r="I856" t="str" cm="1">
        <f t="array" ref="I856">_xlfn.IFS(A856&lt;=25,"18-25",A856&lt;=35,"26-35",A856&lt;=45,"36-45",A856&lt;=60,"46-60",A856&gt;60,"60+")</f>
        <v>46-60</v>
      </c>
      <c r="J856" t="str" cm="1">
        <f t="array" ref="J856">_xlfn.IFS(C856&lt;18.5,"Underweight",C856&lt;25,"Normal",C856&lt;30,"Overweight",C856&gt;=30,"Obese")</f>
        <v>Obese</v>
      </c>
      <c r="K856" t="str" cm="1">
        <f t="array" ref="K856">_xlfn.IFS(G856&lt;10000, "Low", G856&lt;=25000, "Medium", G856&gt;25000, "High")</f>
        <v>Medium</v>
      </c>
    </row>
    <row r="857" spans="1:11" x14ac:dyDescent="0.3">
      <c r="A857">
        <v>46</v>
      </c>
      <c r="B857" s="1" t="s">
        <v>7</v>
      </c>
      <c r="C857">
        <v>32.700000000000003</v>
      </c>
      <c r="D857">
        <v>1</v>
      </c>
      <c r="E857" t="s">
        <v>9</v>
      </c>
      <c r="F857" t="s">
        <v>12</v>
      </c>
      <c r="G857" s="2">
        <v>12222.898300000001</v>
      </c>
      <c r="H857" t="str" cm="1">
        <f t="array" ref="H857">_xlfn.IFS(A857&lt;=30, "Youth", A857&lt;=50, "Adult", A857&gt;50, "Older")</f>
        <v>Adult</v>
      </c>
      <c r="I857" t="str" cm="1">
        <f t="array" ref="I857">_xlfn.IFS(A857&lt;=25,"18-25",A857&lt;=35,"26-35",A857&lt;=45,"36-45",A857&lt;=60,"46-60",A857&gt;60,"60+")</f>
        <v>46-60</v>
      </c>
      <c r="J857" t="str" cm="1">
        <f t="array" ref="J857">_xlfn.IFS(C857&lt;18.5,"Underweight",C857&lt;25,"Normal",C857&lt;30,"Overweight",C857&gt;=30,"Obese")</f>
        <v>Obese</v>
      </c>
      <c r="K857" t="str" cm="1">
        <f t="array" ref="K857">_xlfn.IFS(G857&lt;10000, "Low", G857&lt;=25000, "Medium", G857&gt;25000, "High")</f>
        <v>Medium</v>
      </c>
    </row>
    <row r="858" spans="1:11" x14ac:dyDescent="0.3">
      <c r="A858">
        <v>46</v>
      </c>
      <c r="B858" s="1" t="s">
        <v>8</v>
      </c>
      <c r="C858">
        <v>32.774999999999999</v>
      </c>
      <c r="D858">
        <v>1</v>
      </c>
      <c r="E858" t="s">
        <v>9</v>
      </c>
      <c r="F858" t="s">
        <v>13</v>
      </c>
      <c r="G858" s="2">
        <v>12224.350850000001</v>
      </c>
      <c r="H858" t="str" cm="1">
        <f t="array" ref="H858">_xlfn.IFS(A858&lt;=30, "Youth", A858&lt;=50, "Adult", A858&gt;50, "Older")</f>
        <v>Adult</v>
      </c>
      <c r="I858" t="str" cm="1">
        <f t="array" ref="I858">_xlfn.IFS(A858&lt;=25,"18-25",A858&lt;=35,"26-35",A858&lt;=45,"36-45",A858&lt;=60,"46-60",A858&gt;60,"60+")</f>
        <v>46-60</v>
      </c>
      <c r="J858" t="str" cm="1">
        <f t="array" ref="J858">_xlfn.IFS(C858&lt;18.5,"Underweight",C858&lt;25,"Normal",C858&lt;30,"Overweight",C858&gt;=30,"Obese")</f>
        <v>Obese</v>
      </c>
      <c r="K858" t="str" cm="1">
        <f t="array" ref="K858">_xlfn.IFS(G858&lt;10000, "Low", G858&lt;=25000, "Medium", G858&gt;25000, "High")</f>
        <v>Medium</v>
      </c>
    </row>
    <row r="859" spans="1:11" x14ac:dyDescent="0.3">
      <c r="A859">
        <v>46</v>
      </c>
      <c r="B859" s="1" t="s">
        <v>7</v>
      </c>
      <c r="C859">
        <v>32.774999999999999</v>
      </c>
      <c r="D859">
        <v>1</v>
      </c>
      <c r="E859" t="s">
        <v>10</v>
      </c>
      <c r="F859" t="s">
        <v>12</v>
      </c>
      <c r="G859" s="2">
        <v>12231.613600000001</v>
      </c>
      <c r="H859" t="str" cm="1">
        <f t="array" ref="H859">_xlfn.IFS(A859&lt;=30, "Youth", A859&lt;=50, "Adult", A859&gt;50, "Older")</f>
        <v>Adult</v>
      </c>
      <c r="I859" t="str" cm="1">
        <f t="array" ref="I859">_xlfn.IFS(A859&lt;=25,"18-25",A859&lt;=35,"26-35",A859&lt;=45,"36-45",A859&lt;=60,"46-60",A859&gt;60,"60+")</f>
        <v>46-60</v>
      </c>
      <c r="J859" t="str" cm="1">
        <f t="array" ref="J859">_xlfn.IFS(C859&lt;18.5,"Underweight",C859&lt;25,"Normal",C859&lt;30,"Overweight",C859&gt;=30,"Obese")</f>
        <v>Obese</v>
      </c>
      <c r="K859" t="str" cm="1">
        <f t="array" ref="K859">_xlfn.IFS(G859&lt;10000, "Low", G859&lt;=25000, "Medium", G859&gt;25000, "High")</f>
        <v>Medium</v>
      </c>
    </row>
    <row r="860" spans="1:11" x14ac:dyDescent="0.3">
      <c r="A860">
        <v>46</v>
      </c>
      <c r="B860" s="1" t="s">
        <v>8</v>
      </c>
      <c r="C860">
        <v>32.774999999999999</v>
      </c>
      <c r="D860">
        <v>1</v>
      </c>
      <c r="E860" t="s">
        <v>10</v>
      </c>
      <c r="F860" t="s">
        <v>11</v>
      </c>
      <c r="G860" s="2">
        <v>12233.828</v>
      </c>
      <c r="H860" t="str" cm="1">
        <f t="array" ref="H860">_xlfn.IFS(A860&lt;=30, "Youth", A860&lt;=50, "Adult", A860&gt;50, "Older")</f>
        <v>Adult</v>
      </c>
      <c r="I860" t="str" cm="1">
        <f t="array" ref="I860">_xlfn.IFS(A860&lt;=25,"18-25",A860&lt;=35,"26-35",A860&lt;=45,"36-45",A860&lt;=60,"46-60",A860&gt;60,"60+")</f>
        <v>46-60</v>
      </c>
      <c r="J860" t="str" cm="1">
        <f t="array" ref="J860">_xlfn.IFS(C860&lt;18.5,"Underweight",C860&lt;25,"Normal",C860&lt;30,"Overweight",C860&gt;=30,"Obese")</f>
        <v>Obese</v>
      </c>
      <c r="K860" t="str" cm="1">
        <f t="array" ref="K860">_xlfn.IFS(G860&lt;10000, "Low", G860&lt;=25000, "Medium", G860&gt;25000, "High")</f>
        <v>Medium</v>
      </c>
    </row>
    <row r="861" spans="1:11" x14ac:dyDescent="0.3">
      <c r="A861">
        <v>46</v>
      </c>
      <c r="B861" s="1" t="s">
        <v>7</v>
      </c>
      <c r="C861">
        <v>32.774999999999999</v>
      </c>
      <c r="D861">
        <v>1</v>
      </c>
      <c r="E861" t="s">
        <v>9</v>
      </c>
      <c r="F861" t="s">
        <v>11</v>
      </c>
      <c r="G861" s="2">
        <v>12235.8392</v>
      </c>
      <c r="H861" t="str" cm="1">
        <f t="array" ref="H861">_xlfn.IFS(A861&lt;=30, "Youth", A861&lt;=50, "Adult", A861&gt;50, "Older")</f>
        <v>Adult</v>
      </c>
      <c r="I861" t="str" cm="1">
        <f t="array" ref="I861">_xlfn.IFS(A861&lt;=25,"18-25",A861&lt;=35,"26-35",A861&lt;=45,"36-45",A861&lt;=60,"46-60",A861&gt;60,"60+")</f>
        <v>46-60</v>
      </c>
      <c r="J861" t="str" cm="1">
        <f t="array" ref="J861">_xlfn.IFS(C861&lt;18.5,"Underweight",C861&lt;25,"Normal",C861&lt;30,"Overweight",C861&gt;=30,"Obese")</f>
        <v>Obese</v>
      </c>
      <c r="K861" t="str" cm="1">
        <f t="array" ref="K861">_xlfn.IFS(G861&lt;10000, "Low", G861&lt;=25000, "Medium", G861&gt;25000, "High")</f>
        <v>Medium</v>
      </c>
    </row>
    <row r="862" spans="1:11" x14ac:dyDescent="0.3">
      <c r="A862">
        <v>46</v>
      </c>
      <c r="B862" s="1" t="s">
        <v>7</v>
      </c>
      <c r="C862">
        <v>32.774999999999999</v>
      </c>
      <c r="D862">
        <v>1</v>
      </c>
      <c r="E862" t="s">
        <v>10</v>
      </c>
      <c r="F862" t="s">
        <v>11</v>
      </c>
      <c r="G862" s="2">
        <v>12244.531000000001</v>
      </c>
      <c r="H862" t="str" cm="1">
        <f t="array" ref="H862">_xlfn.IFS(A862&lt;=30, "Youth", A862&lt;=50, "Adult", A862&gt;50, "Older")</f>
        <v>Adult</v>
      </c>
      <c r="I862" t="str" cm="1">
        <f t="array" ref="I862">_xlfn.IFS(A862&lt;=25,"18-25",A862&lt;=35,"26-35",A862&lt;=45,"36-45",A862&lt;=60,"46-60",A862&gt;60,"60+")</f>
        <v>46-60</v>
      </c>
      <c r="J862" t="str" cm="1">
        <f t="array" ref="J862">_xlfn.IFS(C862&lt;18.5,"Underweight",C862&lt;25,"Normal",C862&lt;30,"Overweight",C862&gt;=30,"Obese")</f>
        <v>Obese</v>
      </c>
      <c r="K862" t="str" cm="1">
        <f t="array" ref="K862">_xlfn.IFS(G862&lt;10000, "Low", G862&lt;=25000, "Medium", G862&gt;25000, "High")</f>
        <v>Medium</v>
      </c>
    </row>
    <row r="863" spans="1:11" x14ac:dyDescent="0.3">
      <c r="A863">
        <v>46</v>
      </c>
      <c r="B863" s="1" t="s">
        <v>7</v>
      </c>
      <c r="C863">
        <v>32.774999999999999</v>
      </c>
      <c r="D863">
        <v>1</v>
      </c>
      <c r="E863" t="s">
        <v>10</v>
      </c>
      <c r="F863" t="s">
        <v>13</v>
      </c>
      <c r="G863" s="2">
        <v>12265.5069</v>
      </c>
      <c r="H863" t="str" cm="1">
        <f t="array" ref="H863">_xlfn.IFS(A863&lt;=30, "Youth", A863&lt;=50, "Adult", A863&gt;50, "Older")</f>
        <v>Adult</v>
      </c>
      <c r="I863" t="str" cm="1">
        <f t="array" ref="I863">_xlfn.IFS(A863&lt;=25,"18-25",A863&lt;=35,"26-35",A863&lt;=45,"36-45",A863&lt;=60,"46-60",A863&gt;60,"60+")</f>
        <v>46-60</v>
      </c>
      <c r="J863" t="str" cm="1">
        <f t="array" ref="J863">_xlfn.IFS(C863&lt;18.5,"Underweight",C863&lt;25,"Normal",C863&lt;30,"Overweight",C863&gt;=30,"Obese")</f>
        <v>Obese</v>
      </c>
      <c r="K863" t="str" cm="1">
        <f t="array" ref="K863">_xlfn.IFS(G863&lt;10000, "Low", G863&lt;=25000, "Medium", G863&gt;25000, "High")</f>
        <v>Medium</v>
      </c>
    </row>
    <row r="864" spans="1:11" x14ac:dyDescent="0.3">
      <c r="A864">
        <v>46</v>
      </c>
      <c r="B864" s="1" t="s">
        <v>7</v>
      </c>
      <c r="C864">
        <v>32.774999999999999</v>
      </c>
      <c r="D864">
        <v>1</v>
      </c>
      <c r="E864" t="s">
        <v>10</v>
      </c>
      <c r="F864" t="s">
        <v>14</v>
      </c>
      <c r="G864" s="2">
        <v>12268.632250000001</v>
      </c>
      <c r="H864" t="str" cm="1">
        <f t="array" ref="H864">_xlfn.IFS(A864&lt;=30, "Youth", A864&lt;=50, "Adult", A864&gt;50, "Older")</f>
        <v>Adult</v>
      </c>
      <c r="I864" t="str" cm="1">
        <f t="array" ref="I864">_xlfn.IFS(A864&lt;=25,"18-25",A864&lt;=35,"26-35",A864&lt;=45,"36-45",A864&lt;=60,"46-60",A864&gt;60,"60+")</f>
        <v>46-60</v>
      </c>
      <c r="J864" t="str" cm="1">
        <f t="array" ref="J864">_xlfn.IFS(C864&lt;18.5,"Underweight",C864&lt;25,"Normal",C864&lt;30,"Overweight",C864&gt;=30,"Obese")</f>
        <v>Obese</v>
      </c>
      <c r="K864" t="str" cm="1">
        <f t="array" ref="K864">_xlfn.IFS(G864&lt;10000, "Low", G864&lt;=25000, "Medium", G864&gt;25000, "High")</f>
        <v>Medium</v>
      </c>
    </row>
    <row r="865" spans="1:11" x14ac:dyDescent="0.3">
      <c r="A865">
        <v>46</v>
      </c>
      <c r="B865" s="1" t="s">
        <v>8</v>
      </c>
      <c r="C865">
        <v>32.78</v>
      </c>
      <c r="D865">
        <v>1</v>
      </c>
      <c r="E865" t="s">
        <v>10</v>
      </c>
      <c r="F865" t="s">
        <v>11</v>
      </c>
      <c r="G865" s="2">
        <v>12269.68865</v>
      </c>
      <c r="H865" t="str" cm="1">
        <f t="array" ref="H865">_xlfn.IFS(A865&lt;=30, "Youth", A865&lt;=50, "Adult", A865&gt;50, "Older")</f>
        <v>Adult</v>
      </c>
      <c r="I865" t="str" cm="1">
        <f t="array" ref="I865">_xlfn.IFS(A865&lt;=25,"18-25",A865&lt;=35,"26-35",A865&lt;=45,"36-45",A865&lt;=60,"46-60",A865&gt;60,"60+")</f>
        <v>46-60</v>
      </c>
      <c r="J865" t="str" cm="1">
        <f t="array" ref="J865">_xlfn.IFS(C865&lt;18.5,"Underweight",C865&lt;25,"Normal",C865&lt;30,"Overweight",C865&gt;=30,"Obese")</f>
        <v>Obese</v>
      </c>
      <c r="K865" t="str" cm="1">
        <f t="array" ref="K865">_xlfn.IFS(G865&lt;10000, "Low", G865&lt;=25000, "Medium", G865&gt;25000, "High")</f>
        <v>Medium</v>
      </c>
    </row>
    <row r="866" spans="1:11" x14ac:dyDescent="0.3">
      <c r="A866">
        <v>46</v>
      </c>
      <c r="B866" s="1" t="s">
        <v>8</v>
      </c>
      <c r="C866">
        <v>32.799999999999997</v>
      </c>
      <c r="D866">
        <v>1</v>
      </c>
      <c r="E866" t="s">
        <v>10</v>
      </c>
      <c r="F866" t="s">
        <v>11</v>
      </c>
      <c r="G866" s="2">
        <v>12323.936</v>
      </c>
      <c r="H866" t="str" cm="1">
        <f t="array" ref="H866">_xlfn.IFS(A866&lt;=30, "Youth", A866&lt;=50, "Adult", A866&gt;50, "Older")</f>
        <v>Adult</v>
      </c>
      <c r="I866" t="str" cm="1">
        <f t="array" ref="I866">_xlfn.IFS(A866&lt;=25,"18-25",A866&lt;=35,"26-35",A866&lt;=45,"36-45",A866&lt;=60,"46-60",A866&gt;60,"60+")</f>
        <v>46-60</v>
      </c>
      <c r="J866" t="str" cm="1">
        <f t="array" ref="J866">_xlfn.IFS(C866&lt;18.5,"Underweight",C866&lt;25,"Normal",C866&lt;30,"Overweight",C866&gt;=30,"Obese")</f>
        <v>Obese</v>
      </c>
      <c r="K866" t="str" cm="1">
        <f t="array" ref="K866">_xlfn.IFS(G866&lt;10000, "Low", G866&lt;=25000, "Medium", G866&gt;25000, "High")</f>
        <v>Medium</v>
      </c>
    </row>
    <row r="867" spans="1:11" x14ac:dyDescent="0.3">
      <c r="A867">
        <v>46</v>
      </c>
      <c r="B867" s="1" t="s">
        <v>8</v>
      </c>
      <c r="C867">
        <v>32.799999999999997</v>
      </c>
      <c r="D867">
        <v>1</v>
      </c>
      <c r="E867" t="s">
        <v>10</v>
      </c>
      <c r="F867" t="s">
        <v>12</v>
      </c>
      <c r="G867" s="2">
        <v>12333.828</v>
      </c>
      <c r="H867" t="str" cm="1">
        <f t="array" ref="H867">_xlfn.IFS(A867&lt;=30, "Youth", A867&lt;=50, "Adult", A867&gt;50, "Older")</f>
        <v>Adult</v>
      </c>
      <c r="I867" t="str" cm="1">
        <f t="array" ref="I867">_xlfn.IFS(A867&lt;=25,"18-25",A867&lt;=35,"26-35",A867&lt;=45,"36-45",A867&lt;=60,"46-60",A867&gt;60,"60+")</f>
        <v>46-60</v>
      </c>
      <c r="J867" t="str" cm="1">
        <f t="array" ref="J867">_xlfn.IFS(C867&lt;18.5,"Underweight",C867&lt;25,"Normal",C867&lt;30,"Overweight",C867&gt;=30,"Obese")</f>
        <v>Obese</v>
      </c>
      <c r="K867" t="str" cm="1">
        <f t="array" ref="K867">_xlfn.IFS(G867&lt;10000, "Low", G867&lt;=25000, "Medium", G867&gt;25000, "High")</f>
        <v>Medium</v>
      </c>
    </row>
    <row r="868" spans="1:11" x14ac:dyDescent="0.3">
      <c r="A868">
        <v>47</v>
      </c>
      <c r="B868" s="1" t="s">
        <v>8</v>
      </c>
      <c r="C868">
        <v>32.799999999999997</v>
      </c>
      <c r="D868">
        <v>1</v>
      </c>
      <c r="E868" t="s">
        <v>10</v>
      </c>
      <c r="F868" t="s">
        <v>11</v>
      </c>
      <c r="G868" s="2">
        <v>12347.172</v>
      </c>
      <c r="H868" t="str" cm="1">
        <f t="array" ref="H868">_xlfn.IFS(A868&lt;=30, "Youth", A868&lt;=50, "Adult", A868&gt;50, "Older")</f>
        <v>Adult</v>
      </c>
      <c r="I868" t="str" cm="1">
        <f t="array" ref="I868">_xlfn.IFS(A868&lt;=25,"18-25",A868&lt;=35,"26-35",A868&lt;=45,"36-45",A868&lt;=60,"46-60",A868&gt;60,"60+")</f>
        <v>46-60</v>
      </c>
      <c r="J868" t="str" cm="1">
        <f t="array" ref="J868">_xlfn.IFS(C868&lt;18.5,"Underweight",C868&lt;25,"Normal",C868&lt;30,"Overweight",C868&gt;=30,"Obese")</f>
        <v>Obese</v>
      </c>
      <c r="K868" t="str" cm="1">
        <f t="array" ref="K868">_xlfn.IFS(G868&lt;10000, "Low", G868&lt;=25000, "Medium", G868&gt;25000, "High")</f>
        <v>Medium</v>
      </c>
    </row>
    <row r="869" spans="1:11" x14ac:dyDescent="0.3">
      <c r="A869">
        <v>47</v>
      </c>
      <c r="B869" s="1" t="s">
        <v>8</v>
      </c>
      <c r="C869">
        <v>32.869999999999997</v>
      </c>
      <c r="D869">
        <v>1</v>
      </c>
      <c r="E869" t="s">
        <v>10</v>
      </c>
      <c r="F869" t="s">
        <v>14</v>
      </c>
      <c r="G869" s="2">
        <v>12363.547</v>
      </c>
      <c r="H869" t="str" cm="1">
        <f t="array" ref="H869">_xlfn.IFS(A869&lt;=30, "Youth", A869&lt;=50, "Adult", A869&gt;50, "Older")</f>
        <v>Adult</v>
      </c>
      <c r="I869" t="str" cm="1">
        <f t="array" ref="I869">_xlfn.IFS(A869&lt;=25,"18-25",A869&lt;=35,"26-35",A869&lt;=45,"36-45",A869&lt;=60,"46-60",A869&gt;60,"60+")</f>
        <v>46-60</v>
      </c>
      <c r="J869" t="str" cm="1">
        <f t="array" ref="J869">_xlfn.IFS(C869&lt;18.5,"Underweight",C869&lt;25,"Normal",C869&lt;30,"Overweight",C869&gt;=30,"Obese")</f>
        <v>Obese</v>
      </c>
      <c r="K869" t="str" cm="1">
        <f t="array" ref="K869">_xlfn.IFS(G869&lt;10000, "Low", G869&lt;=25000, "Medium", G869&gt;25000, "High")</f>
        <v>Medium</v>
      </c>
    </row>
    <row r="870" spans="1:11" x14ac:dyDescent="0.3">
      <c r="A870">
        <v>47</v>
      </c>
      <c r="B870" s="1" t="s">
        <v>7</v>
      </c>
      <c r="C870">
        <v>32.9</v>
      </c>
      <c r="D870">
        <v>1</v>
      </c>
      <c r="E870" t="s">
        <v>10</v>
      </c>
      <c r="F870" t="s">
        <v>11</v>
      </c>
      <c r="G870" s="2">
        <v>12404.8791</v>
      </c>
      <c r="H870" t="str" cm="1">
        <f t="array" ref="H870">_xlfn.IFS(A870&lt;=30, "Youth", A870&lt;=50, "Adult", A870&gt;50, "Older")</f>
        <v>Adult</v>
      </c>
      <c r="I870" t="str" cm="1">
        <f t="array" ref="I870">_xlfn.IFS(A870&lt;=25,"18-25",A870&lt;=35,"26-35",A870&lt;=45,"36-45",A870&lt;=60,"46-60",A870&gt;60,"60+")</f>
        <v>46-60</v>
      </c>
      <c r="J870" t="str" cm="1">
        <f t="array" ref="J870">_xlfn.IFS(C870&lt;18.5,"Underweight",C870&lt;25,"Normal",C870&lt;30,"Overweight",C870&gt;=30,"Obese")</f>
        <v>Obese</v>
      </c>
      <c r="K870" t="str" cm="1">
        <f t="array" ref="K870">_xlfn.IFS(G870&lt;10000, "Low", G870&lt;=25000, "Medium", G870&gt;25000, "High")</f>
        <v>Medium</v>
      </c>
    </row>
    <row r="871" spans="1:11" x14ac:dyDescent="0.3">
      <c r="A871">
        <v>47</v>
      </c>
      <c r="B871" s="1" t="s">
        <v>8</v>
      </c>
      <c r="C871">
        <v>32.9</v>
      </c>
      <c r="D871">
        <v>1</v>
      </c>
      <c r="E871" t="s">
        <v>10</v>
      </c>
      <c r="F871" t="s">
        <v>11</v>
      </c>
      <c r="G871" s="2">
        <v>12430.95335</v>
      </c>
      <c r="H871" t="str" cm="1">
        <f t="array" ref="H871">_xlfn.IFS(A871&lt;=30, "Youth", A871&lt;=50, "Adult", A871&gt;50, "Older")</f>
        <v>Adult</v>
      </c>
      <c r="I871" t="str" cm="1">
        <f t="array" ref="I871">_xlfn.IFS(A871&lt;=25,"18-25",A871&lt;=35,"26-35",A871&lt;=45,"36-45",A871&lt;=60,"46-60",A871&gt;60,"60+")</f>
        <v>46-60</v>
      </c>
      <c r="J871" t="str" cm="1">
        <f t="array" ref="J871">_xlfn.IFS(C871&lt;18.5,"Underweight",C871&lt;25,"Normal",C871&lt;30,"Overweight",C871&gt;=30,"Obese")</f>
        <v>Obese</v>
      </c>
      <c r="K871" t="str" cm="1">
        <f t="array" ref="K871">_xlfn.IFS(G871&lt;10000, "Low", G871&lt;=25000, "Medium", G871&gt;25000, "High")</f>
        <v>Medium</v>
      </c>
    </row>
    <row r="872" spans="1:11" x14ac:dyDescent="0.3">
      <c r="A872">
        <v>47</v>
      </c>
      <c r="B872" s="1" t="s">
        <v>7</v>
      </c>
      <c r="C872">
        <v>32.9</v>
      </c>
      <c r="D872">
        <v>1</v>
      </c>
      <c r="E872" t="s">
        <v>10</v>
      </c>
      <c r="F872" t="s">
        <v>12</v>
      </c>
      <c r="G872" s="2">
        <v>12475.3513</v>
      </c>
      <c r="H872" t="str" cm="1">
        <f t="array" ref="H872">_xlfn.IFS(A872&lt;=30, "Youth", A872&lt;=50, "Adult", A872&gt;50, "Older")</f>
        <v>Adult</v>
      </c>
      <c r="I872" t="str" cm="1">
        <f t="array" ref="I872">_xlfn.IFS(A872&lt;=25,"18-25",A872&lt;=35,"26-35",A872&lt;=45,"36-45",A872&lt;=60,"46-60",A872&gt;60,"60+")</f>
        <v>46-60</v>
      </c>
      <c r="J872" t="str" cm="1">
        <f t="array" ref="J872">_xlfn.IFS(C872&lt;18.5,"Underweight",C872&lt;25,"Normal",C872&lt;30,"Overweight",C872&gt;=30,"Obese")</f>
        <v>Obese</v>
      </c>
      <c r="K872" t="str" cm="1">
        <f t="array" ref="K872">_xlfn.IFS(G872&lt;10000, "Low", G872&lt;=25000, "Medium", G872&gt;25000, "High")</f>
        <v>Medium</v>
      </c>
    </row>
    <row r="873" spans="1:11" x14ac:dyDescent="0.3">
      <c r="A873">
        <v>47</v>
      </c>
      <c r="B873" s="1" t="s">
        <v>8</v>
      </c>
      <c r="C873">
        <v>32.965000000000003</v>
      </c>
      <c r="D873">
        <v>1</v>
      </c>
      <c r="E873" t="s">
        <v>10</v>
      </c>
      <c r="F873" t="s">
        <v>12</v>
      </c>
      <c r="G873" s="2">
        <v>12479.70895</v>
      </c>
      <c r="H873" t="str" cm="1">
        <f t="array" ref="H873">_xlfn.IFS(A873&lt;=30, "Youth", A873&lt;=50, "Adult", A873&gt;50, "Older")</f>
        <v>Adult</v>
      </c>
      <c r="I873" t="str" cm="1">
        <f t="array" ref="I873">_xlfn.IFS(A873&lt;=25,"18-25",A873&lt;=35,"26-35",A873&lt;=45,"36-45",A873&lt;=60,"46-60",A873&gt;60,"60+")</f>
        <v>46-60</v>
      </c>
      <c r="J873" t="str" cm="1">
        <f t="array" ref="J873">_xlfn.IFS(C873&lt;18.5,"Underweight",C873&lt;25,"Normal",C873&lt;30,"Overweight",C873&gt;=30,"Obese")</f>
        <v>Obese</v>
      </c>
      <c r="K873" t="str" cm="1">
        <f t="array" ref="K873">_xlfn.IFS(G873&lt;10000, "Low", G873&lt;=25000, "Medium", G873&gt;25000, "High")</f>
        <v>Medium</v>
      </c>
    </row>
    <row r="874" spans="1:11" x14ac:dyDescent="0.3">
      <c r="A874">
        <v>47</v>
      </c>
      <c r="B874" s="1" t="s">
        <v>8</v>
      </c>
      <c r="C874">
        <v>32.965000000000003</v>
      </c>
      <c r="D874">
        <v>1</v>
      </c>
      <c r="E874" t="s">
        <v>10</v>
      </c>
      <c r="F874" t="s">
        <v>11</v>
      </c>
      <c r="G874" s="2">
        <v>12485.8009</v>
      </c>
      <c r="H874" t="str" cm="1">
        <f t="array" ref="H874">_xlfn.IFS(A874&lt;=30, "Youth", A874&lt;=50, "Adult", A874&gt;50, "Older")</f>
        <v>Adult</v>
      </c>
      <c r="I874" t="str" cm="1">
        <f t="array" ref="I874">_xlfn.IFS(A874&lt;=25,"18-25",A874&lt;=35,"26-35",A874&lt;=45,"36-45",A874&lt;=60,"46-60",A874&gt;60,"60+")</f>
        <v>46-60</v>
      </c>
      <c r="J874" t="str" cm="1">
        <f t="array" ref="J874">_xlfn.IFS(C874&lt;18.5,"Underweight",C874&lt;25,"Normal",C874&lt;30,"Overweight",C874&gt;=30,"Obese")</f>
        <v>Obese</v>
      </c>
      <c r="K874" t="str" cm="1">
        <f t="array" ref="K874">_xlfn.IFS(G874&lt;10000, "Low", G874&lt;=25000, "Medium", G874&gt;25000, "High")</f>
        <v>Medium</v>
      </c>
    </row>
    <row r="875" spans="1:11" x14ac:dyDescent="0.3">
      <c r="A875">
        <v>47</v>
      </c>
      <c r="B875" s="1" t="s">
        <v>8</v>
      </c>
      <c r="C875">
        <v>32.965000000000003</v>
      </c>
      <c r="D875">
        <v>1</v>
      </c>
      <c r="E875" t="s">
        <v>10</v>
      </c>
      <c r="F875" t="s">
        <v>14</v>
      </c>
      <c r="G875" s="2">
        <v>12495.290849999999</v>
      </c>
      <c r="H875" t="str" cm="1">
        <f t="array" ref="H875">_xlfn.IFS(A875&lt;=30, "Youth", A875&lt;=50, "Adult", A875&gt;50, "Older")</f>
        <v>Adult</v>
      </c>
      <c r="I875" t="str" cm="1">
        <f t="array" ref="I875">_xlfn.IFS(A875&lt;=25,"18-25",A875&lt;=35,"26-35",A875&lt;=45,"36-45",A875&lt;=60,"46-60",A875&gt;60,"60+")</f>
        <v>46-60</v>
      </c>
      <c r="J875" t="str" cm="1">
        <f t="array" ref="J875">_xlfn.IFS(C875&lt;18.5,"Underweight",C875&lt;25,"Normal",C875&lt;30,"Overweight",C875&gt;=30,"Obese")</f>
        <v>Obese</v>
      </c>
      <c r="K875" t="str" cm="1">
        <f t="array" ref="K875">_xlfn.IFS(G875&lt;10000, "Low", G875&lt;=25000, "Medium", G875&gt;25000, "High")</f>
        <v>Medium</v>
      </c>
    </row>
    <row r="876" spans="1:11" x14ac:dyDescent="0.3">
      <c r="A876">
        <v>47</v>
      </c>
      <c r="B876" s="1" t="s">
        <v>7</v>
      </c>
      <c r="C876">
        <v>32.965000000000003</v>
      </c>
      <c r="D876">
        <v>1</v>
      </c>
      <c r="E876" t="s">
        <v>10</v>
      </c>
      <c r="F876" t="s">
        <v>13</v>
      </c>
      <c r="G876" s="2">
        <v>12523.604799999999</v>
      </c>
      <c r="H876" t="str" cm="1">
        <f t="array" ref="H876">_xlfn.IFS(A876&lt;=30, "Youth", A876&lt;=50, "Adult", A876&gt;50, "Older")</f>
        <v>Adult</v>
      </c>
      <c r="I876" t="str" cm="1">
        <f t="array" ref="I876">_xlfn.IFS(A876&lt;=25,"18-25",A876&lt;=35,"26-35",A876&lt;=45,"36-45",A876&lt;=60,"46-60",A876&gt;60,"60+")</f>
        <v>46-60</v>
      </c>
      <c r="J876" t="str" cm="1">
        <f t="array" ref="J876">_xlfn.IFS(C876&lt;18.5,"Underweight",C876&lt;25,"Normal",C876&lt;30,"Overweight",C876&gt;=30,"Obese")</f>
        <v>Obese</v>
      </c>
      <c r="K876" t="str" cm="1">
        <f t="array" ref="K876">_xlfn.IFS(G876&lt;10000, "Low", G876&lt;=25000, "Medium", G876&gt;25000, "High")</f>
        <v>Medium</v>
      </c>
    </row>
    <row r="877" spans="1:11" x14ac:dyDescent="0.3">
      <c r="A877">
        <v>47</v>
      </c>
      <c r="B877" s="1" t="s">
        <v>7</v>
      </c>
      <c r="C877">
        <v>33</v>
      </c>
      <c r="D877">
        <v>1</v>
      </c>
      <c r="E877" t="s">
        <v>10</v>
      </c>
      <c r="F877" t="s">
        <v>11</v>
      </c>
      <c r="G877" s="2">
        <v>12557.605299999999</v>
      </c>
      <c r="H877" t="str" cm="1">
        <f t="array" ref="H877">_xlfn.IFS(A877&lt;=30, "Youth", A877&lt;=50, "Adult", A877&gt;50, "Older")</f>
        <v>Adult</v>
      </c>
      <c r="I877" t="str" cm="1">
        <f t="array" ref="I877">_xlfn.IFS(A877&lt;=25,"18-25",A877&lt;=35,"26-35",A877&lt;=45,"36-45",A877&lt;=60,"46-60",A877&gt;60,"60+")</f>
        <v>46-60</v>
      </c>
      <c r="J877" t="str" cm="1">
        <f t="array" ref="J877">_xlfn.IFS(C877&lt;18.5,"Underweight",C877&lt;25,"Normal",C877&lt;30,"Overweight",C877&gt;=30,"Obese")</f>
        <v>Obese</v>
      </c>
      <c r="K877" t="str" cm="1">
        <f t="array" ref="K877">_xlfn.IFS(G877&lt;10000, "Low", G877&lt;=25000, "Medium", G877&gt;25000, "High")</f>
        <v>Medium</v>
      </c>
    </row>
    <row r="878" spans="1:11" x14ac:dyDescent="0.3">
      <c r="A878">
        <v>47</v>
      </c>
      <c r="B878" s="1" t="s">
        <v>8</v>
      </c>
      <c r="C878">
        <v>33</v>
      </c>
      <c r="D878">
        <v>1</v>
      </c>
      <c r="E878" t="s">
        <v>10</v>
      </c>
      <c r="F878" t="s">
        <v>12</v>
      </c>
      <c r="G878" s="2">
        <v>12574.049000000001</v>
      </c>
      <c r="H878" t="str" cm="1">
        <f t="array" ref="H878">_xlfn.IFS(A878&lt;=30, "Youth", A878&lt;=50, "Adult", A878&gt;50, "Older")</f>
        <v>Adult</v>
      </c>
      <c r="I878" t="str" cm="1">
        <f t="array" ref="I878">_xlfn.IFS(A878&lt;=25,"18-25",A878&lt;=35,"26-35",A878&lt;=45,"36-45",A878&lt;=60,"46-60",A878&gt;60,"60+")</f>
        <v>46-60</v>
      </c>
      <c r="J878" t="str" cm="1">
        <f t="array" ref="J878">_xlfn.IFS(C878&lt;18.5,"Underweight",C878&lt;25,"Normal",C878&lt;30,"Overweight",C878&gt;=30,"Obese")</f>
        <v>Obese</v>
      </c>
      <c r="K878" t="str" cm="1">
        <f t="array" ref="K878">_xlfn.IFS(G878&lt;10000, "Low", G878&lt;=25000, "Medium", G878&gt;25000, "High")</f>
        <v>Medium</v>
      </c>
    </row>
    <row r="879" spans="1:11" x14ac:dyDescent="0.3">
      <c r="A879">
        <v>47</v>
      </c>
      <c r="B879" s="1" t="s">
        <v>8</v>
      </c>
      <c r="C879">
        <v>33</v>
      </c>
      <c r="D879">
        <v>1</v>
      </c>
      <c r="E879" t="s">
        <v>10</v>
      </c>
      <c r="F879" t="s">
        <v>11</v>
      </c>
      <c r="G879" s="2">
        <v>12592.5345</v>
      </c>
      <c r="H879" t="str" cm="1">
        <f t="array" ref="H879">_xlfn.IFS(A879&lt;=30, "Youth", A879&lt;=50, "Adult", A879&gt;50, "Older")</f>
        <v>Adult</v>
      </c>
      <c r="I879" t="str" cm="1">
        <f t="array" ref="I879">_xlfn.IFS(A879&lt;=25,"18-25",A879&lt;=35,"26-35",A879&lt;=45,"36-45",A879&lt;=60,"46-60",A879&gt;60,"60+")</f>
        <v>46-60</v>
      </c>
      <c r="J879" t="str" cm="1">
        <f t="array" ref="J879">_xlfn.IFS(C879&lt;18.5,"Underweight",C879&lt;25,"Normal",C879&lt;30,"Overweight",C879&gt;=30,"Obese")</f>
        <v>Obese</v>
      </c>
      <c r="K879" t="str" cm="1">
        <f t="array" ref="K879">_xlfn.IFS(G879&lt;10000, "Low", G879&lt;=25000, "Medium", G879&gt;25000, "High")</f>
        <v>Medium</v>
      </c>
    </row>
    <row r="880" spans="1:11" x14ac:dyDescent="0.3">
      <c r="A880">
        <v>47</v>
      </c>
      <c r="B880" s="1" t="s">
        <v>7</v>
      </c>
      <c r="C880">
        <v>33</v>
      </c>
      <c r="D880">
        <v>1</v>
      </c>
      <c r="E880" t="s">
        <v>10</v>
      </c>
      <c r="F880" t="s">
        <v>11</v>
      </c>
      <c r="G880" s="2">
        <v>12609.88702</v>
      </c>
      <c r="H880" t="str" cm="1">
        <f t="array" ref="H880">_xlfn.IFS(A880&lt;=30, "Youth", A880&lt;=50, "Adult", A880&gt;50, "Older")</f>
        <v>Adult</v>
      </c>
      <c r="I880" t="str" cm="1">
        <f t="array" ref="I880">_xlfn.IFS(A880&lt;=25,"18-25",A880&lt;=35,"26-35",A880&lt;=45,"36-45",A880&lt;=60,"46-60",A880&gt;60,"60+")</f>
        <v>46-60</v>
      </c>
      <c r="J880" t="str" cm="1">
        <f t="array" ref="J880">_xlfn.IFS(C880&lt;18.5,"Underweight",C880&lt;25,"Normal",C880&lt;30,"Overweight",C880&gt;=30,"Obese")</f>
        <v>Obese</v>
      </c>
      <c r="K880" t="str" cm="1">
        <f t="array" ref="K880">_xlfn.IFS(G880&lt;10000, "Low", G880&lt;=25000, "Medium", G880&gt;25000, "High")</f>
        <v>Medium</v>
      </c>
    </row>
    <row r="881" spans="1:11" x14ac:dyDescent="0.3">
      <c r="A881">
        <v>47</v>
      </c>
      <c r="B881" s="1" t="s">
        <v>8</v>
      </c>
      <c r="C881">
        <v>33</v>
      </c>
      <c r="D881">
        <v>1</v>
      </c>
      <c r="E881" t="s">
        <v>10</v>
      </c>
      <c r="F881" t="s">
        <v>11</v>
      </c>
      <c r="G881" s="2">
        <v>12622.1795</v>
      </c>
      <c r="H881" t="str" cm="1">
        <f t="array" ref="H881">_xlfn.IFS(A881&lt;=30, "Youth", A881&lt;=50, "Adult", A881&gt;50, "Older")</f>
        <v>Adult</v>
      </c>
      <c r="I881" t="str" cm="1">
        <f t="array" ref="I881">_xlfn.IFS(A881&lt;=25,"18-25",A881&lt;=35,"26-35",A881&lt;=45,"36-45",A881&lt;=60,"46-60",A881&gt;60,"60+")</f>
        <v>46-60</v>
      </c>
      <c r="J881" t="str" cm="1">
        <f t="array" ref="J881">_xlfn.IFS(C881&lt;18.5,"Underweight",C881&lt;25,"Normal",C881&lt;30,"Overweight",C881&gt;=30,"Obese")</f>
        <v>Obese</v>
      </c>
      <c r="K881" t="str" cm="1">
        <f t="array" ref="K881">_xlfn.IFS(G881&lt;10000, "Low", G881&lt;=25000, "Medium", G881&gt;25000, "High")</f>
        <v>Medium</v>
      </c>
    </row>
    <row r="882" spans="1:11" x14ac:dyDescent="0.3">
      <c r="A882">
        <v>47</v>
      </c>
      <c r="B882" s="1" t="s">
        <v>8</v>
      </c>
      <c r="C882">
        <v>33</v>
      </c>
      <c r="D882">
        <v>1</v>
      </c>
      <c r="E882" t="s">
        <v>10</v>
      </c>
      <c r="F882" t="s">
        <v>13</v>
      </c>
      <c r="G882" s="2">
        <v>12629.1656</v>
      </c>
      <c r="H882" t="str" cm="1">
        <f t="array" ref="H882">_xlfn.IFS(A882&lt;=30, "Youth", A882&lt;=50, "Adult", A882&gt;50, "Older")</f>
        <v>Adult</v>
      </c>
      <c r="I882" t="str" cm="1">
        <f t="array" ref="I882">_xlfn.IFS(A882&lt;=25,"18-25",A882&lt;=35,"26-35",A882&lt;=45,"36-45",A882&lt;=60,"46-60",A882&gt;60,"60+")</f>
        <v>46-60</v>
      </c>
      <c r="J882" t="str" cm="1">
        <f t="array" ref="J882">_xlfn.IFS(C882&lt;18.5,"Underweight",C882&lt;25,"Normal",C882&lt;30,"Overweight",C882&gt;=30,"Obese")</f>
        <v>Obese</v>
      </c>
      <c r="K882" t="str" cm="1">
        <f t="array" ref="K882">_xlfn.IFS(G882&lt;10000, "Low", G882&lt;=25000, "Medium", G882&gt;25000, "High")</f>
        <v>Medium</v>
      </c>
    </row>
    <row r="883" spans="1:11" x14ac:dyDescent="0.3">
      <c r="A883">
        <v>47</v>
      </c>
      <c r="B883" s="1" t="s">
        <v>7</v>
      </c>
      <c r="C883">
        <v>33.06</v>
      </c>
      <c r="D883">
        <v>1</v>
      </c>
      <c r="E883" t="s">
        <v>10</v>
      </c>
      <c r="F883" t="s">
        <v>14</v>
      </c>
      <c r="G883" s="2">
        <v>12629.896699999999</v>
      </c>
      <c r="H883" t="str" cm="1">
        <f t="array" ref="H883">_xlfn.IFS(A883&lt;=30, "Youth", A883&lt;=50, "Adult", A883&gt;50, "Older")</f>
        <v>Adult</v>
      </c>
      <c r="I883" t="str" cm="1">
        <f t="array" ref="I883">_xlfn.IFS(A883&lt;=25,"18-25",A883&lt;=35,"26-35",A883&lt;=45,"36-45",A883&lt;=60,"46-60",A883&gt;60,"60+")</f>
        <v>46-60</v>
      </c>
      <c r="J883" t="str" cm="1">
        <f t="array" ref="J883">_xlfn.IFS(C883&lt;18.5,"Underweight",C883&lt;25,"Normal",C883&lt;30,"Overweight",C883&gt;=30,"Obese")</f>
        <v>Obese</v>
      </c>
      <c r="K883" t="str" cm="1">
        <f t="array" ref="K883">_xlfn.IFS(G883&lt;10000, "Low", G883&lt;=25000, "Medium", G883&gt;25000, "High")</f>
        <v>Medium</v>
      </c>
    </row>
    <row r="884" spans="1:11" x14ac:dyDescent="0.3">
      <c r="A884">
        <v>47</v>
      </c>
      <c r="B884" s="1" t="s">
        <v>7</v>
      </c>
      <c r="C884">
        <v>33.1</v>
      </c>
      <c r="D884">
        <v>1</v>
      </c>
      <c r="E884" t="s">
        <v>9</v>
      </c>
      <c r="F884" t="s">
        <v>14</v>
      </c>
      <c r="G884" s="2">
        <v>12638.195</v>
      </c>
      <c r="H884" t="str" cm="1">
        <f t="array" ref="H884">_xlfn.IFS(A884&lt;=30, "Youth", A884&lt;=50, "Adult", A884&gt;50, "Older")</f>
        <v>Adult</v>
      </c>
      <c r="I884" t="str" cm="1">
        <f t="array" ref="I884">_xlfn.IFS(A884&lt;=25,"18-25",A884&lt;=35,"26-35",A884&lt;=45,"36-45",A884&lt;=60,"46-60",A884&gt;60,"60+")</f>
        <v>46-60</v>
      </c>
      <c r="J884" t="str" cm="1">
        <f t="array" ref="J884">_xlfn.IFS(C884&lt;18.5,"Underweight",C884&lt;25,"Normal",C884&lt;30,"Overweight",C884&gt;=30,"Obese")</f>
        <v>Obese</v>
      </c>
      <c r="K884" t="str" cm="1">
        <f t="array" ref="K884">_xlfn.IFS(G884&lt;10000, "Low", G884&lt;=25000, "Medium", G884&gt;25000, "High")</f>
        <v>Medium</v>
      </c>
    </row>
    <row r="885" spans="1:11" x14ac:dyDescent="0.3">
      <c r="A885">
        <v>47</v>
      </c>
      <c r="B885" s="1" t="s">
        <v>8</v>
      </c>
      <c r="C885">
        <v>33.1</v>
      </c>
      <c r="D885">
        <v>1</v>
      </c>
      <c r="E885" t="s">
        <v>10</v>
      </c>
      <c r="F885" t="s">
        <v>13</v>
      </c>
      <c r="G885" s="2">
        <v>12643.3778</v>
      </c>
      <c r="H885" t="str" cm="1">
        <f t="array" ref="H885">_xlfn.IFS(A885&lt;=30, "Youth", A885&lt;=50, "Adult", A885&gt;50, "Older")</f>
        <v>Adult</v>
      </c>
      <c r="I885" t="str" cm="1">
        <f t="array" ref="I885">_xlfn.IFS(A885&lt;=25,"18-25",A885&lt;=35,"26-35",A885&lt;=45,"36-45",A885&lt;=60,"46-60",A885&gt;60,"60+")</f>
        <v>46-60</v>
      </c>
      <c r="J885" t="str" cm="1">
        <f t="array" ref="J885">_xlfn.IFS(C885&lt;18.5,"Underweight",C885&lt;25,"Normal",C885&lt;30,"Overweight",C885&gt;=30,"Obese")</f>
        <v>Obese</v>
      </c>
      <c r="K885" t="str" cm="1">
        <f t="array" ref="K885">_xlfn.IFS(G885&lt;10000, "Low", G885&lt;=25000, "Medium", G885&gt;25000, "High")</f>
        <v>Medium</v>
      </c>
    </row>
    <row r="886" spans="1:11" x14ac:dyDescent="0.3">
      <c r="A886">
        <v>47</v>
      </c>
      <c r="B886" s="1" t="s">
        <v>8</v>
      </c>
      <c r="C886">
        <v>33.1</v>
      </c>
      <c r="D886">
        <v>1</v>
      </c>
      <c r="E886" t="s">
        <v>9</v>
      </c>
      <c r="F886" t="s">
        <v>12</v>
      </c>
      <c r="G886" s="2">
        <v>12644.589</v>
      </c>
      <c r="H886" t="str" cm="1">
        <f t="array" ref="H886">_xlfn.IFS(A886&lt;=30, "Youth", A886&lt;=50, "Adult", A886&gt;50, "Older")</f>
        <v>Adult</v>
      </c>
      <c r="I886" t="str" cm="1">
        <f t="array" ref="I886">_xlfn.IFS(A886&lt;=25,"18-25",A886&lt;=35,"26-35",A886&lt;=45,"36-45",A886&lt;=60,"46-60",A886&gt;60,"60+")</f>
        <v>46-60</v>
      </c>
      <c r="J886" t="str" cm="1">
        <f t="array" ref="J886">_xlfn.IFS(C886&lt;18.5,"Underweight",C886&lt;25,"Normal",C886&lt;30,"Overweight",C886&gt;=30,"Obese")</f>
        <v>Obese</v>
      </c>
      <c r="K886" t="str" cm="1">
        <f t="array" ref="K886">_xlfn.IFS(G886&lt;10000, "Low", G886&lt;=25000, "Medium", G886&gt;25000, "High")</f>
        <v>Medium</v>
      </c>
    </row>
    <row r="887" spans="1:11" x14ac:dyDescent="0.3">
      <c r="A887">
        <v>47</v>
      </c>
      <c r="B887" s="1" t="s">
        <v>8</v>
      </c>
      <c r="C887">
        <v>33.1</v>
      </c>
      <c r="D887">
        <v>1</v>
      </c>
      <c r="E887" t="s">
        <v>9</v>
      </c>
      <c r="F887" t="s">
        <v>14</v>
      </c>
      <c r="G887" s="2">
        <v>12646.207</v>
      </c>
      <c r="H887" t="str" cm="1">
        <f t="array" ref="H887">_xlfn.IFS(A887&lt;=30, "Youth", A887&lt;=50, "Adult", A887&gt;50, "Older")</f>
        <v>Adult</v>
      </c>
      <c r="I887" t="str" cm="1">
        <f t="array" ref="I887">_xlfn.IFS(A887&lt;=25,"18-25",A887&lt;=35,"26-35",A887&lt;=45,"36-45",A887&lt;=60,"46-60",A887&gt;60,"60+")</f>
        <v>46-60</v>
      </c>
      <c r="J887" t="str" cm="1">
        <f t="array" ref="J887">_xlfn.IFS(C887&lt;18.5,"Underweight",C887&lt;25,"Normal",C887&lt;30,"Overweight",C887&gt;=30,"Obese")</f>
        <v>Obese</v>
      </c>
      <c r="K887" t="str" cm="1">
        <f t="array" ref="K887">_xlfn.IFS(G887&lt;10000, "Low", G887&lt;=25000, "Medium", G887&gt;25000, "High")</f>
        <v>Medium</v>
      </c>
    </row>
    <row r="888" spans="1:11" x14ac:dyDescent="0.3">
      <c r="A888">
        <v>47</v>
      </c>
      <c r="B888" s="1" t="s">
        <v>7</v>
      </c>
      <c r="C888">
        <v>33.11</v>
      </c>
      <c r="D888">
        <v>1</v>
      </c>
      <c r="E888" t="s">
        <v>10</v>
      </c>
      <c r="F888" t="s">
        <v>13</v>
      </c>
      <c r="G888" s="2">
        <v>12648.7034</v>
      </c>
      <c r="H888" t="str" cm="1">
        <f t="array" ref="H888">_xlfn.IFS(A888&lt;=30, "Youth", A888&lt;=50, "Adult", A888&gt;50, "Older")</f>
        <v>Adult</v>
      </c>
      <c r="I888" t="str" cm="1">
        <f t="array" ref="I888">_xlfn.IFS(A888&lt;=25,"18-25",A888&lt;=35,"26-35",A888&lt;=45,"36-45",A888&lt;=60,"46-60",A888&gt;60,"60+")</f>
        <v>46-60</v>
      </c>
      <c r="J888" t="str" cm="1">
        <f t="array" ref="J888">_xlfn.IFS(C888&lt;18.5,"Underweight",C888&lt;25,"Normal",C888&lt;30,"Overweight",C888&gt;=30,"Obese")</f>
        <v>Obese</v>
      </c>
      <c r="K888" t="str" cm="1">
        <f t="array" ref="K888">_xlfn.IFS(G888&lt;10000, "Low", G888&lt;=25000, "Medium", G888&gt;25000, "High")</f>
        <v>Medium</v>
      </c>
    </row>
    <row r="889" spans="1:11" x14ac:dyDescent="0.3">
      <c r="A889">
        <v>47</v>
      </c>
      <c r="B889" s="1" t="s">
        <v>8</v>
      </c>
      <c r="C889">
        <v>33.11</v>
      </c>
      <c r="D889">
        <v>1</v>
      </c>
      <c r="E889" t="s">
        <v>10</v>
      </c>
      <c r="F889" t="s">
        <v>11</v>
      </c>
      <c r="G889" s="2">
        <v>12730.999599999999</v>
      </c>
      <c r="H889" t="str" cm="1">
        <f t="array" ref="H889">_xlfn.IFS(A889&lt;=30, "Youth", A889&lt;=50, "Adult", A889&gt;50, "Older")</f>
        <v>Adult</v>
      </c>
      <c r="I889" t="str" cm="1">
        <f t="array" ref="I889">_xlfn.IFS(A889&lt;=25,"18-25",A889&lt;=35,"26-35",A889&lt;=45,"36-45",A889&lt;=60,"46-60",A889&gt;60,"60+")</f>
        <v>46-60</v>
      </c>
      <c r="J889" t="str" cm="1">
        <f t="array" ref="J889">_xlfn.IFS(C889&lt;18.5,"Underweight",C889&lt;25,"Normal",C889&lt;30,"Overweight",C889&gt;=30,"Obese")</f>
        <v>Obese</v>
      </c>
      <c r="K889" t="str" cm="1">
        <f t="array" ref="K889">_xlfn.IFS(G889&lt;10000, "Low", G889&lt;=25000, "Medium", G889&gt;25000, "High")</f>
        <v>Medium</v>
      </c>
    </row>
    <row r="890" spans="1:11" x14ac:dyDescent="0.3">
      <c r="A890">
        <v>47</v>
      </c>
      <c r="B890" s="1" t="s">
        <v>8</v>
      </c>
      <c r="C890">
        <v>33.11</v>
      </c>
      <c r="D890">
        <v>1</v>
      </c>
      <c r="E890" t="s">
        <v>10</v>
      </c>
      <c r="F890" t="s">
        <v>13</v>
      </c>
      <c r="G890" s="2">
        <v>12741.167450000001</v>
      </c>
      <c r="H890" t="str" cm="1">
        <f t="array" ref="H890">_xlfn.IFS(A890&lt;=30, "Youth", A890&lt;=50, "Adult", A890&gt;50, "Older")</f>
        <v>Adult</v>
      </c>
      <c r="I890" t="str" cm="1">
        <f t="array" ref="I890">_xlfn.IFS(A890&lt;=25,"18-25",A890&lt;=35,"26-35",A890&lt;=45,"36-45",A890&lt;=60,"46-60",A890&gt;60,"60+")</f>
        <v>46-60</v>
      </c>
      <c r="J890" t="str" cm="1">
        <f t="array" ref="J890">_xlfn.IFS(C890&lt;18.5,"Underweight",C890&lt;25,"Normal",C890&lt;30,"Overweight",C890&gt;=30,"Obese")</f>
        <v>Obese</v>
      </c>
      <c r="K890" t="str" cm="1">
        <f t="array" ref="K890">_xlfn.IFS(G890&lt;10000, "Low", G890&lt;=25000, "Medium", G890&gt;25000, "High")</f>
        <v>Medium</v>
      </c>
    </row>
    <row r="891" spans="1:11" x14ac:dyDescent="0.3">
      <c r="A891">
        <v>47</v>
      </c>
      <c r="B891" s="1" t="s">
        <v>7</v>
      </c>
      <c r="C891">
        <v>33.11</v>
      </c>
      <c r="D891">
        <v>1</v>
      </c>
      <c r="E891" t="s">
        <v>9</v>
      </c>
      <c r="F891" t="s">
        <v>13</v>
      </c>
      <c r="G891" s="2">
        <v>12797.20962</v>
      </c>
      <c r="H891" t="str" cm="1">
        <f t="array" ref="H891">_xlfn.IFS(A891&lt;=30, "Youth", A891&lt;=50, "Adult", A891&gt;50, "Older")</f>
        <v>Adult</v>
      </c>
      <c r="I891" t="str" cm="1">
        <f t="array" ref="I891">_xlfn.IFS(A891&lt;=25,"18-25",A891&lt;=35,"26-35",A891&lt;=45,"36-45",A891&lt;=60,"46-60",A891&gt;60,"60+")</f>
        <v>46-60</v>
      </c>
      <c r="J891" t="str" cm="1">
        <f t="array" ref="J891">_xlfn.IFS(C891&lt;18.5,"Underweight",C891&lt;25,"Normal",C891&lt;30,"Overweight",C891&gt;=30,"Obese")</f>
        <v>Obese</v>
      </c>
      <c r="K891" t="str" cm="1">
        <f t="array" ref="K891">_xlfn.IFS(G891&lt;10000, "Low", G891&lt;=25000, "Medium", G891&gt;25000, "High")</f>
        <v>Medium</v>
      </c>
    </row>
    <row r="892" spans="1:11" x14ac:dyDescent="0.3">
      <c r="A892">
        <v>47</v>
      </c>
      <c r="B892" s="1" t="s">
        <v>7</v>
      </c>
      <c r="C892">
        <v>33.155000000000001</v>
      </c>
      <c r="D892">
        <v>1</v>
      </c>
      <c r="E892" t="s">
        <v>10</v>
      </c>
      <c r="F892" t="s">
        <v>12</v>
      </c>
      <c r="G892" s="2">
        <v>12815.444949999999</v>
      </c>
      <c r="H892" t="str" cm="1">
        <f t="array" ref="H892">_xlfn.IFS(A892&lt;=30, "Youth", A892&lt;=50, "Adult", A892&gt;50, "Older")</f>
        <v>Adult</v>
      </c>
      <c r="I892" t="str" cm="1">
        <f t="array" ref="I892">_xlfn.IFS(A892&lt;=25,"18-25",A892&lt;=35,"26-35",A892&lt;=45,"36-45",A892&lt;=60,"46-60",A892&gt;60,"60+")</f>
        <v>46-60</v>
      </c>
      <c r="J892" t="str" cm="1">
        <f t="array" ref="J892">_xlfn.IFS(C892&lt;18.5,"Underweight",C892&lt;25,"Normal",C892&lt;30,"Overweight",C892&gt;=30,"Obese")</f>
        <v>Obese</v>
      </c>
      <c r="K892" t="str" cm="1">
        <f t="array" ref="K892">_xlfn.IFS(G892&lt;10000, "Low", G892&lt;=25000, "Medium", G892&gt;25000, "High")</f>
        <v>Medium</v>
      </c>
    </row>
    <row r="893" spans="1:11" x14ac:dyDescent="0.3">
      <c r="A893">
        <v>47</v>
      </c>
      <c r="B893" s="1" t="s">
        <v>8</v>
      </c>
      <c r="C893">
        <v>33.155000000000001</v>
      </c>
      <c r="D893">
        <v>1</v>
      </c>
      <c r="E893" t="s">
        <v>10</v>
      </c>
      <c r="F893" t="s">
        <v>14</v>
      </c>
      <c r="G893" s="2">
        <v>12829.455099999999</v>
      </c>
      <c r="H893" t="str" cm="1">
        <f t="array" ref="H893">_xlfn.IFS(A893&lt;=30, "Youth", A893&lt;=50, "Adult", A893&gt;50, "Older")</f>
        <v>Adult</v>
      </c>
      <c r="I893" t="str" cm="1">
        <f t="array" ref="I893">_xlfn.IFS(A893&lt;=25,"18-25",A893&lt;=35,"26-35",A893&lt;=45,"36-45",A893&lt;=60,"46-60",A893&gt;60,"60+")</f>
        <v>46-60</v>
      </c>
      <c r="J893" t="str" cm="1">
        <f t="array" ref="J893">_xlfn.IFS(C893&lt;18.5,"Underweight",C893&lt;25,"Normal",C893&lt;30,"Overweight",C893&gt;=30,"Obese")</f>
        <v>Obese</v>
      </c>
      <c r="K893" t="str" cm="1">
        <f t="array" ref="K893">_xlfn.IFS(G893&lt;10000, "Low", G893&lt;=25000, "Medium", G893&gt;25000, "High")</f>
        <v>Medium</v>
      </c>
    </row>
    <row r="894" spans="1:11" x14ac:dyDescent="0.3">
      <c r="A894">
        <v>47</v>
      </c>
      <c r="B894" s="1" t="s">
        <v>8</v>
      </c>
      <c r="C894">
        <v>33.155000000000001</v>
      </c>
      <c r="D894">
        <v>1</v>
      </c>
      <c r="E894" t="s">
        <v>9</v>
      </c>
      <c r="F894" t="s">
        <v>12</v>
      </c>
      <c r="G894" s="2">
        <v>12890.057650000001</v>
      </c>
      <c r="H894" t="str" cm="1">
        <f t="array" ref="H894">_xlfn.IFS(A894&lt;=30, "Youth", A894&lt;=50, "Adult", A894&gt;50, "Older")</f>
        <v>Adult</v>
      </c>
      <c r="I894" t="str" cm="1">
        <f t="array" ref="I894">_xlfn.IFS(A894&lt;=25,"18-25",A894&lt;=35,"26-35",A894&lt;=45,"36-45",A894&lt;=60,"46-60",A894&gt;60,"60+")</f>
        <v>46-60</v>
      </c>
      <c r="J894" t="str" cm="1">
        <f t="array" ref="J894">_xlfn.IFS(C894&lt;18.5,"Underweight",C894&lt;25,"Normal",C894&lt;30,"Overweight",C894&gt;=30,"Obese")</f>
        <v>Obese</v>
      </c>
      <c r="K894" t="str" cm="1">
        <f t="array" ref="K894">_xlfn.IFS(G894&lt;10000, "Low", G894&lt;=25000, "Medium", G894&gt;25000, "High")</f>
        <v>Medium</v>
      </c>
    </row>
    <row r="895" spans="1:11" x14ac:dyDescent="0.3">
      <c r="A895">
        <v>47</v>
      </c>
      <c r="B895" s="1" t="s">
        <v>8</v>
      </c>
      <c r="C895">
        <v>33.155000000000001</v>
      </c>
      <c r="D895">
        <v>1</v>
      </c>
      <c r="E895" t="s">
        <v>10</v>
      </c>
      <c r="F895" t="s">
        <v>14</v>
      </c>
      <c r="G895" s="2">
        <v>12913.992399999999</v>
      </c>
      <c r="H895" t="str" cm="1">
        <f t="array" ref="H895">_xlfn.IFS(A895&lt;=30, "Youth", A895&lt;=50, "Adult", A895&gt;50, "Older")</f>
        <v>Adult</v>
      </c>
      <c r="I895" t="str" cm="1">
        <f t="array" ref="I895">_xlfn.IFS(A895&lt;=25,"18-25",A895&lt;=35,"26-35",A895&lt;=45,"36-45",A895&lt;=60,"46-60",A895&gt;60,"60+")</f>
        <v>46-60</v>
      </c>
      <c r="J895" t="str" cm="1">
        <f t="array" ref="J895">_xlfn.IFS(C895&lt;18.5,"Underweight",C895&lt;25,"Normal",C895&lt;30,"Overweight",C895&gt;=30,"Obese")</f>
        <v>Obese</v>
      </c>
      <c r="K895" t="str" cm="1">
        <f t="array" ref="K895">_xlfn.IFS(G895&lt;10000, "Low", G895&lt;=25000, "Medium", G895&gt;25000, "High")</f>
        <v>Medium</v>
      </c>
    </row>
    <row r="896" spans="1:11" x14ac:dyDescent="0.3">
      <c r="A896">
        <v>47</v>
      </c>
      <c r="B896" s="1" t="s">
        <v>7</v>
      </c>
      <c r="C896">
        <v>33.155000000000001</v>
      </c>
      <c r="D896">
        <v>1</v>
      </c>
      <c r="E896" t="s">
        <v>10</v>
      </c>
      <c r="F896" t="s">
        <v>11</v>
      </c>
      <c r="G896" s="2">
        <v>12925.886</v>
      </c>
      <c r="H896" t="str" cm="1">
        <f t="array" ref="H896">_xlfn.IFS(A896&lt;=30, "Youth", A896&lt;=50, "Adult", A896&gt;50, "Older")</f>
        <v>Adult</v>
      </c>
      <c r="I896" t="str" cm="1">
        <f t="array" ref="I896">_xlfn.IFS(A896&lt;=25,"18-25",A896&lt;=35,"26-35",A896&lt;=45,"36-45",A896&lt;=60,"46-60",A896&gt;60,"60+")</f>
        <v>46-60</v>
      </c>
      <c r="J896" t="str" cm="1">
        <f t="array" ref="J896">_xlfn.IFS(C896&lt;18.5,"Underweight",C896&lt;25,"Normal",C896&lt;30,"Overweight",C896&gt;=30,"Obese")</f>
        <v>Obese</v>
      </c>
      <c r="K896" t="str" cm="1">
        <f t="array" ref="K896">_xlfn.IFS(G896&lt;10000, "Low", G896&lt;=25000, "Medium", G896&gt;25000, "High")</f>
        <v>Medium</v>
      </c>
    </row>
    <row r="897" spans="1:11" x14ac:dyDescent="0.3">
      <c r="A897">
        <v>48</v>
      </c>
      <c r="B897" s="1" t="s">
        <v>7</v>
      </c>
      <c r="C897">
        <v>33.200000000000003</v>
      </c>
      <c r="D897">
        <v>1</v>
      </c>
      <c r="E897" t="s">
        <v>9</v>
      </c>
      <c r="F897" t="s">
        <v>14</v>
      </c>
      <c r="G897" s="2">
        <v>12928.7911</v>
      </c>
      <c r="H897" t="str" cm="1">
        <f t="array" ref="H897">_xlfn.IFS(A897&lt;=30, "Youth", A897&lt;=50, "Adult", A897&gt;50, "Older")</f>
        <v>Adult</v>
      </c>
      <c r="I897" t="str" cm="1">
        <f t="array" ref="I897">_xlfn.IFS(A897&lt;=25,"18-25",A897&lt;=35,"26-35",A897&lt;=45,"36-45",A897&lt;=60,"46-60",A897&gt;60,"60+")</f>
        <v>46-60</v>
      </c>
      <c r="J897" t="str" cm="1">
        <f t="array" ref="J897">_xlfn.IFS(C897&lt;18.5,"Underweight",C897&lt;25,"Normal",C897&lt;30,"Overweight",C897&gt;=30,"Obese")</f>
        <v>Obese</v>
      </c>
      <c r="K897" t="str" cm="1">
        <f t="array" ref="K897">_xlfn.IFS(G897&lt;10000, "Low", G897&lt;=25000, "Medium", G897&gt;25000, "High")</f>
        <v>Medium</v>
      </c>
    </row>
    <row r="898" spans="1:11" x14ac:dyDescent="0.3">
      <c r="A898">
        <v>48</v>
      </c>
      <c r="B898" s="1" t="s">
        <v>8</v>
      </c>
      <c r="C898">
        <v>33.25</v>
      </c>
      <c r="D898">
        <v>1</v>
      </c>
      <c r="E898" t="s">
        <v>10</v>
      </c>
      <c r="F898" t="s">
        <v>13</v>
      </c>
      <c r="G898" s="2">
        <v>12949.1554</v>
      </c>
      <c r="H898" t="str" cm="1">
        <f t="array" ref="H898">_xlfn.IFS(A898&lt;=30, "Youth", A898&lt;=50, "Adult", A898&gt;50, "Older")</f>
        <v>Adult</v>
      </c>
      <c r="I898" t="str" cm="1">
        <f t="array" ref="I898">_xlfn.IFS(A898&lt;=25,"18-25",A898&lt;=35,"26-35",A898&lt;=45,"36-45",A898&lt;=60,"46-60",A898&gt;60,"60+")</f>
        <v>46-60</v>
      </c>
      <c r="J898" t="str" cm="1">
        <f t="array" ref="J898">_xlfn.IFS(C898&lt;18.5,"Underweight",C898&lt;25,"Normal",C898&lt;30,"Overweight",C898&gt;=30,"Obese")</f>
        <v>Obese</v>
      </c>
      <c r="K898" t="str" cm="1">
        <f t="array" ref="K898">_xlfn.IFS(G898&lt;10000, "Low", G898&lt;=25000, "Medium", G898&gt;25000, "High")</f>
        <v>Medium</v>
      </c>
    </row>
    <row r="899" spans="1:11" x14ac:dyDescent="0.3">
      <c r="A899">
        <v>48</v>
      </c>
      <c r="B899" s="1" t="s">
        <v>7</v>
      </c>
      <c r="C899">
        <v>33.25</v>
      </c>
      <c r="D899">
        <v>2</v>
      </c>
      <c r="E899" t="s">
        <v>10</v>
      </c>
      <c r="F899" t="s">
        <v>12</v>
      </c>
      <c r="G899" s="2">
        <v>12950.0712</v>
      </c>
      <c r="H899" t="str" cm="1">
        <f t="array" ref="H899">_xlfn.IFS(A899&lt;=30, "Youth", A899&lt;=50, "Adult", A899&gt;50, "Older")</f>
        <v>Adult</v>
      </c>
      <c r="I899" t="str" cm="1">
        <f t="array" ref="I899">_xlfn.IFS(A899&lt;=25,"18-25",A899&lt;=35,"26-35",A899&lt;=45,"36-45",A899&lt;=60,"46-60",A899&gt;60,"60+")</f>
        <v>46-60</v>
      </c>
      <c r="J899" t="str" cm="1">
        <f t="array" ref="J899">_xlfn.IFS(C899&lt;18.5,"Underweight",C899&lt;25,"Normal",C899&lt;30,"Overweight",C899&gt;=30,"Obese")</f>
        <v>Obese</v>
      </c>
      <c r="K899" t="str" cm="1">
        <f t="array" ref="K899">_xlfn.IFS(G899&lt;10000, "Low", G899&lt;=25000, "Medium", G899&gt;25000, "High")</f>
        <v>Medium</v>
      </c>
    </row>
    <row r="900" spans="1:11" x14ac:dyDescent="0.3">
      <c r="A900">
        <v>48</v>
      </c>
      <c r="B900" s="1" t="s">
        <v>7</v>
      </c>
      <c r="C900">
        <v>33.25</v>
      </c>
      <c r="D900">
        <v>2</v>
      </c>
      <c r="E900" t="s">
        <v>10</v>
      </c>
      <c r="F900" t="s">
        <v>13</v>
      </c>
      <c r="G900" s="2">
        <v>12957.118</v>
      </c>
      <c r="H900" t="str" cm="1">
        <f t="array" ref="H900">_xlfn.IFS(A900&lt;=30, "Youth", A900&lt;=50, "Adult", A900&gt;50, "Older")</f>
        <v>Adult</v>
      </c>
      <c r="I900" t="str" cm="1">
        <f t="array" ref="I900">_xlfn.IFS(A900&lt;=25,"18-25",A900&lt;=35,"26-35",A900&lt;=45,"36-45",A900&lt;=60,"46-60",A900&gt;60,"60+")</f>
        <v>46-60</v>
      </c>
      <c r="J900" t="str" cm="1">
        <f t="array" ref="J900">_xlfn.IFS(C900&lt;18.5,"Underweight",C900&lt;25,"Normal",C900&lt;30,"Overweight",C900&gt;=30,"Obese")</f>
        <v>Obese</v>
      </c>
      <c r="K900" t="str" cm="1">
        <f t="array" ref="K900">_xlfn.IFS(G900&lt;10000, "Low", G900&lt;=25000, "Medium", G900&gt;25000, "High")</f>
        <v>Medium</v>
      </c>
    </row>
    <row r="901" spans="1:11" x14ac:dyDescent="0.3">
      <c r="A901">
        <v>48</v>
      </c>
      <c r="B901" s="1" t="s">
        <v>8</v>
      </c>
      <c r="C901">
        <v>33.299999999999997</v>
      </c>
      <c r="D901">
        <v>2</v>
      </c>
      <c r="E901" t="s">
        <v>10</v>
      </c>
      <c r="F901" t="s">
        <v>14</v>
      </c>
      <c r="G901" s="2">
        <v>12979.358</v>
      </c>
      <c r="H901" t="str" cm="1">
        <f t="array" ref="H901">_xlfn.IFS(A901&lt;=30, "Youth", A901&lt;=50, "Adult", A901&gt;50, "Older")</f>
        <v>Adult</v>
      </c>
      <c r="I901" t="str" cm="1">
        <f t="array" ref="I901">_xlfn.IFS(A901&lt;=25,"18-25",A901&lt;=35,"26-35",A901&lt;=45,"36-45",A901&lt;=60,"46-60",A901&gt;60,"60+")</f>
        <v>46-60</v>
      </c>
      <c r="J901" t="str" cm="1">
        <f t="array" ref="J901">_xlfn.IFS(C901&lt;18.5,"Underweight",C901&lt;25,"Normal",C901&lt;30,"Overweight",C901&gt;=30,"Obese")</f>
        <v>Obese</v>
      </c>
      <c r="K901" t="str" cm="1">
        <f t="array" ref="K901">_xlfn.IFS(G901&lt;10000, "Low", G901&lt;=25000, "Medium", G901&gt;25000, "High")</f>
        <v>Medium</v>
      </c>
    </row>
    <row r="902" spans="1:11" x14ac:dyDescent="0.3">
      <c r="A902">
        <v>48</v>
      </c>
      <c r="B902" s="1" t="s">
        <v>8</v>
      </c>
      <c r="C902">
        <v>33.299999999999997</v>
      </c>
      <c r="D902">
        <v>2</v>
      </c>
      <c r="E902" t="s">
        <v>9</v>
      </c>
      <c r="F902" t="s">
        <v>12</v>
      </c>
      <c r="G902" s="2">
        <v>12981.3457</v>
      </c>
      <c r="H902" t="str" cm="1">
        <f t="array" ref="H902">_xlfn.IFS(A902&lt;=30, "Youth", A902&lt;=50, "Adult", A902&gt;50, "Older")</f>
        <v>Adult</v>
      </c>
      <c r="I902" t="str" cm="1">
        <f t="array" ref="I902">_xlfn.IFS(A902&lt;=25,"18-25",A902&lt;=35,"26-35",A902&lt;=45,"36-45",A902&lt;=60,"46-60",A902&gt;60,"60+")</f>
        <v>46-60</v>
      </c>
      <c r="J902" t="str" cm="1">
        <f t="array" ref="J902">_xlfn.IFS(C902&lt;18.5,"Underweight",C902&lt;25,"Normal",C902&lt;30,"Overweight",C902&gt;=30,"Obese")</f>
        <v>Obese</v>
      </c>
      <c r="K902" t="str" cm="1">
        <f t="array" ref="K902">_xlfn.IFS(G902&lt;10000, "Low", G902&lt;=25000, "Medium", G902&gt;25000, "High")</f>
        <v>Medium</v>
      </c>
    </row>
    <row r="903" spans="1:11" x14ac:dyDescent="0.3">
      <c r="A903">
        <v>48</v>
      </c>
      <c r="B903" s="1" t="s">
        <v>8</v>
      </c>
      <c r="C903">
        <v>33.33</v>
      </c>
      <c r="D903">
        <v>2</v>
      </c>
      <c r="E903" t="s">
        <v>10</v>
      </c>
      <c r="F903" t="s">
        <v>14</v>
      </c>
      <c r="G903" s="2">
        <v>12982.8747</v>
      </c>
      <c r="H903" t="str" cm="1">
        <f t="array" ref="H903">_xlfn.IFS(A903&lt;=30, "Youth", A903&lt;=50, "Adult", A903&gt;50, "Older")</f>
        <v>Adult</v>
      </c>
      <c r="I903" t="str" cm="1">
        <f t="array" ref="I903">_xlfn.IFS(A903&lt;=25,"18-25",A903&lt;=35,"26-35",A903&lt;=45,"36-45",A903&lt;=60,"46-60",A903&gt;60,"60+")</f>
        <v>46-60</v>
      </c>
      <c r="J903" t="str" cm="1">
        <f t="array" ref="J903">_xlfn.IFS(C903&lt;18.5,"Underweight",C903&lt;25,"Normal",C903&lt;30,"Overweight",C903&gt;=30,"Obese")</f>
        <v>Obese</v>
      </c>
      <c r="K903" t="str" cm="1">
        <f t="array" ref="K903">_xlfn.IFS(G903&lt;10000, "Low", G903&lt;=25000, "Medium", G903&gt;25000, "High")</f>
        <v>Medium</v>
      </c>
    </row>
    <row r="904" spans="1:11" x14ac:dyDescent="0.3">
      <c r="A904">
        <v>48</v>
      </c>
      <c r="B904" s="1" t="s">
        <v>8</v>
      </c>
      <c r="C904">
        <v>33.33</v>
      </c>
      <c r="D904">
        <v>2</v>
      </c>
      <c r="E904" t="s">
        <v>10</v>
      </c>
      <c r="F904" t="s">
        <v>12</v>
      </c>
      <c r="G904" s="2">
        <v>13012.20865</v>
      </c>
      <c r="H904" t="str" cm="1">
        <f t="array" ref="H904">_xlfn.IFS(A904&lt;=30, "Youth", A904&lt;=50, "Adult", A904&gt;50, "Older")</f>
        <v>Adult</v>
      </c>
      <c r="I904" t="str" cm="1">
        <f t="array" ref="I904">_xlfn.IFS(A904&lt;=25,"18-25",A904&lt;=35,"26-35",A904&lt;=45,"36-45",A904&lt;=60,"46-60",A904&gt;60,"60+")</f>
        <v>46-60</v>
      </c>
      <c r="J904" t="str" cm="1">
        <f t="array" ref="J904">_xlfn.IFS(C904&lt;18.5,"Underweight",C904&lt;25,"Normal",C904&lt;30,"Overweight",C904&gt;=30,"Obese")</f>
        <v>Obese</v>
      </c>
      <c r="K904" t="str" cm="1">
        <f t="array" ref="K904">_xlfn.IFS(G904&lt;10000, "Low", G904&lt;=25000, "Medium", G904&gt;25000, "High")</f>
        <v>Medium</v>
      </c>
    </row>
    <row r="905" spans="1:11" x14ac:dyDescent="0.3">
      <c r="A905">
        <v>48</v>
      </c>
      <c r="B905" s="1" t="s">
        <v>7</v>
      </c>
      <c r="C905">
        <v>33.33</v>
      </c>
      <c r="D905">
        <v>2</v>
      </c>
      <c r="E905" t="s">
        <v>10</v>
      </c>
      <c r="F905" t="s">
        <v>11</v>
      </c>
      <c r="G905" s="2">
        <v>13019.161050000001</v>
      </c>
      <c r="H905" t="str" cm="1">
        <f t="array" ref="H905">_xlfn.IFS(A905&lt;=30, "Youth", A905&lt;=50, "Adult", A905&gt;50, "Older")</f>
        <v>Adult</v>
      </c>
      <c r="I905" t="str" cm="1">
        <f t="array" ref="I905">_xlfn.IFS(A905&lt;=25,"18-25",A905&lt;=35,"26-35",A905&lt;=45,"36-45",A905&lt;=60,"46-60",A905&gt;60,"60+")</f>
        <v>46-60</v>
      </c>
      <c r="J905" t="str" cm="1">
        <f t="array" ref="J905">_xlfn.IFS(C905&lt;18.5,"Underweight",C905&lt;25,"Normal",C905&lt;30,"Overweight",C905&gt;=30,"Obese")</f>
        <v>Obese</v>
      </c>
      <c r="K905" t="str" cm="1">
        <f t="array" ref="K905">_xlfn.IFS(G905&lt;10000, "Low", G905&lt;=25000, "Medium", G905&gt;25000, "High")</f>
        <v>Medium</v>
      </c>
    </row>
    <row r="906" spans="1:11" x14ac:dyDescent="0.3">
      <c r="A906">
        <v>48</v>
      </c>
      <c r="B906" s="1" t="s">
        <v>7</v>
      </c>
      <c r="C906">
        <v>33.33</v>
      </c>
      <c r="D906">
        <v>2</v>
      </c>
      <c r="E906" t="s">
        <v>10</v>
      </c>
      <c r="F906" t="s">
        <v>14</v>
      </c>
      <c r="G906" s="2">
        <v>13041.921</v>
      </c>
      <c r="H906" t="str" cm="1">
        <f t="array" ref="H906">_xlfn.IFS(A906&lt;=30, "Youth", A906&lt;=50, "Adult", A906&gt;50, "Older")</f>
        <v>Adult</v>
      </c>
      <c r="I906" t="str" cm="1">
        <f t="array" ref="I906">_xlfn.IFS(A906&lt;=25,"18-25",A906&lt;=35,"26-35",A906&lt;=45,"36-45",A906&lt;=60,"46-60",A906&gt;60,"60+")</f>
        <v>46-60</v>
      </c>
      <c r="J906" t="str" cm="1">
        <f t="array" ref="J906">_xlfn.IFS(C906&lt;18.5,"Underweight",C906&lt;25,"Normal",C906&lt;30,"Overweight",C906&gt;=30,"Obese")</f>
        <v>Obese</v>
      </c>
      <c r="K906" t="str" cm="1">
        <f t="array" ref="K906">_xlfn.IFS(G906&lt;10000, "Low", G906&lt;=25000, "Medium", G906&gt;25000, "High")</f>
        <v>Medium</v>
      </c>
    </row>
    <row r="907" spans="1:11" x14ac:dyDescent="0.3">
      <c r="A907">
        <v>48</v>
      </c>
      <c r="B907" s="1" t="s">
        <v>8</v>
      </c>
      <c r="C907">
        <v>33.33</v>
      </c>
      <c r="D907">
        <v>2</v>
      </c>
      <c r="E907" t="s">
        <v>10</v>
      </c>
      <c r="F907" t="s">
        <v>14</v>
      </c>
      <c r="G907" s="2">
        <v>13047.332350000001</v>
      </c>
      <c r="H907" t="str" cm="1">
        <f t="array" ref="H907">_xlfn.IFS(A907&lt;=30, "Youth", A907&lt;=50, "Adult", A907&gt;50, "Older")</f>
        <v>Adult</v>
      </c>
      <c r="I907" t="str" cm="1">
        <f t="array" ref="I907">_xlfn.IFS(A907&lt;=25,"18-25",A907&lt;=35,"26-35",A907&lt;=45,"36-45",A907&lt;=60,"46-60",A907&gt;60,"60+")</f>
        <v>46-60</v>
      </c>
      <c r="J907" t="str" cm="1">
        <f t="array" ref="J907">_xlfn.IFS(C907&lt;18.5,"Underweight",C907&lt;25,"Normal",C907&lt;30,"Overweight",C907&gt;=30,"Obese")</f>
        <v>Obese</v>
      </c>
      <c r="K907" t="str" cm="1">
        <f t="array" ref="K907">_xlfn.IFS(G907&lt;10000, "Low", G907&lt;=25000, "Medium", G907&gt;25000, "High")</f>
        <v>Medium</v>
      </c>
    </row>
    <row r="908" spans="1:11" x14ac:dyDescent="0.3">
      <c r="A908">
        <v>48</v>
      </c>
      <c r="B908" s="1" t="s">
        <v>7</v>
      </c>
      <c r="C908">
        <v>33.33</v>
      </c>
      <c r="D908">
        <v>2</v>
      </c>
      <c r="E908" t="s">
        <v>10</v>
      </c>
      <c r="F908" t="s">
        <v>12</v>
      </c>
      <c r="G908" s="2">
        <v>13063.883</v>
      </c>
      <c r="H908" t="str" cm="1">
        <f t="array" ref="H908">_xlfn.IFS(A908&lt;=30, "Youth", A908&lt;=50, "Adult", A908&gt;50, "Older")</f>
        <v>Adult</v>
      </c>
      <c r="I908" t="str" cm="1">
        <f t="array" ref="I908">_xlfn.IFS(A908&lt;=25,"18-25",A908&lt;=35,"26-35",A908&lt;=45,"36-45",A908&lt;=60,"46-60",A908&gt;60,"60+")</f>
        <v>46-60</v>
      </c>
      <c r="J908" t="str" cm="1">
        <f t="array" ref="J908">_xlfn.IFS(C908&lt;18.5,"Underweight",C908&lt;25,"Normal",C908&lt;30,"Overweight",C908&gt;=30,"Obese")</f>
        <v>Obese</v>
      </c>
      <c r="K908" t="str" cm="1">
        <f t="array" ref="K908">_xlfn.IFS(G908&lt;10000, "Low", G908&lt;=25000, "Medium", G908&gt;25000, "High")</f>
        <v>Medium</v>
      </c>
    </row>
    <row r="909" spans="1:11" x14ac:dyDescent="0.3">
      <c r="A909">
        <v>48</v>
      </c>
      <c r="B909" s="1" t="s">
        <v>8</v>
      </c>
      <c r="C909">
        <v>33.33</v>
      </c>
      <c r="D909">
        <v>2</v>
      </c>
      <c r="E909" t="s">
        <v>10</v>
      </c>
      <c r="F909" t="s">
        <v>11</v>
      </c>
      <c r="G909" s="2">
        <v>13112.604799999999</v>
      </c>
      <c r="H909" t="str" cm="1">
        <f t="array" ref="H909">_xlfn.IFS(A909&lt;=30, "Youth", A909&lt;=50, "Adult", A909&gt;50, "Older")</f>
        <v>Adult</v>
      </c>
      <c r="I909" t="str" cm="1">
        <f t="array" ref="I909">_xlfn.IFS(A909&lt;=25,"18-25",A909&lt;=35,"26-35",A909&lt;=45,"36-45",A909&lt;=60,"46-60",A909&gt;60,"60+")</f>
        <v>46-60</v>
      </c>
      <c r="J909" t="str" cm="1">
        <f t="array" ref="J909">_xlfn.IFS(C909&lt;18.5,"Underweight",C909&lt;25,"Normal",C909&lt;30,"Overweight",C909&gt;=30,"Obese")</f>
        <v>Obese</v>
      </c>
      <c r="K909" t="str" cm="1">
        <f t="array" ref="K909">_xlfn.IFS(G909&lt;10000, "Low", G909&lt;=25000, "Medium", G909&gt;25000, "High")</f>
        <v>Medium</v>
      </c>
    </row>
    <row r="910" spans="1:11" x14ac:dyDescent="0.3">
      <c r="A910">
        <v>48</v>
      </c>
      <c r="B910" s="1" t="s">
        <v>7</v>
      </c>
      <c r="C910">
        <v>33.344999999999999</v>
      </c>
      <c r="D910">
        <v>2</v>
      </c>
      <c r="E910" t="s">
        <v>9</v>
      </c>
      <c r="F910" t="s">
        <v>11</v>
      </c>
      <c r="G910" s="2">
        <v>13126.677449999999</v>
      </c>
      <c r="H910" t="str" cm="1">
        <f t="array" ref="H910">_xlfn.IFS(A910&lt;=30, "Youth", A910&lt;=50, "Adult", A910&gt;50, "Older")</f>
        <v>Adult</v>
      </c>
      <c r="I910" t="str" cm="1">
        <f t="array" ref="I910">_xlfn.IFS(A910&lt;=25,"18-25",A910&lt;=35,"26-35",A910&lt;=45,"36-45",A910&lt;=60,"46-60",A910&gt;60,"60+")</f>
        <v>46-60</v>
      </c>
      <c r="J910" t="str" cm="1">
        <f t="array" ref="J910">_xlfn.IFS(C910&lt;18.5,"Underweight",C910&lt;25,"Normal",C910&lt;30,"Overweight",C910&gt;=30,"Obese")</f>
        <v>Obese</v>
      </c>
      <c r="K910" t="str" cm="1">
        <f t="array" ref="K910">_xlfn.IFS(G910&lt;10000, "Low", G910&lt;=25000, "Medium", G910&gt;25000, "High")</f>
        <v>Medium</v>
      </c>
    </row>
    <row r="911" spans="1:11" x14ac:dyDescent="0.3">
      <c r="A911">
        <v>48</v>
      </c>
      <c r="B911" s="1" t="s">
        <v>8</v>
      </c>
      <c r="C911">
        <v>33.344999999999999</v>
      </c>
      <c r="D911">
        <v>2</v>
      </c>
      <c r="E911" t="s">
        <v>10</v>
      </c>
      <c r="F911" t="s">
        <v>13</v>
      </c>
      <c r="G911" s="2">
        <v>13129.603450000001</v>
      </c>
      <c r="H911" t="str" cm="1">
        <f t="array" ref="H911">_xlfn.IFS(A911&lt;=30, "Youth", A911&lt;=50, "Adult", A911&gt;50, "Older")</f>
        <v>Adult</v>
      </c>
      <c r="I911" t="str" cm="1">
        <f t="array" ref="I911">_xlfn.IFS(A911&lt;=25,"18-25",A911&lt;=35,"26-35",A911&lt;=45,"36-45",A911&lt;=60,"46-60",A911&gt;60,"60+")</f>
        <v>46-60</v>
      </c>
      <c r="J911" t="str" cm="1">
        <f t="array" ref="J911">_xlfn.IFS(C911&lt;18.5,"Underweight",C911&lt;25,"Normal",C911&lt;30,"Overweight",C911&gt;=30,"Obese")</f>
        <v>Obese</v>
      </c>
      <c r="K911" t="str" cm="1">
        <f t="array" ref="K911">_xlfn.IFS(G911&lt;10000, "Low", G911&lt;=25000, "Medium", G911&gt;25000, "High")</f>
        <v>Medium</v>
      </c>
    </row>
    <row r="912" spans="1:11" x14ac:dyDescent="0.3">
      <c r="A912">
        <v>48</v>
      </c>
      <c r="B912" s="1" t="s">
        <v>8</v>
      </c>
      <c r="C912">
        <v>33.344999999999999</v>
      </c>
      <c r="D912">
        <v>2</v>
      </c>
      <c r="E912" t="s">
        <v>9</v>
      </c>
      <c r="F912" t="s">
        <v>14</v>
      </c>
      <c r="G912" s="2">
        <v>13143.336649999999</v>
      </c>
      <c r="H912" t="str" cm="1">
        <f t="array" ref="H912">_xlfn.IFS(A912&lt;=30, "Youth", A912&lt;=50, "Adult", A912&gt;50, "Older")</f>
        <v>Adult</v>
      </c>
      <c r="I912" t="str" cm="1">
        <f t="array" ref="I912">_xlfn.IFS(A912&lt;=25,"18-25",A912&lt;=35,"26-35",A912&lt;=45,"36-45",A912&lt;=60,"46-60",A912&gt;60,"60+")</f>
        <v>46-60</v>
      </c>
      <c r="J912" t="str" cm="1">
        <f t="array" ref="J912">_xlfn.IFS(C912&lt;18.5,"Underweight",C912&lt;25,"Normal",C912&lt;30,"Overweight",C912&gt;=30,"Obese")</f>
        <v>Obese</v>
      </c>
      <c r="K912" t="str" cm="1">
        <f t="array" ref="K912">_xlfn.IFS(G912&lt;10000, "Low", G912&lt;=25000, "Medium", G912&gt;25000, "High")</f>
        <v>Medium</v>
      </c>
    </row>
    <row r="913" spans="1:11" x14ac:dyDescent="0.3">
      <c r="A913">
        <v>48</v>
      </c>
      <c r="B913" s="1" t="s">
        <v>7</v>
      </c>
      <c r="C913">
        <v>33.344999999999999</v>
      </c>
      <c r="D913">
        <v>2</v>
      </c>
      <c r="E913" t="s">
        <v>10</v>
      </c>
      <c r="F913" t="s">
        <v>13</v>
      </c>
      <c r="G913" s="2">
        <v>13143.86485</v>
      </c>
      <c r="H913" t="str" cm="1">
        <f t="array" ref="H913">_xlfn.IFS(A913&lt;=30, "Youth", A913&lt;=50, "Adult", A913&gt;50, "Older")</f>
        <v>Adult</v>
      </c>
      <c r="I913" t="str" cm="1">
        <f t="array" ref="I913">_xlfn.IFS(A913&lt;=25,"18-25",A913&lt;=35,"26-35",A913&lt;=45,"36-45",A913&lt;=60,"46-60",A913&gt;60,"60+")</f>
        <v>46-60</v>
      </c>
      <c r="J913" t="str" cm="1">
        <f t="array" ref="J913">_xlfn.IFS(C913&lt;18.5,"Underweight",C913&lt;25,"Normal",C913&lt;30,"Overweight",C913&gt;=30,"Obese")</f>
        <v>Obese</v>
      </c>
      <c r="K913" t="str" cm="1">
        <f t="array" ref="K913">_xlfn.IFS(G913&lt;10000, "Low", G913&lt;=25000, "Medium", G913&gt;25000, "High")</f>
        <v>Medium</v>
      </c>
    </row>
    <row r="914" spans="1:11" x14ac:dyDescent="0.3">
      <c r="A914">
        <v>48</v>
      </c>
      <c r="B914" s="1" t="s">
        <v>7</v>
      </c>
      <c r="C914">
        <v>33.344999999999999</v>
      </c>
      <c r="D914">
        <v>2</v>
      </c>
      <c r="E914" t="s">
        <v>10</v>
      </c>
      <c r="F914" t="s">
        <v>11</v>
      </c>
      <c r="G914" s="2">
        <v>13204.28565</v>
      </c>
      <c r="H914" t="str" cm="1">
        <f t="array" ref="H914">_xlfn.IFS(A914&lt;=30, "Youth", A914&lt;=50, "Adult", A914&gt;50, "Older")</f>
        <v>Adult</v>
      </c>
      <c r="I914" t="str" cm="1">
        <f t="array" ref="I914">_xlfn.IFS(A914&lt;=25,"18-25",A914&lt;=35,"26-35",A914&lt;=45,"36-45",A914&lt;=60,"46-60",A914&gt;60,"60+")</f>
        <v>46-60</v>
      </c>
      <c r="J914" t="str" cm="1">
        <f t="array" ref="J914">_xlfn.IFS(C914&lt;18.5,"Underweight",C914&lt;25,"Normal",C914&lt;30,"Overweight",C914&gt;=30,"Obese")</f>
        <v>Obese</v>
      </c>
      <c r="K914" t="str" cm="1">
        <f t="array" ref="K914">_xlfn.IFS(G914&lt;10000, "Low", G914&lt;=25000, "Medium", G914&gt;25000, "High")</f>
        <v>Medium</v>
      </c>
    </row>
    <row r="915" spans="1:11" x14ac:dyDescent="0.3">
      <c r="A915">
        <v>48</v>
      </c>
      <c r="B915" s="1" t="s">
        <v>8</v>
      </c>
      <c r="C915">
        <v>33.4</v>
      </c>
      <c r="D915">
        <v>2</v>
      </c>
      <c r="E915" t="s">
        <v>10</v>
      </c>
      <c r="F915" t="s">
        <v>13</v>
      </c>
      <c r="G915" s="2">
        <v>13217.094499999999</v>
      </c>
      <c r="H915" t="str" cm="1">
        <f t="array" ref="H915">_xlfn.IFS(A915&lt;=30, "Youth", A915&lt;=50, "Adult", A915&gt;50, "Older")</f>
        <v>Adult</v>
      </c>
      <c r="I915" t="str" cm="1">
        <f t="array" ref="I915">_xlfn.IFS(A915&lt;=25,"18-25",A915&lt;=35,"26-35",A915&lt;=45,"36-45",A915&lt;=60,"46-60",A915&gt;60,"60+")</f>
        <v>46-60</v>
      </c>
      <c r="J915" t="str" cm="1">
        <f t="array" ref="J915">_xlfn.IFS(C915&lt;18.5,"Underweight",C915&lt;25,"Normal",C915&lt;30,"Overweight",C915&gt;=30,"Obese")</f>
        <v>Obese</v>
      </c>
      <c r="K915" t="str" cm="1">
        <f t="array" ref="K915">_xlfn.IFS(G915&lt;10000, "Low", G915&lt;=25000, "Medium", G915&gt;25000, "High")</f>
        <v>Medium</v>
      </c>
    </row>
    <row r="916" spans="1:11" x14ac:dyDescent="0.3">
      <c r="A916">
        <v>48</v>
      </c>
      <c r="B916" s="1" t="s">
        <v>7</v>
      </c>
      <c r="C916">
        <v>33.4</v>
      </c>
      <c r="D916">
        <v>2</v>
      </c>
      <c r="E916" t="s">
        <v>10</v>
      </c>
      <c r="F916" t="s">
        <v>12</v>
      </c>
      <c r="G916" s="2">
        <v>13224.057049999999</v>
      </c>
      <c r="H916" t="str" cm="1">
        <f t="array" ref="H916">_xlfn.IFS(A916&lt;=30, "Youth", A916&lt;=50, "Adult", A916&gt;50, "Older")</f>
        <v>Adult</v>
      </c>
      <c r="I916" t="str" cm="1">
        <f t="array" ref="I916">_xlfn.IFS(A916&lt;=25,"18-25",A916&lt;=35,"26-35",A916&lt;=45,"36-45",A916&lt;=60,"46-60",A916&gt;60,"60+")</f>
        <v>46-60</v>
      </c>
      <c r="J916" t="str" cm="1">
        <f t="array" ref="J916">_xlfn.IFS(C916&lt;18.5,"Underweight",C916&lt;25,"Normal",C916&lt;30,"Overweight",C916&gt;=30,"Obese")</f>
        <v>Obese</v>
      </c>
      <c r="K916" t="str" cm="1">
        <f t="array" ref="K916">_xlfn.IFS(G916&lt;10000, "Low", G916&lt;=25000, "Medium", G916&gt;25000, "High")</f>
        <v>Medium</v>
      </c>
    </row>
    <row r="917" spans="1:11" x14ac:dyDescent="0.3">
      <c r="A917">
        <v>48</v>
      </c>
      <c r="B917" s="1" t="s">
        <v>7</v>
      </c>
      <c r="C917">
        <v>33.4</v>
      </c>
      <c r="D917">
        <v>2</v>
      </c>
      <c r="E917" t="s">
        <v>9</v>
      </c>
      <c r="F917" t="s">
        <v>13</v>
      </c>
      <c r="G917" s="2">
        <v>13224.692999999999</v>
      </c>
      <c r="H917" t="str" cm="1">
        <f t="array" ref="H917">_xlfn.IFS(A917&lt;=30, "Youth", A917&lt;=50, "Adult", A917&gt;50, "Older")</f>
        <v>Adult</v>
      </c>
      <c r="I917" t="str" cm="1">
        <f t="array" ref="I917">_xlfn.IFS(A917&lt;=25,"18-25",A917&lt;=35,"26-35",A917&lt;=45,"36-45",A917&lt;=60,"46-60",A917&gt;60,"60+")</f>
        <v>46-60</v>
      </c>
      <c r="J917" t="str" cm="1">
        <f t="array" ref="J917">_xlfn.IFS(C917&lt;18.5,"Underweight",C917&lt;25,"Normal",C917&lt;30,"Overweight",C917&gt;=30,"Obese")</f>
        <v>Obese</v>
      </c>
      <c r="K917" t="str" cm="1">
        <f t="array" ref="K917">_xlfn.IFS(G917&lt;10000, "Low", G917&lt;=25000, "Medium", G917&gt;25000, "High")</f>
        <v>Medium</v>
      </c>
    </row>
    <row r="918" spans="1:11" x14ac:dyDescent="0.3">
      <c r="A918">
        <v>48</v>
      </c>
      <c r="B918" s="1" t="s">
        <v>8</v>
      </c>
      <c r="C918">
        <v>33.44</v>
      </c>
      <c r="D918">
        <v>2</v>
      </c>
      <c r="E918" t="s">
        <v>9</v>
      </c>
      <c r="F918" t="s">
        <v>14</v>
      </c>
      <c r="G918" s="2">
        <v>13228.846949999999</v>
      </c>
      <c r="H918" t="str" cm="1">
        <f t="array" ref="H918">_xlfn.IFS(A918&lt;=30, "Youth", A918&lt;=50, "Adult", A918&gt;50, "Older")</f>
        <v>Adult</v>
      </c>
      <c r="I918" t="str" cm="1">
        <f t="array" ref="I918">_xlfn.IFS(A918&lt;=25,"18-25",A918&lt;=35,"26-35",A918&lt;=45,"36-45",A918&lt;=60,"46-60",A918&gt;60,"60+")</f>
        <v>46-60</v>
      </c>
      <c r="J918" t="str" cm="1">
        <f t="array" ref="J918">_xlfn.IFS(C918&lt;18.5,"Underweight",C918&lt;25,"Normal",C918&lt;30,"Overweight",C918&gt;=30,"Obese")</f>
        <v>Obese</v>
      </c>
      <c r="K918" t="str" cm="1">
        <f t="array" ref="K918">_xlfn.IFS(G918&lt;10000, "Low", G918&lt;=25000, "Medium", G918&gt;25000, "High")</f>
        <v>Medium</v>
      </c>
    </row>
    <row r="919" spans="1:11" x14ac:dyDescent="0.3">
      <c r="A919">
        <v>48</v>
      </c>
      <c r="B919" s="1" t="s">
        <v>7</v>
      </c>
      <c r="C919">
        <v>33.44</v>
      </c>
      <c r="D919">
        <v>2</v>
      </c>
      <c r="E919" t="s">
        <v>10</v>
      </c>
      <c r="F919" t="s">
        <v>11</v>
      </c>
      <c r="G919" s="2">
        <v>13352.0998</v>
      </c>
      <c r="H919" t="str" cm="1">
        <f t="array" ref="H919">_xlfn.IFS(A919&lt;=30, "Youth", A919&lt;=50, "Adult", A919&gt;50, "Older")</f>
        <v>Adult</v>
      </c>
      <c r="I919" t="str" cm="1">
        <f t="array" ref="I919">_xlfn.IFS(A919&lt;=25,"18-25",A919&lt;=35,"26-35",A919&lt;=45,"36-45",A919&lt;=60,"46-60",A919&gt;60,"60+")</f>
        <v>46-60</v>
      </c>
      <c r="J919" t="str" cm="1">
        <f t="array" ref="J919">_xlfn.IFS(C919&lt;18.5,"Underweight",C919&lt;25,"Normal",C919&lt;30,"Overweight",C919&gt;=30,"Obese")</f>
        <v>Obese</v>
      </c>
      <c r="K919" t="str" cm="1">
        <f t="array" ref="K919">_xlfn.IFS(G919&lt;10000, "Low", G919&lt;=25000, "Medium", G919&gt;25000, "High")</f>
        <v>Medium</v>
      </c>
    </row>
    <row r="920" spans="1:11" x14ac:dyDescent="0.3">
      <c r="A920">
        <v>48</v>
      </c>
      <c r="B920" s="1" t="s">
        <v>7</v>
      </c>
      <c r="C920">
        <v>33.44</v>
      </c>
      <c r="D920">
        <v>2</v>
      </c>
      <c r="E920" t="s">
        <v>10</v>
      </c>
      <c r="F920" t="s">
        <v>12</v>
      </c>
      <c r="G920" s="2">
        <v>13390.558999999999</v>
      </c>
      <c r="H920" t="str" cm="1">
        <f t="array" ref="H920">_xlfn.IFS(A920&lt;=30, "Youth", A920&lt;=50, "Adult", A920&gt;50, "Older")</f>
        <v>Adult</v>
      </c>
      <c r="I920" t="str" cm="1">
        <f t="array" ref="I920">_xlfn.IFS(A920&lt;=25,"18-25",A920&lt;=35,"26-35",A920&lt;=45,"36-45",A920&lt;=60,"46-60",A920&gt;60,"60+")</f>
        <v>46-60</v>
      </c>
      <c r="J920" t="str" cm="1">
        <f t="array" ref="J920">_xlfn.IFS(C920&lt;18.5,"Underweight",C920&lt;25,"Normal",C920&lt;30,"Overweight",C920&gt;=30,"Obese")</f>
        <v>Obese</v>
      </c>
      <c r="K920" t="str" cm="1">
        <f t="array" ref="K920">_xlfn.IFS(G920&lt;10000, "Low", G920&lt;=25000, "Medium", G920&gt;25000, "High")</f>
        <v>Medium</v>
      </c>
    </row>
    <row r="921" spans="1:11" x14ac:dyDescent="0.3">
      <c r="A921">
        <v>48</v>
      </c>
      <c r="B921" s="1" t="s">
        <v>7</v>
      </c>
      <c r="C921">
        <v>33.44</v>
      </c>
      <c r="D921">
        <v>2</v>
      </c>
      <c r="E921" t="s">
        <v>10</v>
      </c>
      <c r="F921" t="s">
        <v>11</v>
      </c>
      <c r="G921" s="2">
        <v>13393.755999999999</v>
      </c>
      <c r="H921" t="str" cm="1">
        <f t="array" ref="H921">_xlfn.IFS(A921&lt;=30, "Youth", A921&lt;=50, "Adult", A921&gt;50, "Older")</f>
        <v>Adult</v>
      </c>
      <c r="I921" t="str" cm="1">
        <f t="array" ref="I921">_xlfn.IFS(A921&lt;=25,"18-25",A921&lt;=35,"26-35",A921&lt;=45,"36-45",A921&lt;=60,"46-60",A921&gt;60,"60+")</f>
        <v>46-60</v>
      </c>
      <c r="J921" t="str" cm="1">
        <f t="array" ref="J921">_xlfn.IFS(C921&lt;18.5,"Underweight",C921&lt;25,"Normal",C921&lt;30,"Overweight",C921&gt;=30,"Obese")</f>
        <v>Obese</v>
      </c>
      <c r="K921" t="str" cm="1">
        <f t="array" ref="K921">_xlfn.IFS(G921&lt;10000, "Low", G921&lt;=25000, "Medium", G921&gt;25000, "High")</f>
        <v>Medium</v>
      </c>
    </row>
    <row r="922" spans="1:11" x14ac:dyDescent="0.3">
      <c r="A922">
        <v>48</v>
      </c>
      <c r="B922" s="1" t="s">
        <v>7</v>
      </c>
      <c r="C922">
        <v>33.5</v>
      </c>
      <c r="D922">
        <v>2</v>
      </c>
      <c r="E922" t="s">
        <v>10</v>
      </c>
      <c r="F922" t="s">
        <v>11</v>
      </c>
      <c r="G922" s="2">
        <v>13405.390299999999</v>
      </c>
      <c r="H922" t="str" cm="1">
        <f t="array" ref="H922">_xlfn.IFS(A922&lt;=30, "Youth", A922&lt;=50, "Adult", A922&gt;50, "Older")</f>
        <v>Adult</v>
      </c>
      <c r="I922" t="str" cm="1">
        <f t="array" ref="I922">_xlfn.IFS(A922&lt;=25,"18-25",A922&lt;=35,"26-35",A922&lt;=45,"36-45",A922&lt;=60,"46-60",A922&gt;60,"60+")</f>
        <v>46-60</v>
      </c>
      <c r="J922" t="str" cm="1">
        <f t="array" ref="J922">_xlfn.IFS(C922&lt;18.5,"Underweight",C922&lt;25,"Normal",C922&lt;30,"Overweight",C922&gt;=30,"Obese")</f>
        <v>Obese</v>
      </c>
      <c r="K922" t="str" cm="1">
        <f t="array" ref="K922">_xlfn.IFS(G922&lt;10000, "Low", G922&lt;=25000, "Medium", G922&gt;25000, "High")</f>
        <v>Medium</v>
      </c>
    </row>
    <row r="923" spans="1:11" x14ac:dyDescent="0.3">
      <c r="A923">
        <v>48</v>
      </c>
      <c r="B923" s="1" t="s">
        <v>8</v>
      </c>
      <c r="C923">
        <v>33.534999999999997</v>
      </c>
      <c r="D923">
        <v>2</v>
      </c>
      <c r="E923" t="s">
        <v>10</v>
      </c>
      <c r="F923" t="s">
        <v>11</v>
      </c>
      <c r="G923" s="2">
        <v>13415.0381</v>
      </c>
      <c r="H923" t="str" cm="1">
        <f t="array" ref="H923">_xlfn.IFS(A923&lt;=30, "Youth", A923&lt;=50, "Adult", A923&gt;50, "Older")</f>
        <v>Adult</v>
      </c>
      <c r="I923" t="str" cm="1">
        <f t="array" ref="I923">_xlfn.IFS(A923&lt;=25,"18-25",A923&lt;=35,"26-35",A923&lt;=45,"36-45",A923&lt;=60,"46-60",A923&gt;60,"60+")</f>
        <v>46-60</v>
      </c>
      <c r="J923" t="str" cm="1">
        <f t="array" ref="J923">_xlfn.IFS(C923&lt;18.5,"Underweight",C923&lt;25,"Normal",C923&lt;30,"Overweight",C923&gt;=30,"Obese")</f>
        <v>Obese</v>
      </c>
      <c r="K923" t="str" cm="1">
        <f t="array" ref="K923">_xlfn.IFS(G923&lt;10000, "Low", G923&lt;=25000, "Medium", G923&gt;25000, "High")</f>
        <v>Medium</v>
      </c>
    </row>
    <row r="924" spans="1:11" x14ac:dyDescent="0.3">
      <c r="A924">
        <v>48</v>
      </c>
      <c r="B924" s="1" t="s">
        <v>8</v>
      </c>
      <c r="C924">
        <v>33.534999999999997</v>
      </c>
      <c r="D924">
        <v>2</v>
      </c>
      <c r="E924" t="s">
        <v>10</v>
      </c>
      <c r="F924" t="s">
        <v>13</v>
      </c>
      <c r="G924" s="2">
        <v>13429.035400000001</v>
      </c>
      <c r="H924" t="str" cm="1">
        <f t="array" ref="H924">_xlfn.IFS(A924&lt;=30, "Youth", A924&lt;=50, "Adult", A924&gt;50, "Older")</f>
        <v>Adult</v>
      </c>
      <c r="I924" t="str" cm="1">
        <f t="array" ref="I924">_xlfn.IFS(A924&lt;=25,"18-25",A924&lt;=35,"26-35",A924&lt;=45,"36-45",A924&lt;=60,"46-60",A924&gt;60,"60+")</f>
        <v>46-60</v>
      </c>
      <c r="J924" t="str" cm="1">
        <f t="array" ref="J924">_xlfn.IFS(C924&lt;18.5,"Underweight",C924&lt;25,"Normal",C924&lt;30,"Overweight",C924&gt;=30,"Obese")</f>
        <v>Obese</v>
      </c>
      <c r="K924" t="str" cm="1">
        <f t="array" ref="K924">_xlfn.IFS(G924&lt;10000, "Low", G924&lt;=25000, "Medium", G924&gt;25000, "High")</f>
        <v>Medium</v>
      </c>
    </row>
    <row r="925" spans="1:11" x14ac:dyDescent="0.3">
      <c r="A925">
        <v>48</v>
      </c>
      <c r="B925" s="1" t="s">
        <v>8</v>
      </c>
      <c r="C925">
        <v>33.534999999999997</v>
      </c>
      <c r="D925">
        <v>2</v>
      </c>
      <c r="E925" t="s">
        <v>10</v>
      </c>
      <c r="F925" t="s">
        <v>11</v>
      </c>
      <c r="G925" s="2">
        <v>13430.264999999999</v>
      </c>
      <c r="H925" t="str" cm="1">
        <f t="array" ref="H925">_xlfn.IFS(A925&lt;=30, "Youth", A925&lt;=50, "Adult", A925&gt;50, "Older")</f>
        <v>Adult</v>
      </c>
      <c r="I925" t="str" cm="1">
        <f t="array" ref="I925">_xlfn.IFS(A925&lt;=25,"18-25",A925&lt;=35,"26-35",A925&lt;=45,"36-45",A925&lt;=60,"46-60",A925&gt;60,"60+")</f>
        <v>46-60</v>
      </c>
      <c r="J925" t="str" cm="1">
        <f t="array" ref="J925">_xlfn.IFS(C925&lt;18.5,"Underweight",C925&lt;25,"Normal",C925&lt;30,"Overweight",C925&gt;=30,"Obese")</f>
        <v>Obese</v>
      </c>
      <c r="K925" t="str" cm="1">
        <f t="array" ref="K925">_xlfn.IFS(G925&lt;10000, "Low", G925&lt;=25000, "Medium", G925&gt;25000, "High")</f>
        <v>Medium</v>
      </c>
    </row>
    <row r="926" spans="1:11" x14ac:dyDescent="0.3">
      <c r="A926">
        <v>49</v>
      </c>
      <c r="B926" s="1" t="s">
        <v>8</v>
      </c>
      <c r="C926">
        <v>33.549999999999997</v>
      </c>
      <c r="D926">
        <v>2</v>
      </c>
      <c r="E926" t="s">
        <v>10</v>
      </c>
      <c r="F926" t="s">
        <v>14</v>
      </c>
      <c r="G926" s="2">
        <v>13451.121999999999</v>
      </c>
      <c r="H926" t="str" cm="1">
        <f t="array" ref="H926">_xlfn.IFS(A926&lt;=30, "Youth", A926&lt;=50, "Adult", A926&gt;50, "Older")</f>
        <v>Adult</v>
      </c>
      <c r="I926" t="str" cm="1">
        <f t="array" ref="I926">_xlfn.IFS(A926&lt;=25,"18-25",A926&lt;=35,"26-35",A926&lt;=45,"36-45",A926&lt;=60,"46-60",A926&gt;60,"60+")</f>
        <v>46-60</v>
      </c>
      <c r="J926" t="str" cm="1">
        <f t="array" ref="J926">_xlfn.IFS(C926&lt;18.5,"Underweight",C926&lt;25,"Normal",C926&lt;30,"Overweight",C926&gt;=30,"Obese")</f>
        <v>Obese</v>
      </c>
      <c r="K926" t="str" cm="1">
        <f t="array" ref="K926">_xlfn.IFS(G926&lt;10000, "Low", G926&lt;=25000, "Medium", G926&gt;25000, "High")</f>
        <v>Medium</v>
      </c>
    </row>
    <row r="927" spans="1:11" x14ac:dyDescent="0.3">
      <c r="A927">
        <v>49</v>
      </c>
      <c r="B927" s="1" t="s">
        <v>7</v>
      </c>
      <c r="C927">
        <v>33.630000000000003</v>
      </c>
      <c r="D927">
        <v>2</v>
      </c>
      <c r="E927" t="s">
        <v>10</v>
      </c>
      <c r="F927" t="s">
        <v>11</v>
      </c>
      <c r="G927" s="2">
        <v>13457.960800000001</v>
      </c>
      <c r="H927" t="str" cm="1">
        <f t="array" ref="H927">_xlfn.IFS(A927&lt;=30, "Youth", A927&lt;=50, "Adult", A927&gt;50, "Older")</f>
        <v>Adult</v>
      </c>
      <c r="I927" t="str" cm="1">
        <f t="array" ref="I927">_xlfn.IFS(A927&lt;=25,"18-25",A927&lt;=35,"26-35",A927&lt;=45,"36-45",A927&lt;=60,"46-60",A927&gt;60,"60+")</f>
        <v>46-60</v>
      </c>
      <c r="J927" t="str" cm="1">
        <f t="array" ref="J927">_xlfn.IFS(C927&lt;18.5,"Underweight",C927&lt;25,"Normal",C927&lt;30,"Overweight",C927&gt;=30,"Obese")</f>
        <v>Obese</v>
      </c>
      <c r="K927" t="str" cm="1">
        <f t="array" ref="K927">_xlfn.IFS(G927&lt;10000, "Low", G927&lt;=25000, "Medium", G927&gt;25000, "High")</f>
        <v>Medium</v>
      </c>
    </row>
    <row r="928" spans="1:11" x14ac:dyDescent="0.3">
      <c r="A928">
        <v>49</v>
      </c>
      <c r="B928" s="1" t="s">
        <v>7</v>
      </c>
      <c r="C928">
        <v>33.630000000000003</v>
      </c>
      <c r="D928">
        <v>2</v>
      </c>
      <c r="E928" t="s">
        <v>10</v>
      </c>
      <c r="F928" t="s">
        <v>11</v>
      </c>
      <c r="G928" s="2">
        <v>13462.52</v>
      </c>
      <c r="H928" t="str" cm="1">
        <f t="array" ref="H928">_xlfn.IFS(A928&lt;=30, "Youth", A928&lt;=50, "Adult", A928&gt;50, "Older")</f>
        <v>Adult</v>
      </c>
      <c r="I928" t="str" cm="1">
        <f t="array" ref="I928">_xlfn.IFS(A928&lt;=25,"18-25",A928&lt;=35,"26-35",A928&lt;=45,"36-45",A928&lt;=60,"46-60",A928&gt;60,"60+")</f>
        <v>46-60</v>
      </c>
      <c r="J928" t="str" cm="1">
        <f t="array" ref="J928">_xlfn.IFS(C928&lt;18.5,"Underweight",C928&lt;25,"Normal",C928&lt;30,"Overweight",C928&gt;=30,"Obese")</f>
        <v>Obese</v>
      </c>
      <c r="K928" t="str" cm="1">
        <f t="array" ref="K928">_xlfn.IFS(G928&lt;10000, "Low", G928&lt;=25000, "Medium", G928&gt;25000, "High")</f>
        <v>Medium</v>
      </c>
    </row>
    <row r="929" spans="1:11" x14ac:dyDescent="0.3">
      <c r="A929">
        <v>49</v>
      </c>
      <c r="B929" s="1" t="s">
        <v>7</v>
      </c>
      <c r="C929">
        <v>33.630000000000003</v>
      </c>
      <c r="D929">
        <v>2</v>
      </c>
      <c r="E929" t="s">
        <v>10</v>
      </c>
      <c r="F929" t="s">
        <v>12</v>
      </c>
      <c r="G929" s="2">
        <v>13470.804400000001</v>
      </c>
      <c r="H929" t="str" cm="1">
        <f t="array" ref="H929">_xlfn.IFS(A929&lt;=30, "Youth", A929&lt;=50, "Adult", A929&gt;50, "Older")</f>
        <v>Adult</v>
      </c>
      <c r="I929" t="str" cm="1">
        <f t="array" ref="I929">_xlfn.IFS(A929&lt;=25,"18-25",A929&lt;=35,"26-35",A929&lt;=45,"36-45",A929&lt;=60,"46-60",A929&gt;60,"60+")</f>
        <v>46-60</v>
      </c>
      <c r="J929" t="str" cm="1">
        <f t="array" ref="J929">_xlfn.IFS(C929&lt;18.5,"Underweight",C929&lt;25,"Normal",C929&lt;30,"Overweight",C929&gt;=30,"Obese")</f>
        <v>Obese</v>
      </c>
      <c r="K929" t="str" cm="1">
        <f t="array" ref="K929">_xlfn.IFS(G929&lt;10000, "Low", G929&lt;=25000, "Medium", G929&gt;25000, "High")</f>
        <v>Medium</v>
      </c>
    </row>
    <row r="930" spans="1:11" x14ac:dyDescent="0.3">
      <c r="A930">
        <v>49</v>
      </c>
      <c r="B930" s="1" t="s">
        <v>8</v>
      </c>
      <c r="C930">
        <v>33.630000000000003</v>
      </c>
      <c r="D930">
        <v>2</v>
      </c>
      <c r="E930" t="s">
        <v>10</v>
      </c>
      <c r="F930" t="s">
        <v>12</v>
      </c>
      <c r="G930" s="2">
        <v>13470.86</v>
      </c>
      <c r="H930" t="str" cm="1">
        <f t="array" ref="H930">_xlfn.IFS(A930&lt;=30, "Youth", A930&lt;=50, "Adult", A930&gt;50, "Older")</f>
        <v>Adult</v>
      </c>
      <c r="I930" t="str" cm="1">
        <f t="array" ref="I930">_xlfn.IFS(A930&lt;=25,"18-25",A930&lt;=35,"26-35",A930&lt;=45,"36-45",A930&lt;=60,"46-60",A930&gt;60,"60+")</f>
        <v>46-60</v>
      </c>
      <c r="J930" t="str" cm="1">
        <f t="array" ref="J930">_xlfn.IFS(C930&lt;18.5,"Underweight",C930&lt;25,"Normal",C930&lt;30,"Overweight",C930&gt;=30,"Obese")</f>
        <v>Obese</v>
      </c>
      <c r="K930" t="str" cm="1">
        <f t="array" ref="K930">_xlfn.IFS(G930&lt;10000, "Low", G930&lt;=25000, "Medium", G930&gt;25000, "High")</f>
        <v>Medium</v>
      </c>
    </row>
    <row r="931" spans="1:11" x14ac:dyDescent="0.3">
      <c r="A931">
        <v>49</v>
      </c>
      <c r="B931" s="1" t="s">
        <v>8</v>
      </c>
      <c r="C931">
        <v>33.630000000000003</v>
      </c>
      <c r="D931">
        <v>2</v>
      </c>
      <c r="E931" t="s">
        <v>10</v>
      </c>
      <c r="F931" t="s">
        <v>12</v>
      </c>
      <c r="G931" s="2">
        <v>13555.0049</v>
      </c>
      <c r="H931" t="str" cm="1">
        <f t="array" ref="H931">_xlfn.IFS(A931&lt;=30, "Youth", A931&lt;=50, "Adult", A931&gt;50, "Older")</f>
        <v>Adult</v>
      </c>
      <c r="I931" t="str" cm="1">
        <f t="array" ref="I931">_xlfn.IFS(A931&lt;=25,"18-25",A931&lt;=35,"26-35",A931&lt;=45,"36-45",A931&lt;=60,"46-60",A931&gt;60,"60+")</f>
        <v>46-60</v>
      </c>
      <c r="J931" t="str" cm="1">
        <f t="array" ref="J931">_xlfn.IFS(C931&lt;18.5,"Underweight",C931&lt;25,"Normal",C931&lt;30,"Overweight",C931&gt;=30,"Obese")</f>
        <v>Obese</v>
      </c>
      <c r="K931" t="str" cm="1">
        <f t="array" ref="K931">_xlfn.IFS(G931&lt;10000, "Low", G931&lt;=25000, "Medium", G931&gt;25000, "High")</f>
        <v>Medium</v>
      </c>
    </row>
    <row r="932" spans="1:11" x14ac:dyDescent="0.3">
      <c r="A932">
        <v>49</v>
      </c>
      <c r="B932" s="1" t="s">
        <v>7</v>
      </c>
      <c r="C932">
        <v>33.630000000000003</v>
      </c>
      <c r="D932">
        <v>2</v>
      </c>
      <c r="E932" t="s">
        <v>10</v>
      </c>
      <c r="F932" t="s">
        <v>11</v>
      </c>
      <c r="G932" s="2">
        <v>13607.36875</v>
      </c>
      <c r="H932" t="str" cm="1">
        <f t="array" ref="H932">_xlfn.IFS(A932&lt;=30, "Youth", A932&lt;=50, "Adult", A932&gt;50, "Older")</f>
        <v>Adult</v>
      </c>
      <c r="I932" t="str" cm="1">
        <f t="array" ref="I932">_xlfn.IFS(A932&lt;=25,"18-25",A932&lt;=35,"26-35",A932&lt;=45,"36-45",A932&lt;=60,"46-60",A932&gt;60,"60+")</f>
        <v>46-60</v>
      </c>
      <c r="J932" t="str" cm="1">
        <f t="array" ref="J932">_xlfn.IFS(C932&lt;18.5,"Underweight",C932&lt;25,"Normal",C932&lt;30,"Overweight",C932&gt;=30,"Obese")</f>
        <v>Obese</v>
      </c>
      <c r="K932" t="str" cm="1">
        <f t="array" ref="K932">_xlfn.IFS(G932&lt;10000, "Low", G932&lt;=25000, "Medium", G932&gt;25000, "High")</f>
        <v>Medium</v>
      </c>
    </row>
    <row r="933" spans="1:11" x14ac:dyDescent="0.3">
      <c r="A933">
        <v>49</v>
      </c>
      <c r="B933" s="1" t="s">
        <v>8</v>
      </c>
      <c r="C933">
        <v>33.659999999999997</v>
      </c>
      <c r="D933">
        <v>2</v>
      </c>
      <c r="E933" t="s">
        <v>10</v>
      </c>
      <c r="F933" t="s">
        <v>11</v>
      </c>
      <c r="G933" s="2">
        <v>13616.3586</v>
      </c>
      <c r="H933" t="str" cm="1">
        <f t="array" ref="H933">_xlfn.IFS(A933&lt;=30, "Youth", A933&lt;=50, "Adult", A933&gt;50, "Older")</f>
        <v>Adult</v>
      </c>
      <c r="I933" t="str" cm="1">
        <f t="array" ref="I933">_xlfn.IFS(A933&lt;=25,"18-25",A933&lt;=35,"26-35",A933&lt;=45,"36-45",A933&lt;=60,"46-60",A933&gt;60,"60+")</f>
        <v>46-60</v>
      </c>
      <c r="J933" t="str" cm="1">
        <f t="array" ref="J933">_xlfn.IFS(C933&lt;18.5,"Underweight",C933&lt;25,"Normal",C933&lt;30,"Overweight",C933&gt;=30,"Obese")</f>
        <v>Obese</v>
      </c>
      <c r="K933" t="str" cm="1">
        <f t="array" ref="K933">_xlfn.IFS(G933&lt;10000, "Low", G933&lt;=25000, "Medium", G933&gt;25000, "High")</f>
        <v>Medium</v>
      </c>
    </row>
    <row r="934" spans="1:11" x14ac:dyDescent="0.3">
      <c r="A934">
        <v>49</v>
      </c>
      <c r="B934" s="1" t="s">
        <v>7</v>
      </c>
      <c r="C934">
        <v>33.659999999999997</v>
      </c>
      <c r="D934">
        <v>2</v>
      </c>
      <c r="E934" t="s">
        <v>10</v>
      </c>
      <c r="F934" t="s">
        <v>11</v>
      </c>
      <c r="G934" s="2">
        <v>13635.6379</v>
      </c>
      <c r="H934" t="str" cm="1">
        <f t="array" ref="H934">_xlfn.IFS(A934&lt;=30, "Youth", A934&lt;=50, "Adult", A934&gt;50, "Older")</f>
        <v>Adult</v>
      </c>
      <c r="I934" t="str" cm="1">
        <f t="array" ref="I934">_xlfn.IFS(A934&lt;=25,"18-25",A934&lt;=35,"26-35",A934&lt;=45,"36-45",A934&lt;=60,"46-60",A934&gt;60,"60+")</f>
        <v>46-60</v>
      </c>
      <c r="J934" t="str" cm="1">
        <f t="array" ref="J934">_xlfn.IFS(C934&lt;18.5,"Underweight",C934&lt;25,"Normal",C934&lt;30,"Overweight",C934&gt;=30,"Obese")</f>
        <v>Obese</v>
      </c>
      <c r="K934" t="str" cm="1">
        <f t="array" ref="K934">_xlfn.IFS(G934&lt;10000, "Low", G934&lt;=25000, "Medium", G934&gt;25000, "High")</f>
        <v>Medium</v>
      </c>
    </row>
    <row r="935" spans="1:11" x14ac:dyDescent="0.3">
      <c r="A935">
        <v>49</v>
      </c>
      <c r="B935" s="1" t="s">
        <v>8</v>
      </c>
      <c r="C935">
        <v>33.659999999999997</v>
      </c>
      <c r="D935">
        <v>2</v>
      </c>
      <c r="E935" t="s">
        <v>10</v>
      </c>
      <c r="F935" t="s">
        <v>12</v>
      </c>
      <c r="G935" s="2">
        <v>13725.47184</v>
      </c>
      <c r="H935" t="str" cm="1">
        <f t="array" ref="H935">_xlfn.IFS(A935&lt;=30, "Youth", A935&lt;=50, "Adult", A935&gt;50, "Older")</f>
        <v>Adult</v>
      </c>
      <c r="I935" t="str" cm="1">
        <f t="array" ref="I935">_xlfn.IFS(A935&lt;=25,"18-25",A935&lt;=35,"26-35",A935&lt;=45,"36-45",A935&lt;=60,"46-60",A935&gt;60,"60+")</f>
        <v>46-60</v>
      </c>
      <c r="J935" t="str" cm="1">
        <f t="array" ref="J935">_xlfn.IFS(C935&lt;18.5,"Underweight",C935&lt;25,"Normal",C935&lt;30,"Overweight",C935&gt;=30,"Obese")</f>
        <v>Obese</v>
      </c>
      <c r="K935" t="str" cm="1">
        <f t="array" ref="K935">_xlfn.IFS(G935&lt;10000, "Low", G935&lt;=25000, "Medium", G935&gt;25000, "High")</f>
        <v>Medium</v>
      </c>
    </row>
    <row r="936" spans="1:11" x14ac:dyDescent="0.3">
      <c r="A936">
        <v>49</v>
      </c>
      <c r="B936" s="1" t="s">
        <v>7</v>
      </c>
      <c r="C936">
        <v>33.659999999999997</v>
      </c>
      <c r="D936">
        <v>2</v>
      </c>
      <c r="E936" t="s">
        <v>10</v>
      </c>
      <c r="F936" t="s">
        <v>11</v>
      </c>
      <c r="G936" s="2">
        <v>13747.87235</v>
      </c>
      <c r="H936" t="str" cm="1">
        <f t="array" ref="H936">_xlfn.IFS(A936&lt;=30, "Youth", A936&lt;=50, "Adult", A936&gt;50, "Older")</f>
        <v>Adult</v>
      </c>
      <c r="I936" t="str" cm="1">
        <f t="array" ref="I936">_xlfn.IFS(A936&lt;=25,"18-25",A936&lt;=35,"26-35",A936&lt;=45,"36-45",A936&lt;=60,"46-60",A936&gt;60,"60+")</f>
        <v>46-60</v>
      </c>
      <c r="J936" t="str" cm="1">
        <f t="array" ref="J936">_xlfn.IFS(C936&lt;18.5,"Underweight",C936&lt;25,"Normal",C936&lt;30,"Overweight",C936&gt;=30,"Obese")</f>
        <v>Obese</v>
      </c>
      <c r="K936" t="str" cm="1">
        <f t="array" ref="K936">_xlfn.IFS(G936&lt;10000, "Low", G936&lt;=25000, "Medium", G936&gt;25000, "High")</f>
        <v>Medium</v>
      </c>
    </row>
    <row r="937" spans="1:11" x14ac:dyDescent="0.3">
      <c r="A937">
        <v>49</v>
      </c>
      <c r="B937" s="1" t="s">
        <v>8</v>
      </c>
      <c r="C937">
        <v>33.659999999999997</v>
      </c>
      <c r="D937">
        <v>2</v>
      </c>
      <c r="E937" t="s">
        <v>10</v>
      </c>
      <c r="F937" t="s">
        <v>14</v>
      </c>
      <c r="G937" s="2">
        <v>13770.097900000001</v>
      </c>
      <c r="H937" t="str" cm="1">
        <f t="array" ref="H937">_xlfn.IFS(A937&lt;=30, "Youth", A937&lt;=50, "Adult", A937&gt;50, "Older")</f>
        <v>Adult</v>
      </c>
      <c r="I937" t="str" cm="1">
        <f t="array" ref="I937">_xlfn.IFS(A937&lt;=25,"18-25",A937&lt;=35,"26-35",A937&lt;=45,"36-45",A937&lt;=60,"46-60",A937&gt;60,"60+")</f>
        <v>46-60</v>
      </c>
      <c r="J937" t="str" cm="1">
        <f t="array" ref="J937">_xlfn.IFS(C937&lt;18.5,"Underweight",C937&lt;25,"Normal",C937&lt;30,"Overweight",C937&gt;=30,"Obese")</f>
        <v>Obese</v>
      </c>
      <c r="K937" t="str" cm="1">
        <f t="array" ref="K937">_xlfn.IFS(G937&lt;10000, "Low", G937&lt;=25000, "Medium", G937&gt;25000, "High")</f>
        <v>Medium</v>
      </c>
    </row>
    <row r="938" spans="1:11" x14ac:dyDescent="0.3">
      <c r="A938">
        <v>49</v>
      </c>
      <c r="B938" s="1" t="s">
        <v>7</v>
      </c>
      <c r="C938">
        <v>33.700000000000003</v>
      </c>
      <c r="D938">
        <v>2</v>
      </c>
      <c r="E938" t="s">
        <v>10</v>
      </c>
      <c r="F938" t="s">
        <v>13</v>
      </c>
      <c r="G938" s="2">
        <v>13822.803</v>
      </c>
      <c r="H938" t="str" cm="1">
        <f t="array" ref="H938">_xlfn.IFS(A938&lt;=30, "Youth", A938&lt;=50, "Adult", A938&gt;50, "Older")</f>
        <v>Adult</v>
      </c>
      <c r="I938" t="str" cm="1">
        <f t="array" ref="I938">_xlfn.IFS(A938&lt;=25,"18-25",A938&lt;=35,"26-35",A938&lt;=45,"36-45",A938&lt;=60,"46-60",A938&gt;60,"60+")</f>
        <v>46-60</v>
      </c>
      <c r="J938" t="str" cm="1">
        <f t="array" ref="J938">_xlfn.IFS(C938&lt;18.5,"Underweight",C938&lt;25,"Normal",C938&lt;30,"Overweight",C938&gt;=30,"Obese")</f>
        <v>Obese</v>
      </c>
      <c r="K938" t="str" cm="1">
        <f t="array" ref="K938">_xlfn.IFS(G938&lt;10000, "Low", G938&lt;=25000, "Medium", G938&gt;25000, "High")</f>
        <v>Medium</v>
      </c>
    </row>
    <row r="939" spans="1:11" x14ac:dyDescent="0.3">
      <c r="A939">
        <v>49</v>
      </c>
      <c r="B939" s="1" t="s">
        <v>8</v>
      </c>
      <c r="C939">
        <v>33.700000000000003</v>
      </c>
      <c r="D939">
        <v>2</v>
      </c>
      <c r="E939" t="s">
        <v>10</v>
      </c>
      <c r="F939" t="s">
        <v>12</v>
      </c>
      <c r="G939" s="2">
        <v>13831.1152</v>
      </c>
      <c r="H939" t="str" cm="1">
        <f t="array" ref="H939">_xlfn.IFS(A939&lt;=30, "Youth", A939&lt;=50, "Adult", A939&gt;50, "Older")</f>
        <v>Adult</v>
      </c>
      <c r="I939" t="str" cm="1">
        <f t="array" ref="I939">_xlfn.IFS(A939&lt;=25,"18-25",A939&lt;=35,"26-35",A939&lt;=45,"36-45",A939&lt;=60,"46-60",A939&gt;60,"60+")</f>
        <v>46-60</v>
      </c>
      <c r="J939" t="str" cm="1">
        <f t="array" ref="J939">_xlfn.IFS(C939&lt;18.5,"Underweight",C939&lt;25,"Normal",C939&lt;30,"Overweight",C939&gt;=30,"Obese")</f>
        <v>Obese</v>
      </c>
      <c r="K939" t="str" cm="1">
        <f t="array" ref="K939">_xlfn.IFS(G939&lt;10000, "Low", G939&lt;=25000, "Medium", G939&gt;25000, "High")</f>
        <v>Medium</v>
      </c>
    </row>
    <row r="940" spans="1:11" x14ac:dyDescent="0.3">
      <c r="A940">
        <v>49</v>
      </c>
      <c r="B940" s="1" t="s">
        <v>8</v>
      </c>
      <c r="C940">
        <v>33.700000000000003</v>
      </c>
      <c r="D940">
        <v>2</v>
      </c>
      <c r="E940" t="s">
        <v>10</v>
      </c>
      <c r="F940" t="s">
        <v>12</v>
      </c>
      <c r="G940" s="2">
        <v>13844.505999999999</v>
      </c>
      <c r="H940" t="str" cm="1">
        <f t="array" ref="H940">_xlfn.IFS(A940&lt;=30, "Youth", A940&lt;=50, "Adult", A940&gt;50, "Older")</f>
        <v>Adult</v>
      </c>
      <c r="I940" t="str" cm="1">
        <f t="array" ref="I940">_xlfn.IFS(A940&lt;=25,"18-25",A940&lt;=35,"26-35",A940&lt;=45,"36-45",A940&lt;=60,"46-60",A940&gt;60,"60+")</f>
        <v>46-60</v>
      </c>
      <c r="J940" t="str" cm="1">
        <f t="array" ref="J940">_xlfn.IFS(C940&lt;18.5,"Underweight",C940&lt;25,"Normal",C940&lt;30,"Overweight",C940&gt;=30,"Obese")</f>
        <v>Obese</v>
      </c>
      <c r="K940" t="str" cm="1">
        <f t="array" ref="K940">_xlfn.IFS(G940&lt;10000, "Low", G940&lt;=25000, "Medium", G940&gt;25000, "High")</f>
        <v>Medium</v>
      </c>
    </row>
    <row r="941" spans="1:11" x14ac:dyDescent="0.3">
      <c r="A941">
        <v>49</v>
      </c>
      <c r="B941" s="1" t="s">
        <v>8</v>
      </c>
      <c r="C941">
        <v>33.725000000000001</v>
      </c>
      <c r="D941">
        <v>2</v>
      </c>
      <c r="E941" t="s">
        <v>10</v>
      </c>
      <c r="F941" t="s">
        <v>12</v>
      </c>
      <c r="G941" s="2">
        <v>13844.797200000001</v>
      </c>
      <c r="H941" t="str" cm="1">
        <f t="array" ref="H941">_xlfn.IFS(A941&lt;=30, "Youth", A941&lt;=50, "Adult", A941&gt;50, "Older")</f>
        <v>Adult</v>
      </c>
      <c r="I941" t="str" cm="1">
        <f t="array" ref="I941">_xlfn.IFS(A941&lt;=25,"18-25",A941&lt;=35,"26-35",A941&lt;=45,"36-45",A941&lt;=60,"46-60",A941&gt;60,"60+")</f>
        <v>46-60</v>
      </c>
      <c r="J941" t="str" cm="1">
        <f t="array" ref="J941">_xlfn.IFS(C941&lt;18.5,"Underweight",C941&lt;25,"Normal",C941&lt;30,"Overweight",C941&gt;=30,"Obese")</f>
        <v>Obese</v>
      </c>
      <c r="K941" t="str" cm="1">
        <f t="array" ref="K941">_xlfn.IFS(G941&lt;10000, "Low", G941&lt;=25000, "Medium", G941&gt;25000, "High")</f>
        <v>Medium</v>
      </c>
    </row>
    <row r="942" spans="1:11" x14ac:dyDescent="0.3">
      <c r="A942">
        <v>49</v>
      </c>
      <c r="B942" s="1" t="s">
        <v>7</v>
      </c>
      <c r="C942">
        <v>33.725000000000001</v>
      </c>
      <c r="D942">
        <v>2</v>
      </c>
      <c r="E942" t="s">
        <v>10</v>
      </c>
      <c r="F942" t="s">
        <v>12</v>
      </c>
      <c r="G942" s="2">
        <v>13880.949000000001</v>
      </c>
      <c r="H942" t="str" cm="1">
        <f t="array" ref="H942">_xlfn.IFS(A942&lt;=30, "Youth", A942&lt;=50, "Adult", A942&gt;50, "Older")</f>
        <v>Adult</v>
      </c>
      <c r="I942" t="str" cm="1">
        <f t="array" ref="I942">_xlfn.IFS(A942&lt;=25,"18-25",A942&lt;=35,"26-35",A942&lt;=45,"36-45",A942&lt;=60,"46-60",A942&gt;60,"60+")</f>
        <v>46-60</v>
      </c>
      <c r="J942" t="str" cm="1">
        <f t="array" ref="J942">_xlfn.IFS(C942&lt;18.5,"Underweight",C942&lt;25,"Normal",C942&lt;30,"Overweight",C942&gt;=30,"Obese")</f>
        <v>Obese</v>
      </c>
      <c r="K942" t="str" cm="1">
        <f t="array" ref="K942">_xlfn.IFS(G942&lt;10000, "Low", G942&lt;=25000, "Medium", G942&gt;25000, "High")</f>
        <v>Medium</v>
      </c>
    </row>
    <row r="943" spans="1:11" x14ac:dyDescent="0.3">
      <c r="A943">
        <v>49</v>
      </c>
      <c r="B943" s="1" t="s">
        <v>7</v>
      </c>
      <c r="C943">
        <v>33.770000000000003</v>
      </c>
      <c r="D943">
        <v>2</v>
      </c>
      <c r="E943" t="s">
        <v>10</v>
      </c>
      <c r="F943" t="s">
        <v>14</v>
      </c>
      <c r="G943" s="2">
        <v>13887.204</v>
      </c>
      <c r="H943" t="str" cm="1">
        <f t="array" ref="H943">_xlfn.IFS(A943&lt;=30, "Youth", A943&lt;=50, "Adult", A943&gt;50, "Older")</f>
        <v>Adult</v>
      </c>
      <c r="I943" t="str" cm="1">
        <f t="array" ref="I943">_xlfn.IFS(A943&lt;=25,"18-25",A943&lt;=35,"26-35",A943&lt;=45,"36-45",A943&lt;=60,"46-60",A943&gt;60,"60+")</f>
        <v>46-60</v>
      </c>
      <c r="J943" t="str" cm="1">
        <f t="array" ref="J943">_xlfn.IFS(C943&lt;18.5,"Underweight",C943&lt;25,"Normal",C943&lt;30,"Overweight",C943&gt;=30,"Obese")</f>
        <v>Obese</v>
      </c>
      <c r="K943" t="str" cm="1">
        <f t="array" ref="K943">_xlfn.IFS(G943&lt;10000, "Low", G943&lt;=25000, "Medium", G943&gt;25000, "High")</f>
        <v>Medium</v>
      </c>
    </row>
    <row r="944" spans="1:11" x14ac:dyDescent="0.3">
      <c r="A944">
        <v>49</v>
      </c>
      <c r="B944" s="1" t="s">
        <v>8</v>
      </c>
      <c r="C944">
        <v>33.770000000000003</v>
      </c>
      <c r="D944">
        <v>2</v>
      </c>
      <c r="E944" t="s">
        <v>10</v>
      </c>
      <c r="F944" t="s">
        <v>13</v>
      </c>
      <c r="G944" s="2">
        <v>13887.968500000001</v>
      </c>
      <c r="H944" t="str" cm="1">
        <f t="array" ref="H944">_xlfn.IFS(A944&lt;=30, "Youth", A944&lt;=50, "Adult", A944&gt;50, "Older")</f>
        <v>Adult</v>
      </c>
      <c r="I944" t="str" cm="1">
        <f t="array" ref="I944">_xlfn.IFS(A944&lt;=25,"18-25",A944&lt;=35,"26-35",A944&lt;=45,"36-45",A944&lt;=60,"46-60",A944&gt;60,"60+")</f>
        <v>46-60</v>
      </c>
      <c r="J944" t="str" cm="1">
        <f t="array" ref="J944">_xlfn.IFS(C944&lt;18.5,"Underweight",C944&lt;25,"Normal",C944&lt;30,"Overweight",C944&gt;=30,"Obese")</f>
        <v>Obese</v>
      </c>
      <c r="K944" t="str" cm="1">
        <f t="array" ref="K944">_xlfn.IFS(G944&lt;10000, "Low", G944&lt;=25000, "Medium", G944&gt;25000, "High")</f>
        <v>Medium</v>
      </c>
    </row>
    <row r="945" spans="1:11" x14ac:dyDescent="0.3">
      <c r="A945">
        <v>49</v>
      </c>
      <c r="B945" s="1" t="s">
        <v>8</v>
      </c>
      <c r="C945">
        <v>33.799999999999997</v>
      </c>
      <c r="D945">
        <v>2</v>
      </c>
      <c r="E945" t="s">
        <v>10</v>
      </c>
      <c r="F945" t="s">
        <v>12</v>
      </c>
      <c r="G945" s="2">
        <v>13919.822899999999</v>
      </c>
      <c r="H945" t="str" cm="1">
        <f t="array" ref="H945">_xlfn.IFS(A945&lt;=30, "Youth", A945&lt;=50, "Adult", A945&gt;50, "Older")</f>
        <v>Adult</v>
      </c>
      <c r="I945" t="str" cm="1">
        <f t="array" ref="I945">_xlfn.IFS(A945&lt;=25,"18-25",A945&lt;=35,"26-35",A945&lt;=45,"36-45",A945&lt;=60,"46-60",A945&gt;60,"60+")</f>
        <v>46-60</v>
      </c>
      <c r="J945" t="str" cm="1">
        <f t="array" ref="J945">_xlfn.IFS(C945&lt;18.5,"Underweight",C945&lt;25,"Normal",C945&lt;30,"Overweight",C945&gt;=30,"Obese")</f>
        <v>Obese</v>
      </c>
      <c r="K945" t="str" cm="1">
        <f t="array" ref="K945">_xlfn.IFS(G945&lt;10000, "Low", G945&lt;=25000, "Medium", G945&gt;25000, "High")</f>
        <v>Medium</v>
      </c>
    </row>
    <row r="946" spans="1:11" x14ac:dyDescent="0.3">
      <c r="A946">
        <v>49</v>
      </c>
      <c r="B946" s="1" t="s">
        <v>7</v>
      </c>
      <c r="C946">
        <v>33.82</v>
      </c>
      <c r="D946">
        <v>2</v>
      </c>
      <c r="E946" t="s">
        <v>10</v>
      </c>
      <c r="F946" t="s">
        <v>11</v>
      </c>
      <c r="G946" s="2">
        <v>13937.666499999999</v>
      </c>
      <c r="H946" t="str" cm="1">
        <f t="array" ref="H946">_xlfn.IFS(A946&lt;=30, "Youth", A946&lt;=50, "Adult", A946&gt;50, "Older")</f>
        <v>Adult</v>
      </c>
      <c r="I946" t="str" cm="1">
        <f t="array" ref="I946">_xlfn.IFS(A946&lt;=25,"18-25",A946&lt;=35,"26-35",A946&lt;=45,"36-45",A946&lt;=60,"46-60",A946&gt;60,"60+")</f>
        <v>46-60</v>
      </c>
      <c r="J946" t="str" cm="1">
        <f t="array" ref="J946">_xlfn.IFS(C946&lt;18.5,"Underweight",C946&lt;25,"Normal",C946&lt;30,"Overweight",C946&gt;=30,"Obese")</f>
        <v>Obese</v>
      </c>
      <c r="K946" t="str" cm="1">
        <f t="array" ref="K946">_xlfn.IFS(G946&lt;10000, "Low", G946&lt;=25000, "Medium", G946&gt;25000, "High")</f>
        <v>Medium</v>
      </c>
    </row>
    <row r="947" spans="1:11" x14ac:dyDescent="0.3">
      <c r="A947">
        <v>49</v>
      </c>
      <c r="B947" s="1" t="s">
        <v>8</v>
      </c>
      <c r="C947">
        <v>33.82</v>
      </c>
      <c r="D947">
        <v>2</v>
      </c>
      <c r="E947" t="s">
        <v>10</v>
      </c>
      <c r="F947" t="s">
        <v>11</v>
      </c>
      <c r="G947" s="2">
        <v>13974.455550000001</v>
      </c>
      <c r="H947" t="str" cm="1">
        <f t="array" ref="H947">_xlfn.IFS(A947&lt;=30, "Youth", A947&lt;=50, "Adult", A947&gt;50, "Older")</f>
        <v>Adult</v>
      </c>
      <c r="I947" t="str" cm="1">
        <f t="array" ref="I947">_xlfn.IFS(A947&lt;=25,"18-25",A947&lt;=35,"26-35",A947&lt;=45,"36-45",A947&lt;=60,"46-60",A947&gt;60,"60+")</f>
        <v>46-60</v>
      </c>
      <c r="J947" t="str" cm="1">
        <f t="array" ref="J947">_xlfn.IFS(C947&lt;18.5,"Underweight",C947&lt;25,"Normal",C947&lt;30,"Overweight",C947&gt;=30,"Obese")</f>
        <v>Obese</v>
      </c>
      <c r="K947" t="str" cm="1">
        <f t="array" ref="K947">_xlfn.IFS(G947&lt;10000, "Low", G947&lt;=25000, "Medium", G947&gt;25000, "High")</f>
        <v>Medium</v>
      </c>
    </row>
    <row r="948" spans="1:11" x14ac:dyDescent="0.3">
      <c r="A948">
        <v>49</v>
      </c>
      <c r="B948" s="1" t="s">
        <v>8</v>
      </c>
      <c r="C948">
        <v>33.82</v>
      </c>
      <c r="D948">
        <v>2</v>
      </c>
      <c r="E948" t="s">
        <v>9</v>
      </c>
      <c r="F948" t="s">
        <v>14</v>
      </c>
      <c r="G948" s="2">
        <v>13981.850350000001</v>
      </c>
      <c r="H948" t="str" cm="1">
        <f t="array" ref="H948">_xlfn.IFS(A948&lt;=30, "Youth", A948&lt;=50, "Adult", A948&gt;50, "Older")</f>
        <v>Adult</v>
      </c>
      <c r="I948" t="str" cm="1">
        <f t="array" ref="I948">_xlfn.IFS(A948&lt;=25,"18-25",A948&lt;=35,"26-35",A948&lt;=45,"36-45",A948&lt;=60,"46-60",A948&gt;60,"60+")</f>
        <v>46-60</v>
      </c>
      <c r="J948" t="str" cm="1">
        <f t="array" ref="J948">_xlfn.IFS(C948&lt;18.5,"Underweight",C948&lt;25,"Normal",C948&lt;30,"Overweight",C948&gt;=30,"Obese")</f>
        <v>Obese</v>
      </c>
      <c r="K948" t="str" cm="1">
        <f t="array" ref="K948">_xlfn.IFS(G948&lt;10000, "Low", G948&lt;=25000, "Medium", G948&gt;25000, "High")</f>
        <v>Medium</v>
      </c>
    </row>
    <row r="949" spans="1:11" x14ac:dyDescent="0.3">
      <c r="A949">
        <v>49</v>
      </c>
      <c r="B949" s="1" t="s">
        <v>8</v>
      </c>
      <c r="C949">
        <v>33.82</v>
      </c>
      <c r="D949">
        <v>2</v>
      </c>
      <c r="E949" t="s">
        <v>10</v>
      </c>
      <c r="F949" t="s">
        <v>13</v>
      </c>
      <c r="G949" s="2">
        <v>14001.1338</v>
      </c>
      <c r="H949" t="str" cm="1">
        <f t="array" ref="H949">_xlfn.IFS(A949&lt;=30, "Youth", A949&lt;=50, "Adult", A949&gt;50, "Older")</f>
        <v>Adult</v>
      </c>
      <c r="I949" t="str" cm="1">
        <f t="array" ref="I949">_xlfn.IFS(A949&lt;=25,"18-25",A949&lt;=35,"26-35",A949&lt;=45,"36-45",A949&lt;=60,"46-60",A949&gt;60,"60+")</f>
        <v>46-60</v>
      </c>
      <c r="J949" t="str" cm="1">
        <f t="array" ref="J949">_xlfn.IFS(C949&lt;18.5,"Underweight",C949&lt;25,"Normal",C949&lt;30,"Overweight",C949&gt;=30,"Obese")</f>
        <v>Obese</v>
      </c>
      <c r="K949" t="str" cm="1">
        <f t="array" ref="K949">_xlfn.IFS(G949&lt;10000, "Low", G949&lt;=25000, "Medium", G949&gt;25000, "High")</f>
        <v>Medium</v>
      </c>
    </row>
    <row r="950" spans="1:11" x14ac:dyDescent="0.3">
      <c r="A950">
        <v>49</v>
      </c>
      <c r="B950" s="1" t="s">
        <v>8</v>
      </c>
      <c r="C950">
        <v>33.880000000000003</v>
      </c>
      <c r="D950">
        <v>2</v>
      </c>
      <c r="E950" t="s">
        <v>9</v>
      </c>
      <c r="F950" t="s">
        <v>11</v>
      </c>
      <c r="G950" s="2">
        <v>14001.286700000001</v>
      </c>
      <c r="H950" t="str" cm="1">
        <f t="array" ref="H950">_xlfn.IFS(A950&lt;=30, "Youth", A950&lt;=50, "Adult", A950&gt;50, "Older")</f>
        <v>Adult</v>
      </c>
      <c r="I950" t="str" cm="1">
        <f t="array" ref="I950">_xlfn.IFS(A950&lt;=25,"18-25",A950&lt;=35,"26-35",A950&lt;=45,"36-45",A950&lt;=60,"46-60",A950&gt;60,"60+")</f>
        <v>46-60</v>
      </c>
      <c r="J950" t="str" cm="1">
        <f t="array" ref="J950">_xlfn.IFS(C950&lt;18.5,"Underweight",C950&lt;25,"Normal",C950&lt;30,"Overweight",C950&gt;=30,"Obese")</f>
        <v>Obese</v>
      </c>
      <c r="K950" t="str" cm="1">
        <f t="array" ref="K950">_xlfn.IFS(G950&lt;10000, "Low", G950&lt;=25000, "Medium", G950&gt;25000, "High")</f>
        <v>Medium</v>
      </c>
    </row>
    <row r="951" spans="1:11" x14ac:dyDescent="0.3">
      <c r="A951">
        <v>49</v>
      </c>
      <c r="B951" s="1" t="s">
        <v>8</v>
      </c>
      <c r="C951">
        <v>33.880000000000003</v>
      </c>
      <c r="D951">
        <v>2</v>
      </c>
      <c r="E951" t="s">
        <v>10</v>
      </c>
      <c r="F951" t="s">
        <v>14</v>
      </c>
      <c r="G951" s="2">
        <v>14007.222</v>
      </c>
      <c r="H951" t="str" cm="1">
        <f t="array" ref="H951">_xlfn.IFS(A951&lt;=30, "Youth", A951&lt;=50, "Adult", A951&gt;50, "Older")</f>
        <v>Adult</v>
      </c>
      <c r="I951" t="str" cm="1">
        <f t="array" ref="I951">_xlfn.IFS(A951&lt;=25,"18-25",A951&lt;=35,"26-35",A951&lt;=45,"36-45",A951&lt;=60,"46-60",A951&gt;60,"60+")</f>
        <v>46-60</v>
      </c>
      <c r="J951" t="str" cm="1">
        <f t="array" ref="J951">_xlfn.IFS(C951&lt;18.5,"Underweight",C951&lt;25,"Normal",C951&lt;30,"Overweight",C951&gt;=30,"Obese")</f>
        <v>Obese</v>
      </c>
      <c r="K951" t="str" cm="1">
        <f t="array" ref="K951">_xlfn.IFS(G951&lt;10000, "Low", G951&lt;=25000, "Medium", G951&gt;25000, "High")</f>
        <v>Medium</v>
      </c>
    </row>
    <row r="952" spans="1:11" x14ac:dyDescent="0.3">
      <c r="A952">
        <v>49</v>
      </c>
      <c r="B952" s="1" t="s">
        <v>8</v>
      </c>
      <c r="C952">
        <v>33.880000000000003</v>
      </c>
      <c r="D952">
        <v>2</v>
      </c>
      <c r="E952" t="s">
        <v>9</v>
      </c>
      <c r="F952" t="s">
        <v>12</v>
      </c>
      <c r="G952" s="2">
        <v>14043.476699999999</v>
      </c>
      <c r="H952" t="str" cm="1">
        <f t="array" ref="H952">_xlfn.IFS(A952&lt;=30, "Youth", A952&lt;=50, "Adult", A952&gt;50, "Older")</f>
        <v>Adult</v>
      </c>
      <c r="I952" t="str" cm="1">
        <f t="array" ref="I952">_xlfn.IFS(A952&lt;=25,"18-25",A952&lt;=35,"26-35",A952&lt;=45,"36-45",A952&lt;=60,"46-60",A952&gt;60,"60+")</f>
        <v>46-60</v>
      </c>
      <c r="J952" t="str" cm="1">
        <f t="array" ref="J952">_xlfn.IFS(C952&lt;18.5,"Underweight",C952&lt;25,"Normal",C952&lt;30,"Overweight",C952&gt;=30,"Obese")</f>
        <v>Obese</v>
      </c>
      <c r="K952" t="str" cm="1">
        <f t="array" ref="K952">_xlfn.IFS(G952&lt;10000, "Low", G952&lt;=25000, "Medium", G952&gt;25000, "High")</f>
        <v>Medium</v>
      </c>
    </row>
    <row r="953" spans="1:11" x14ac:dyDescent="0.3">
      <c r="A953">
        <v>49</v>
      </c>
      <c r="B953" s="1" t="s">
        <v>7</v>
      </c>
      <c r="C953">
        <v>33.914999999999999</v>
      </c>
      <c r="D953">
        <v>2</v>
      </c>
      <c r="E953" t="s">
        <v>10</v>
      </c>
      <c r="F953" t="s">
        <v>13</v>
      </c>
      <c r="G953" s="2">
        <v>14119.62</v>
      </c>
      <c r="H953" t="str" cm="1">
        <f t="array" ref="H953">_xlfn.IFS(A953&lt;=30, "Youth", A953&lt;=50, "Adult", A953&gt;50, "Older")</f>
        <v>Adult</v>
      </c>
      <c r="I953" t="str" cm="1">
        <f t="array" ref="I953">_xlfn.IFS(A953&lt;=25,"18-25",A953&lt;=35,"26-35",A953&lt;=45,"36-45",A953&lt;=60,"46-60",A953&gt;60,"60+")</f>
        <v>46-60</v>
      </c>
      <c r="J953" t="str" cm="1">
        <f t="array" ref="J953">_xlfn.IFS(C953&lt;18.5,"Underweight",C953&lt;25,"Normal",C953&lt;30,"Overweight",C953&gt;=30,"Obese")</f>
        <v>Obese</v>
      </c>
      <c r="K953" t="str" cm="1">
        <f t="array" ref="K953">_xlfn.IFS(G953&lt;10000, "Low", G953&lt;=25000, "Medium", G953&gt;25000, "High")</f>
        <v>Medium</v>
      </c>
    </row>
    <row r="954" spans="1:11" x14ac:dyDescent="0.3">
      <c r="A954">
        <v>50</v>
      </c>
      <c r="B954" s="1" t="s">
        <v>8</v>
      </c>
      <c r="C954">
        <v>33.914999999999999</v>
      </c>
      <c r="D954">
        <v>2</v>
      </c>
      <c r="E954" t="s">
        <v>9</v>
      </c>
      <c r="F954" t="s">
        <v>11</v>
      </c>
      <c r="G954" s="2">
        <v>14133.03775</v>
      </c>
      <c r="H954" t="str" cm="1">
        <f t="array" ref="H954">_xlfn.IFS(A954&lt;=30, "Youth", A954&lt;=50, "Adult", A954&gt;50, "Older")</f>
        <v>Adult</v>
      </c>
      <c r="I954" t="str" cm="1">
        <f t="array" ref="I954">_xlfn.IFS(A954&lt;=25,"18-25",A954&lt;=35,"26-35",A954&lt;=45,"36-45",A954&lt;=60,"46-60",A954&gt;60,"60+")</f>
        <v>46-60</v>
      </c>
      <c r="J954" t="str" cm="1">
        <f t="array" ref="J954">_xlfn.IFS(C954&lt;18.5,"Underweight",C954&lt;25,"Normal",C954&lt;30,"Overweight",C954&gt;=30,"Obese")</f>
        <v>Obese</v>
      </c>
      <c r="K954" t="str" cm="1">
        <f t="array" ref="K954">_xlfn.IFS(G954&lt;10000, "Low", G954&lt;=25000, "Medium", G954&gt;25000, "High")</f>
        <v>Medium</v>
      </c>
    </row>
    <row r="955" spans="1:11" x14ac:dyDescent="0.3">
      <c r="A955">
        <v>50</v>
      </c>
      <c r="B955" s="1" t="s">
        <v>8</v>
      </c>
      <c r="C955">
        <v>33.914999999999999</v>
      </c>
      <c r="D955">
        <v>2</v>
      </c>
      <c r="E955" t="s">
        <v>9</v>
      </c>
      <c r="F955" t="s">
        <v>13</v>
      </c>
      <c r="G955" s="2">
        <v>14210.53595</v>
      </c>
      <c r="H955" t="str" cm="1">
        <f t="array" ref="H955">_xlfn.IFS(A955&lt;=30, "Youth", A955&lt;=50, "Adult", A955&gt;50, "Older")</f>
        <v>Adult</v>
      </c>
      <c r="I955" t="str" cm="1">
        <f t="array" ref="I955">_xlfn.IFS(A955&lt;=25,"18-25",A955&lt;=35,"26-35",A955&lt;=45,"36-45",A955&lt;=60,"46-60",A955&gt;60,"60+")</f>
        <v>46-60</v>
      </c>
      <c r="J955" t="str" cm="1">
        <f t="array" ref="J955">_xlfn.IFS(C955&lt;18.5,"Underweight",C955&lt;25,"Normal",C955&lt;30,"Overweight",C955&gt;=30,"Obese")</f>
        <v>Obese</v>
      </c>
      <c r="K955" t="str" cm="1">
        <f t="array" ref="K955">_xlfn.IFS(G955&lt;10000, "Low", G955&lt;=25000, "Medium", G955&gt;25000, "High")</f>
        <v>Medium</v>
      </c>
    </row>
    <row r="956" spans="1:11" x14ac:dyDescent="0.3">
      <c r="A956">
        <v>50</v>
      </c>
      <c r="B956" s="1" t="s">
        <v>8</v>
      </c>
      <c r="C956">
        <v>33.914999999999999</v>
      </c>
      <c r="D956">
        <v>2</v>
      </c>
      <c r="E956" t="s">
        <v>10</v>
      </c>
      <c r="F956" t="s">
        <v>12</v>
      </c>
      <c r="G956" s="2">
        <v>14235.072</v>
      </c>
      <c r="H956" t="str" cm="1">
        <f t="array" ref="H956">_xlfn.IFS(A956&lt;=30, "Youth", A956&lt;=50, "Adult", A956&gt;50, "Older")</f>
        <v>Adult</v>
      </c>
      <c r="I956" t="str" cm="1">
        <f t="array" ref="I956">_xlfn.IFS(A956&lt;=25,"18-25",A956&lt;=35,"26-35",A956&lt;=45,"36-45",A956&lt;=60,"46-60",A956&gt;60,"60+")</f>
        <v>46-60</v>
      </c>
      <c r="J956" t="str" cm="1">
        <f t="array" ref="J956">_xlfn.IFS(C956&lt;18.5,"Underweight",C956&lt;25,"Normal",C956&lt;30,"Overweight",C956&gt;=30,"Obese")</f>
        <v>Obese</v>
      </c>
      <c r="K956" t="str" cm="1">
        <f t="array" ref="K956">_xlfn.IFS(G956&lt;10000, "Low", G956&lt;=25000, "Medium", G956&gt;25000, "High")</f>
        <v>Medium</v>
      </c>
    </row>
    <row r="957" spans="1:11" x14ac:dyDescent="0.3">
      <c r="A957">
        <v>50</v>
      </c>
      <c r="B957" s="1" t="s">
        <v>8</v>
      </c>
      <c r="C957">
        <v>33.99</v>
      </c>
      <c r="D957">
        <v>2</v>
      </c>
      <c r="E957" t="s">
        <v>9</v>
      </c>
      <c r="F957" t="s">
        <v>12</v>
      </c>
      <c r="G957" s="2">
        <v>14254.608200000001</v>
      </c>
      <c r="H957" t="str" cm="1">
        <f t="array" ref="H957">_xlfn.IFS(A957&lt;=30, "Youth", A957&lt;=50, "Adult", A957&gt;50, "Older")</f>
        <v>Adult</v>
      </c>
      <c r="I957" t="str" cm="1">
        <f t="array" ref="I957">_xlfn.IFS(A957&lt;=25,"18-25",A957&lt;=35,"26-35",A957&lt;=45,"36-45",A957&lt;=60,"46-60",A957&gt;60,"60+")</f>
        <v>46-60</v>
      </c>
      <c r="J957" t="str" cm="1">
        <f t="array" ref="J957">_xlfn.IFS(C957&lt;18.5,"Underweight",C957&lt;25,"Normal",C957&lt;30,"Overweight",C957&gt;=30,"Obese")</f>
        <v>Obese</v>
      </c>
      <c r="K957" t="str" cm="1">
        <f t="array" ref="K957">_xlfn.IFS(G957&lt;10000, "Low", G957&lt;=25000, "Medium", G957&gt;25000, "High")</f>
        <v>Medium</v>
      </c>
    </row>
    <row r="958" spans="1:11" x14ac:dyDescent="0.3">
      <c r="A958">
        <v>50</v>
      </c>
      <c r="B958" s="1" t="s">
        <v>8</v>
      </c>
      <c r="C958">
        <v>33.99</v>
      </c>
      <c r="D958">
        <v>2</v>
      </c>
      <c r="E958" t="s">
        <v>10</v>
      </c>
      <c r="F958" t="s">
        <v>13</v>
      </c>
      <c r="G958" s="2">
        <v>14256.192800000001</v>
      </c>
      <c r="H958" t="str" cm="1">
        <f t="array" ref="H958">_xlfn.IFS(A958&lt;=30, "Youth", A958&lt;=50, "Adult", A958&gt;50, "Older")</f>
        <v>Adult</v>
      </c>
      <c r="I958" t="str" cm="1">
        <f t="array" ref="I958">_xlfn.IFS(A958&lt;=25,"18-25",A958&lt;=35,"26-35",A958&lt;=45,"36-45",A958&lt;=60,"46-60",A958&gt;60,"60+")</f>
        <v>46-60</v>
      </c>
      <c r="J958" t="str" cm="1">
        <f t="array" ref="J958">_xlfn.IFS(C958&lt;18.5,"Underweight",C958&lt;25,"Normal",C958&lt;30,"Overweight",C958&gt;=30,"Obese")</f>
        <v>Obese</v>
      </c>
      <c r="K958" t="str" cm="1">
        <f t="array" ref="K958">_xlfn.IFS(G958&lt;10000, "Low", G958&lt;=25000, "Medium", G958&gt;25000, "High")</f>
        <v>Medium</v>
      </c>
    </row>
    <row r="959" spans="1:11" x14ac:dyDescent="0.3">
      <c r="A959">
        <v>50</v>
      </c>
      <c r="B959" s="1" t="s">
        <v>8</v>
      </c>
      <c r="C959">
        <v>34.01</v>
      </c>
      <c r="D959">
        <v>2</v>
      </c>
      <c r="E959" t="s">
        <v>9</v>
      </c>
      <c r="F959" t="s">
        <v>14</v>
      </c>
      <c r="G959" s="2">
        <v>14283.4594</v>
      </c>
      <c r="H959" t="str" cm="1">
        <f t="array" ref="H959">_xlfn.IFS(A959&lt;=30, "Youth", A959&lt;=50, "Adult", A959&gt;50, "Older")</f>
        <v>Adult</v>
      </c>
      <c r="I959" t="str" cm="1">
        <f t="array" ref="I959">_xlfn.IFS(A959&lt;=25,"18-25",A959&lt;=35,"26-35",A959&lt;=45,"36-45",A959&lt;=60,"46-60",A959&gt;60,"60+")</f>
        <v>46-60</v>
      </c>
      <c r="J959" t="str" cm="1">
        <f t="array" ref="J959">_xlfn.IFS(C959&lt;18.5,"Underweight",C959&lt;25,"Normal",C959&lt;30,"Overweight",C959&gt;=30,"Obese")</f>
        <v>Obese</v>
      </c>
      <c r="K959" t="str" cm="1">
        <f t="array" ref="K959">_xlfn.IFS(G959&lt;10000, "Low", G959&lt;=25000, "Medium", G959&gt;25000, "High")</f>
        <v>Medium</v>
      </c>
    </row>
    <row r="960" spans="1:11" x14ac:dyDescent="0.3">
      <c r="A960">
        <v>50</v>
      </c>
      <c r="B960" s="1" t="s">
        <v>8</v>
      </c>
      <c r="C960">
        <v>34.1</v>
      </c>
      <c r="D960">
        <v>2</v>
      </c>
      <c r="E960" t="s">
        <v>10</v>
      </c>
      <c r="F960" t="s">
        <v>13</v>
      </c>
      <c r="G960" s="2">
        <v>14313.846299999999</v>
      </c>
      <c r="H960" t="str" cm="1">
        <f t="array" ref="H960">_xlfn.IFS(A960&lt;=30, "Youth", A960&lt;=50, "Adult", A960&gt;50, "Older")</f>
        <v>Adult</v>
      </c>
      <c r="I960" t="str" cm="1">
        <f t="array" ref="I960">_xlfn.IFS(A960&lt;=25,"18-25",A960&lt;=35,"26-35",A960&lt;=45,"36-45",A960&lt;=60,"46-60",A960&gt;60,"60+")</f>
        <v>46-60</v>
      </c>
      <c r="J960" t="str" cm="1">
        <f t="array" ref="J960">_xlfn.IFS(C960&lt;18.5,"Underweight",C960&lt;25,"Normal",C960&lt;30,"Overweight",C960&gt;=30,"Obese")</f>
        <v>Obese</v>
      </c>
      <c r="K960" t="str" cm="1">
        <f t="array" ref="K960">_xlfn.IFS(G960&lt;10000, "Low", G960&lt;=25000, "Medium", G960&gt;25000, "High")</f>
        <v>Medium</v>
      </c>
    </row>
    <row r="961" spans="1:11" x14ac:dyDescent="0.3">
      <c r="A961">
        <v>50</v>
      </c>
      <c r="B961" s="1" t="s">
        <v>7</v>
      </c>
      <c r="C961">
        <v>34.1</v>
      </c>
      <c r="D961">
        <v>2</v>
      </c>
      <c r="E961" t="s">
        <v>10</v>
      </c>
      <c r="F961" t="s">
        <v>13</v>
      </c>
      <c r="G961" s="2">
        <v>14319.031000000001</v>
      </c>
      <c r="H961" t="str" cm="1">
        <f t="array" ref="H961">_xlfn.IFS(A961&lt;=30, "Youth", A961&lt;=50, "Adult", A961&gt;50, "Older")</f>
        <v>Adult</v>
      </c>
      <c r="I961" t="str" cm="1">
        <f t="array" ref="I961">_xlfn.IFS(A961&lt;=25,"18-25",A961&lt;=35,"26-35",A961&lt;=45,"36-45",A961&lt;=60,"46-60",A961&gt;60,"60+")</f>
        <v>46-60</v>
      </c>
      <c r="J961" t="str" cm="1">
        <f t="array" ref="J961">_xlfn.IFS(C961&lt;18.5,"Underweight",C961&lt;25,"Normal",C961&lt;30,"Overweight",C961&gt;=30,"Obese")</f>
        <v>Obese</v>
      </c>
      <c r="K961" t="str" cm="1">
        <f t="array" ref="K961">_xlfn.IFS(G961&lt;10000, "Low", G961&lt;=25000, "Medium", G961&gt;25000, "High")</f>
        <v>Medium</v>
      </c>
    </row>
    <row r="962" spans="1:11" x14ac:dyDescent="0.3">
      <c r="A962">
        <v>50</v>
      </c>
      <c r="B962" s="1" t="s">
        <v>7</v>
      </c>
      <c r="C962">
        <v>34.1</v>
      </c>
      <c r="D962">
        <v>2</v>
      </c>
      <c r="E962" t="s">
        <v>10</v>
      </c>
      <c r="F962" t="s">
        <v>11</v>
      </c>
      <c r="G962" s="2">
        <v>14349.8544</v>
      </c>
      <c r="H962" t="str" cm="1">
        <f t="array" ref="H962">_xlfn.IFS(A962&lt;=30, "Youth", A962&lt;=50, "Adult", A962&gt;50, "Older")</f>
        <v>Adult</v>
      </c>
      <c r="I962" t="str" cm="1">
        <f t="array" ref="I962">_xlfn.IFS(A962&lt;=25,"18-25",A962&lt;=35,"26-35",A962&lt;=45,"36-45",A962&lt;=60,"46-60",A962&gt;60,"60+")</f>
        <v>46-60</v>
      </c>
      <c r="J962" t="str" cm="1">
        <f t="array" ref="J962">_xlfn.IFS(C962&lt;18.5,"Underweight",C962&lt;25,"Normal",C962&lt;30,"Overweight",C962&gt;=30,"Obese")</f>
        <v>Obese</v>
      </c>
      <c r="K962" t="str" cm="1">
        <f t="array" ref="K962">_xlfn.IFS(G962&lt;10000, "Low", G962&lt;=25000, "Medium", G962&gt;25000, "High")</f>
        <v>Medium</v>
      </c>
    </row>
    <row r="963" spans="1:11" x14ac:dyDescent="0.3">
      <c r="A963">
        <v>50</v>
      </c>
      <c r="B963" s="1" t="s">
        <v>7</v>
      </c>
      <c r="C963">
        <v>34.1</v>
      </c>
      <c r="D963">
        <v>2</v>
      </c>
      <c r="E963" t="s">
        <v>10</v>
      </c>
      <c r="F963" t="s">
        <v>12</v>
      </c>
      <c r="G963" s="2">
        <v>14358.364369999999</v>
      </c>
      <c r="H963" t="str" cm="1">
        <f t="array" ref="H963">_xlfn.IFS(A963&lt;=30, "Youth", A963&lt;=50, "Adult", A963&gt;50, "Older")</f>
        <v>Adult</v>
      </c>
      <c r="I963" t="str" cm="1">
        <f t="array" ref="I963">_xlfn.IFS(A963&lt;=25,"18-25",A963&lt;=35,"26-35",A963&lt;=45,"36-45",A963&lt;=60,"46-60",A963&gt;60,"60+")</f>
        <v>46-60</v>
      </c>
      <c r="J963" t="str" cm="1">
        <f t="array" ref="J963">_xlfn.IFS(C963&lt;18.5,"Underweight",C963&lt;25,"Normal",C963&lt;30,"Overweight",C963&gt;=30,"Obese")</f>
        <v>Obese</v>
      </c>
      <c r="K963" t="str" cm="1">
        <f t="array" ref="K963">_xlfn.IFS(G963&lt;10000, "Low", G963&lt;=25000, "Medium", G963&gt;25000, "High")</f>
        <v>Medium</v>
      </c>
    </row>
    <row r="964" spans="1:11" x14ac:dyDescent="0.3">
      <c r="A964">
        <v>50</v>
      </c>
      <c r="B964" s="1" t="s">
        <v>8</v>
      </c>
      <c r="C964">
        <v>34.1</v>
      </c>
      <c r="D964">
        <v>2</v>
      </c>
      <c r="E964" t="s">
        <v>10</v>
      </c>
      <c r="F964" t="s">
        <v>14</v>
      </c>
      <c r="G964" s="2">
        <v>14382.709049999999</v>
      </c>
      <c r="H964" t="str" cm="1">
        <f t="array" ref="H964">_xlfn.IFS(A964&lt;=30, "Youth", A964&lt;=50, "Adult", A964&gt;50, "Older")</f>
        <v>Adult</v>
      </c>
      <c r="I964" t="str" cm="1">
        <f t="array" ref="I964">_xlfn.IFS(A964&lt;=25,"18-25",A964&lt;=35,"26-35",A964&lt;=45,"36-45",A964&lt;=60,"46-60",A964&gt;60,"60+")</f>
        <v>46-60</v>
      </c>
      <c r="J964" t="str" cm="1">
        <f t="array" ref="J964">_xlfn.IFS(C964&lt;18.5,"Underweight",C964&lt;25,"Normal",C964&lt;30,"Overweight",C964&gt;=30,"Obese")</f>
        <v>Obese</v>
      </c>
      <c r="K964" t="str" cm="1">
        <f t="array" ref="K964">_xlfn.IFS(G964&lt;10000, "Low", G964&lt;=25000, "Medium", G964&gt;25000, "High")</f>
        <v>Medium</v>
      </c>
    </row>
    <row r="965" spans="1:11" x14ac:dyDescent="0.3">
      <c r="A965">
        <v>50</v>
      </c>
      <c r="B965" s="1" t="s">
        <v>8</v>
      </c>
      <c r="C965">
        <v>34.1</v>
      </c>
      <c r="D965">
        <v>2</v>
      </c>
      <c r="E965" t="s">
        <v>10</v>
      </c>
      <c r="F965" t="s">
        <v>13</v>
      </c>
      <c r="G965" s="2">
        <v>14394.398150000001</v>
      </c>
      <c r="H965" t="str" cm="1">
        <f t="array" ref="H965">_xlfn.IFS(A965&lt;=30, "Youth", A965&lt;=50, "Adult", A965&gt;50, "Older")</f>
        <v>Adult</v>
      </c>
      <c r="I965" t="str" cm="1">
        <f t="array" ref="I965">_xlfn.IFS(A965&lt;=25,"18-25",A965&lt;=35,"26-35",A965&lt;=45,"36-45",A965&lt;=60,"46-60",A965&gt;60,"60+")</f>
        <v>46-60</v>
      </c>
      <c r="J965" t="str" cm="1">
        <f t="array" ref="J965">_xlfn.IFS(C965&lt;18.5,"Underweight",C965&lt;25,"Normal",C965&lt;30,"Overweight",C965&gt;=30,"Obese")</f>
        <v>Obese</v>
      </c>
      <c r="K965" t="str" cm="1">
        <f t="array" ref="K965">_xlfn.IFS(G965&lt;10000, "Low", G965&lt;=25000, "Medium", G965&gt;25000, "High")</f>
        <v>Medium</v>
      </c>
    </row>
    <row r="966" spans="1:11" x14ac:dyDescent="0.3">
      <c r="A966">
        <v>50</v>
      </c>
      <c r="B966" s="1" t="s">
        <v>8</v>
      </c>
      <c r="C966">
        <v>34.1</v>
      </c>
      <c r="D966">
        <v>2</v>
      </c>
      <c r="E966" t="s">
        <v>10</v>
      </c>
      <c r="F966" t="s">
        <v>11</v>
      </c>
      <c r="G966" s="2">
        <v>14394.5579</v>
      </c>
      <c r="H966" t="str" cm="1">
        <f t="array" ref="H966">_xlfn.IFS(A966&lt;=30, "Youth", A966&lt;=50, "Adult", A966&gt;50, "Older")</f>
        <v>Adult</v>
      </c>
      <c r="I966" t="str" cm="1">
        <f t="array" ref="I966">_xlfn.IFS(A966&lt;=25,"18-25",A966&lt;=35,"26-35",A966&lt;=45,"36-45",A966&lt;=60,"46-60",A966&gt;60,"60+")</f>
        <v>46-60</v>
      </c>
      <c r="J966" t="str" cm="1">
        <f t="array" ref="J966">_xlfn.IFS(C966&lt;18.5,"Underweight",C966&lt;25,"Normal",C966&lt;30,"Overweight",C966&gt;=30,"Obese")</f>
        <v>Obese</v>
      </c>
      <c r="K966" t="str" cm="1">
        <f t="array" ref="K966">_xlfn.IFS(G966&lt;10000, "Low", G966&lt;=25000, "Medium", G966&gt;25000, "High")</f>
        <v>Medium</v>
      </c>
    </row>
    <row r="967" spans="1:11" x14ac:dyDescent="0.3">
      <c r="A967">
        <v>50</v>
      </c>
      <c r="B967" s="1" t="s">
        <v>8</v>
      </c>
      <c r="C967">
        <v>34.1</v>
      </c>
      <c r="D967">
        <v>2</v>
      </c>
      <c r="E967" t="s">
        <v>9</v>
      </c>
      <c r="F967" t="s">
        <v>13</v>
      </c>
      <c r="G967" s="2">
        <v>14410.9321</v>
      </c>
      <c r="H967" t="str" cm="1">
        <f t="array" ref="H967">_xlfn.IFS(A967&lt;=30, "Youth", A967&lt;=50, "Adult", A967&gt;50, "Older")</f>
        <v>Adult</v>
      </c>
      <c r="I967" t="str" cm="1">
        <f t="array" ref="I967">_xlfn.IFS(A967&lt;=25,"18-25",A967&lt;=35,"26-35",A967&lt;=45,"36-45",A967&lt;=60,"46-60",A967&gt;60,"60+")</f>
        <v>46-60</v>
      </c>
      <c r="J967" t="str" cm="1">
        <f t="array" ref="J967">_xlfn.IFS(C967&lt;18.5,"Underweight",C967&lt;25,"Normal",C967&lt;30,"Overweight",C967&gt;=30,"Obese")</f>
        <v>Obese</v>
      </c>
      <c r="K967" t="str" cm="1">
        <f t="array" ref="K967">_xlfn.IFS(G967&lt;10000, "Low", G967&lt;=25000, "Medium", G967&gt;25000, "High")</f>
        <v>Medium</v>
      </c>
    </row>
    <row r="968" spans="1:11" x14ac:dyDescent="0.3">
      <c r="A968">
        <v>50</v>
      </c>
      <c r="B968" s="1" t="s">
        <v>8</v>
      </c>
      <c r="C968">
        <v>34.104999999999997</v>
      </c>
      <c r="D968">
        <v>2</v>
      </c>
      <c r="E968" t="s">
        <v>10</v>
      </c>
      <c r="F968" t="s">
        <v>13</v>
      </c>
      <c r="G968" s="2">
        <v>14418.2804</v>
      </c>
      <c r="H968" t="str" cm="1">
        <f t="array" ref="H968">_xlfn.IFS(A968&lt;=30, "Youth", A968&lt;=50, "Adult", A968&gt;50, "Older")</f>
        <v>Adult</v>
      </c>
      <c r="I968" t="str" cm="1">
        <f t="array" ref="I968">_xlfn.IFS(A968&lt;=25,"18-25",A968&lt;=35,"26-35",A968&lt;=45,"36-45",A968&lt;=60,"46-60",A968&gt;60,"60+")</f>
        <v>46-60</v>
      </c>
      <c r="J968" t="str" cm="1">
        <f t="array" ref="J968">_xlfn.IFS(C968&lt;18.5,"Underweight",C968&lt;25,"Normal",C968&lt;30,"Overweight",C968&gt;=30,"Obese")</f>
        <v>Obese</v>
      </c>
      <c r="K968" t="str" cm="1">
        <f t="array" ref="K968">_xlfn.IFS(G968&lt;10000, "Low", G968&lt;=25000, "Medium", G968&gt;25000, "High")</f>
        <v>Medium</v>
      </c>
    </row>
    <row r="969" spans="1:11" x14ac:dyDescent="0.3">
      <c r="A969">
        <v>50</v>
      </c>
      <c r="B969" s="1" t="s">
        <v>8</v>
      </c>
      <c r="C969">
        <v>34.104999999999997</v>
      </c>
      <c r="D969">
        <v>2</v>
      </c>
      <c r="E969" t="s">
        <v>10</v>
      </c>
      <c r="F969" t="s">
        <v>14</v>
      </c>
      <c r="G969" s="2">
        <v>14426.073850000001</v>
      </c>
      <c r="H969" t="str" cm="1">
        <f t="array" ref="H969">_xlfn.IFS(A969&lt;=30, "Youth", A969&lt;=50, "Adult", A969&gt;50, "Older")</f>
        <v>Adult</v>
      </c>
      <c r="I969" t="str" cm="1">
        <f t="array" ref="I969">_xlfn.IFS(A969&lt;=25,"18-25",A969&lt;=35,"26-35",A969&lt;=45,"36-45",A969&lt;=60,"46-60",A969&gt;60,"60+")</f>
        <v>46-60</v>
      </c>
      <c r="J969" t="str" cm="1">
        <f t="array" ref="J969">_xlfn.IFS(C969&lt;18.5,"Underweight",C969&lt;25,"Normal",C969&lt;30,"Overweight",C969&gt;=30,"Obese")</f>
        <v>Obese</v>
      </c>
      <c r="K969" t="str" cm="1">
        <f t="array" ref="K969">_xlfn.IFS(G969&lt;10000, "Low", G969&lt;=25000, "Medium", G969&gt;25000, "High")</f>
        <v>Medium</v>
      </c>
    </row>
    <row r="970" spans="1:11" x14ac:dyDescent="0.3">
      <c r="A970">
        <v>50</v>
      </c>
      <c r="B970" s="1" t="s">
        <v>7</v>
      </c>
      <c r="C970">
        <v>34.104999999999997</v>
      </c>
      <c r="D970">
        <v>2</v>
      </c>
      <c r="E970" t="s">
        <v>10</v>
      </c>
      <c r="F970" t="s">
        <v>12</v>
      </c>
      <c r="G970" s="2">
        <v>14449.8544</v>
      </c>
      <c r="H970" t="str" cm="1">
        <f t="array" ref="H970">_xlfn.IFS(A970&lt;=30, "Youth", A970&lt;=50, "Adult", A970&gt;50, "Older")</f>
        <v>Adult</v>
      </c>
      <c r="I970" t="str" cm="1">
        <f t="array" ref="I970">_xlfn.IFS(A970&lt;=25,"18-25",A970&lt;=35,"26-35",A970&lt;=45,"36-45",A970&lt;=60,"46-60",A970&gt;60,"60+")</f>
        <v>46-60</v>
      </c>
      <c r="J970" t="str" cm="1">
        <f t="array" ref="J970">_xlfn.IFS(C970&lt;18.5,"Underweight",C970&lt;25,"Normal",C970&lt;30,"Overweight",C970&gt;=30,"Obese")</f>
        <v>Obese</v>
      </c>
      <c r="K970" t="str" cm="1">
        <f t="array" ref="K970">_xlfn.IFS(G970&lt;10000, "Low", G970&lt;=25000, "Medium", G970&gt;25000, "High")</f>
        <v>Medium</v>
      </c>
    </row>
    <row r="971" spans="1:11" x14ac:dyDescent="0.3">
      <c r="A971">
        <v>50</v>
      </c>
      <c r="B971" s="1" t="s">
        <v>7</v>
      </c>
      <c r="C971">
        <v>34.104999999999997</v>
      </c>
      <c r="D971">
        <v>2</v>
      </c>
      <c r="E971" t="s">
        <v>10</v>
      </c>
      <c r="F971" t="s">
        <v>12</v>
      </c>
      <c r="G971" s="2">
        <v>14451.835150000001</v>
      </c>
      <c r="H971" t="str" cm="1">
        <f t="array" ref="H971">_xlfn.IFS(A971&lt;=30, "Youth", A971&lt;=50, "Adult", A971&gt;50, "Older")</f>
        <v>Adult</v>
      </c>
      <c r="I971" t="str" cm="1">
        <f t="array" ref="I971">_xlfn.IFS(A971&lt;=25,"18-25",A971&lt;=35,"26-35",A971&lt;=45,"36-45",A971&lt;=60,"46-60",A971&gt;60,"60+")</f>
        <v>46-60</v>
      </c>
      <c r="J971" t="str" cm="1">
        <f t="array" ref="J971">_xlfn.IFS(C971&lt;18.5,"Underweight",C971&lt;25,"Normal",C971&lt;30,"Overweight",C971&gt;=30,"Obese")</f>
        <v>Obese</v>
      </c>
      <c r="K971" t="str" cm="1">
        <f t="array" ref="K971">_xlfn.IFS(G971&lt;10000, "Low", G971&lt;=25000, "Medium", G971&gt;25000, "High")</f>
        <v>Medium</v>
      </c>
    </row>
    <row r="972" spans="1:11" x14ac:dyDescent="0.3">
      <c r="A972">
        <v>50</v>
      </c>
      <c r="B972" s="1" t="s">
        <v>7</v>
      </c>
      <c r="C972">
        <v>34.200000000000003</v>
      </c>
      <c r="D972">
        <v>2</v>
      </c>
      <c r="E972" t="s">
        <v>10</v>
      </c>
      <c r="F972" t="s">
        <v>14</v>
      </c>
      <c r="G972" s="2">
        <v>14455.644050000001</v>
      </c>
      <c r="H972" t="str" cm="1">
        <f t="array" ref="H972">_xlfn.IFS(A972&lt;=30, "Youth", A972&lt;=50, "Adult", A972&gt;50, "Older")</f>
        <v>Adult</v>
      </c>
      <c r="I972" t="str" cm="1">
        <f t="array" ref="I972">_xlfn.IFS(A972&lt;=25,"18-25",A972&lt;=35,"26-35",A972&lt;=45,"36-45",A972&lt;=60,"46-60",A972&gt;60,"60+")</f>
        <v>46-60</v>
      </c>
      <c r="J972" t="str" cm="1">
        <f t="array" ref="J972">_xlfn.IFS(C972&lt;18.5,"Underweight",C972&lt;25,"Normal",C972&lt;30,"Overweight",C972&gt;=30,"Obese")</f>
        <v>Obese</v>
      </c>
      <c r="K972" t="str" cm="1">
        <f t="array" ref="K972">_xlfn.IFS(G972&lt;10000, "Low", G972&lt;=25000, "Medium", G972&gt;25000, "High")</f>
        <v>Medium</v>
      </c>
    </row>
    <row r="973" spans="1:11" x14ac:dyDescent="0.3">
      <c r="A973">
        <v>50</v>
      </c>
      <c r="B973" s="1" t="s">
        <v>7</v>
      </c>
      <c r="C973">
        <v>34.200000000000003</v>
      </c>
      <c r="D973">
        <v>2</v>
      </c>
      <c r="E973" t="s">
        <v>10</v>
      </c>
      <c r="F973" t="s">
        <v>13</v>
      </c>
      <c r="G973" s="2">
        <v>14474.674999999999</v>
      </c>
      <c r="H973" t="str" cm="1">
        <f t="array" ref="H973">_xlfn.IFS(A973&lt;=30, "Youth", A973&lt;=50, "Adult", A973&gt;50, "Older")</f>
        <v>Adult</v>
      </c>
      <c r="I973" t="str" cm="1">
        <f t="array" ref="I973">_xlfn.IFS(A973&lt;=25,"18-25",A973&lt;=35,"26-35",A973&lt;=45,"36-45",A973&lt;=60,"46-60",A973&gt;60,"60+")</f>
        <v>46-60</v>
      </c>
      <c r="J973" t="str" cm="1">
        <f t="array" ref="J973">_xlfn.IFS(C973&lt;18.5,"Underweight",C973&lt;25,"Normal",C973&lt;30,"Overweight",C973&gt;=30,"Obese")</f>
        <v>Obese</v>
      </c>
      <c r="K973" t="str" cm="1">
        <f t="array" ref="K973">_xlfn.IFS(G973&lt;10000, "Low", G973&lt;=25000, "Medium", G973&gt;25000, "High")</f>
        <v>Medium</v>
      </c>
    </row>
    <row r="974" spans="1:11" x14ac:dyDescent="0.3">
      <c r="A974">
        <v>50</v>
      </c>
      <c r="B974" s="1" t="s">
        <v>7</v>
      </c>
      <c r="C974">
        <v>34.200000000000003</v>
      </c>
      <c r="D974">
        <v>2</v>
      </c>
      <c r="E974" t="s">
        <v>10</v>
      </c>
      <c r="F974" t="s">
        <v>11</v>
      </c>
      <c r="G974" s="2">
        <v>14478.33015</v>
      </c>
      <c r="H974" t="str" cm="1">
        <f t="array" ref="H974">_xlfn.IFS(A974&lt;=30, "Youth", A974&lt;=50, "Adult", A974&gt;50, "Older")</f>
        <v>Adult</v>
      </c>
      <c r="I974" t="str" cm="1">
        <f t="array" ref="I974">_xlfn.IFS(A974&lt;=25,"18-25",A974&lt;=35,"26-35",A974&lt;=45,"36-45",A974&lt;=60,"46-60",A974&gt;60,"60+")</f>
        <v>46-60</v>
      </c>
      <c r="J974" t="str" cm="1">
        <f t="array" ref="J974">_xlfn.IFS(C974&lt;18.5,"Underweight",C974&lt;25,"Normal",C974&lt;30,"Overweight",C974&gt;=30,"Obese")</f>
        <v>Obese</v>
      </c>
      <c r="K974" t="str" cm="1">
        <f t="array" ref="K974">_xlfn.IFS(G974&lt;10000, "Low", G974&lt;=25000, "Medium", G974&gt;25000, "High")</f>
        <v>Medium</v>
      </c>
    </row>
    <row r="975" spans="1:11" x14ac:dyDescent="0.3">
      <c r="A975">
        <v>50</v>
      </c>
      <c r="B975" s="1" t="s">
        <v>8</v>
      </c>
      <c r="C975">
        <v>34.200000000000003</v>
      </c>
      <c r="D975">
        <v>2</v>
      </c>
      <c r="E975" t="s">
        <v>10</v>
      </c>
      <c r="F975" t="s">
        <v>12</v>
      </c>
      <c r="G975" s="2">
        <v>14571.890799999999</v>
      </c>
      <c r="H975" t="str" cm="1">
        <f t="array" ref="H975">_xlfn.IFS(A975&lt;=30, "Youth", A975&lt;=50, "Adult", A975&gt;50, "Older")</f>
        <v>Adult</v>
      </c>
      <c r="I975" t="str" cm="1">
        <f t="array" ref="I975">_xlfn.IFS(A975&lt;=25,"18-25",A975&lt;=35,"26-35",A975&lt;=45,"36-45",A975&lt;=60,"46-60",A975&gt;60,"60+")</f>
        <v>46-60</v>
      </c>
      <c r="J975" t="str" cm="1">
        <f t="array" ref="J975">_xlfn.IFS(C975&lt;18.5,"Underweight",C975&lt;25,"Normal",C975&lt;30,"Overweight",C975&gt;=30,"Obese")</f>
        <v>Obese</v>
      </c>
      <c r="K975" t="str" cm="1">
        <f t="array" ref="K975">_xlfn.IFS(G975&lt;10000, "Low", G975&lt;=25000, "Medium", G975&gt;25000, "High")</f>
        <v>Medium</v>
      </c>
    </row>
    <row r="976" spans="1:11" x14ac:dyDescent="0.3">
      <c r="A976">
        <v>50</v>
      </c>
      <c r="B976" s="1" t="s">
        <v>8</v>
      </c>
      <c r="C976">
        <v>34.200000000000003</v>
      </c>
      <c r="D976">
        <v>2</v>
      </c>
      <c r="E976" t="s">
        <v>9</v>
      </c>
      <c r="F976" t="s">
        <v>14</v>
      </c>
      <c r="G976" s="2">
        <v>14590.63205</v>
      </c>
      <c r="H976" t="str" cm="1">
        <f t="array" ref="H976">_xlfn.IFS(A976&lt;=30, "Youth", A976&lt;=50, "Adult", A976&gt;50, "Older")</f>
        <v>Adult</v>
      </c>
      <c r="I976" t="str" cm="1">
        <f t="array" ref="I976">_xlfn.IFS(A976&lt;=25,"18-25",A976&lt;=35,"26-35",A976&lt;=45,"36-45",A976&lt;=60,"46-60",A976&gt;60,"60+")</f>
        <v>46-60</v>
      </c>
      <c r="J976" t="str" cm="1">
        <f t="array" ref="J976">_xlfn.IFS(C976&lt;18.5,"Underweight",C976&lt;25,"Normal",C976&lt;30,"Overweight",C976&gt;=30,"Obese")</f>
        <v>Obese</v>
      </c>
      <c r="K976" t="str" cm="1">
        <f t="array" ref="K976">_xlfn.IFS(G976&lt;10000, "Low", G976&lt;=25000, "Medium", G976&gt;25000, "High")</f>
        <v>Medium</v>
      </c>
    </row>
    <row r="977" spans="1:11" x14ac:dyDescent="0.3">
      <c r="A977">
        <v>50</v>
      </c>
      <c r="B977" s="1" t="s">
        <v>8</v>
      </c>
      <c r="C977">
        <v>34.21</v>
      </c>
      <c r="D977">
        <v>2</v>
      </c>
      <c r="E977" t="s">
        <v>10</v>
      </c>
      <c r="F977" t="s">
        <v>12</v>
      </c>
      <c r="G977" s="2">
        <v>14692.66935</v>
      </c>
      <c r="H977" t="str" cm="1">
        <f t="array" ref="H977">_xlfn.IFS(A977&lt;=30, "Youth", A977&lt;=50, "Adult", A977&gt;50, "Older")</f>
        <v>Adult</v>
      </c>
      <c r="I977" t="str" cm="1">
        <f t="array" ref="I977">_xlfn.IFS(A977&lt;=25,"18-25",A977&lt;=35,"26-35",A977&lt;=45,"36-45",A977&lt;=60,"46-60",A977&gt;60,"60+")</f>
        <v>46-60</v>
      </c>
      <c r="J977" t="str" cm="1">
        <f t="array" ref="J977">_xlfn.IFS(C977&lt;18.5,"Underweight",C977&lt;25,"Normal",C977&lt;30,"Overweight",C977&gt;=30,"Obese")</f>
        <v>Obese</v>
      </c>
      <c r="K977" t="str" cm="1">
        <f t="array" ref="K977">_xlfn.IFS(G977&lt;10000, "Low", G977&lt;=25000, "Medium", G977&gt;25000, "High")</f>
        <v>Medium</v>
      </c>
    </row>
    <row r="978" spans="1:11" x14ac:dyDescent="0.3">
      <c r="A978">
        <v>50</v>
      </c>
      <c r="B978" s="1" t="s">
        <v>8</v>
      </c>
      <c r="C978">
        <v>34.21</v>
      </c>
      <c r="D978">
        <v>2</v>
      </c>
      <c r="E978" t="s">
        <v>10</v>
      </c>
      <c r="F978" t="s">
        <v>12</v>
      </c>
      <c r="G978" s="2">
        <v>14711.7438</v>
      </c>
      <c r="H978" t="str" cm="1">
        <f t="array" ref="H978">_xlfn.IFS(A978&lt;=30, "Youth", A978&lt;=50, "Adult", A978&gt;50, "Older")</f>
        <v>Adult</v>
      </c>
      <c r="I978" t="str" cm="1">
        <f t="array" ref="I978">_xlfn.IFS(A978&lt;=25,"18-25",A978&lt;=35,"26-35",A978&lt;=45,"36-45",A978&lt;=60,"46-60",A978&gt;60,"60+")</f>
        <v>46-60</v>
      </c>
      <c r="J978" t="str" cm="1">
        <f t="array" ref="J978">_xlfn.IFS(C978&lt;18.5,"Underweight",C978&lt;25,"Normal",C978&lt;30,"Overweight",C978&gt;=30,"Obese")</f>
        <v>Obese</v>
      </c>
      <c r="K978" t="str" cm="1">
        <f t="array" ref="K978">_xlfn.IFS(G978&lt;10000, "Low", G978&lt;=25000, "Medium", G978&gt;25000, "High")</f>
        <v>Medium</v>
      </c>
    </row>
    <row r="979" spans="1:11" x14ac:dyDescent="0.3">
      <c r="A979">
        <v>50</v>
      </c>
      <c r="B979" s="1" t="s">
        <v>7</v>
      </c>
      <c r="C979">
        <v>34.21</v>
      </c>
      <c r="D979">
        <v>2</v>
      </c>
      <c r="E979" t="s">
        <v>10</v>
      </c>
      <c r="F979" t="s">
        <v>14</v>
      </c>
      <c r="G979" s="2">
        <v>14901.5167</v>
      </c>
      <c r="H979" t="str" cm="1">
        <f t="array" ref="H979">_xlfn.IFS(A979&lt;=30, "Youth", A979&lt;=50, "Adult", A979&gt;50, "Older")</f>
        <v>Adult</v>
      </c>
      <c r="I979" t="str" cm="1">
        <f t="array" ref="I979">_xlfn.IFS(A979&lt;=25,"18-25",A979&lt;=35,"26-35",A979&lt;=45,"36-45",A979&lt;=60,"46-60",A979&gt;60,"60+")</f>
        <v>46-60</v>
      </c>
      <c r="J979" t="str" cm="1">
        <f t="array" ref="J979">_xlfn.IFS(C979&lt;18.5,"Underweight",C979&lt;25,"Normal",C979&lt;30,"Overweight",C979&gt;=30,"Obese")</f>
        <v>Obese</v>
      </c>
      <c r="K979" t="str" cm="1">
        <f t="array" ref="K979">_xlfn.IFS(G979&lt;10000, "Low", G979&lt;=25000, "Medium", G979&gt;25000, "High")</f>
        <v>Medium</v>
      </c>
    </row>
    <row r="980" spans="1:11" x14ac:dyDescent="0.3">
      <c r="A980">
        <v>50</v>
      </c>
      <c r="B980" s="1" t="s">
        <v>7</v>
      </c>
      <c r="C980">
        <v>34.21</v>
      </c>
      <c r="D980">
        <v>2</v>
      </c>
      <c r="E980" t="s">
        <v>10</v>
      </c>
      <c r="F980" t="s">
        <v>12</v>
      </c>
      <c r="G980" s="2">
        <v>14988.432000000001</v>
      </c>
      <c r="H980" t="str" cm="1">
        <f t="array" ref="H980">_xlfn.IFS(A980&lt;=30, "Youth", A980&lt;=50, "Adult", A980&gt;50, "Older")</f>
        <v>Adult</v>
      </c>
      <c r="I980" t="str" cm="1">
        <f t="array" ref="I980">_xlfn.IFS(A980&lt;=25,"18-25",A980&lt;=35,"26-35",A980&lt;=45,"36-45",A980&lt;=60,"46-60",A980&gt;60,"60+")</f>
        <v>46-60</v>
      </c>
      <c r="J980" t="str" cm="1">
        <f t="array" ref="J980">_xlfn.IFS(C980&lt;18.5,"Underweight",C980&lt;25,"Normal",C980&lt;30,"Overweight",C980&gt;=30,"Obese")</f>
        <v>Obese</v>
      </c>
      <c r="K980" t="str" cm="1">
        <f t="array" ref="K980">_xlfn.IFS(G980&lt;10000, "Low", G980&lt;=25000, "Medium", G980&gt;25000, "High")</f>
        <v>Medium</v>
      </c>
    </row>
    <row r="981" spans="1:11" x14ac:dyDescent="0.3">
      <c r="A981">
        <v>50</v>
      </c>
      <c r="B981" s="1" t="s">
        <v>8</v>
      </c>
      <c r="C981">
        <v>34.295000000000002</v>
      </c>
      <c r="D981">
        <v>2</v>
      </c>
      <c r="E981" t="s">
        <v>10</v>
      </c>
      <c r="F981" t="s">
        <v>14</v>
      </c>
      <c r="G981" s="2">
        <v>15006.579449999999</v>
      </c>
      <c r="H981" t="str" cm="1">
        <f t="array" ref="H981">_xlfn.IFS(A981&lt;=30, "Youth", A981&lt;=50, "Adult", A981&gt;50, "Older")</f>
        <v>Adult</v>
      </c>
      <c r="I981" t="str" cm="1">
        <f t="array" ref="I981">_xlfn.IFS(A981&lt;=25,"18-25",A981&lt;=35,"26-35",A981&lt;=45,"36-45",A981&lt;=60,"46-60",A981&gt;60,"60+")</f>
        <v>46-60</v>
      </c>
      <c r="J981" t="str" cm="1">
        <f t="array" ref="J981">_xlfn.IFS(C981&lt;18.5,"Underweight",C981&lt;25,"Normal",C981&lt;30,"Overweight",C981&gt;=30,"Obese")</f>
        <v>Obese</v>
      </c>
      <c r="K981" t="str" cm="1">
        <f t="array" ref="K981">_xlfn.IFS(G981&lt;10000, "Low", G981&lt;=25000, "Medium", G981&gt;25000, "High")</f>
        <v>Medium</v>
      </c>
    </row>
    <row r="982" spans="1:11" x14ac:dyDescent="0.3">
      <c r="A982">
        <v>50</v>
      </c>
      <c r="B982" s="1" t="s">
        <v>8</v>
      </c>
      <c r="C982">
        <v>34.299999999999997</v>
      </c>
      <c r="D982">
        <v>2</v>
      </c>
      <c r="E982" t="s">
        <v>10</v>
      </c>
      <c r="F982" t="s">
        <v>14</v>
      </c>
      <c r="G982" s="2">
        <v>15019.760050000001</v>
      </c>
      <c r="H982" t="str" cm="1">
        <f t="array" ref="H982">_xlfn.IFS(A982&lt;=30, "Youth", A982&lt;=50, "Adult", A982&gt;50, "Older")</f>
        <v>Adult</v>
      </c>
      <c r="I982" t="str" cm="1">
        <f t="array" ref="I982">_xlfn.IFS(A982&lt;=25,"18-25",A982&lt;=35,"26-35",A982&lt;=45,"36-45",A982&lt;=60,"46-60",A982&gt;60,"60+")</f>
        <v>46-60</v>
      </c>
      <c r="J982" t="str" cm="1">
        <f t="array" ref="J982">_xlfn.IFS(C982&lt;18.5,"Underweight",C982&lt;25,"Normal",C982&lt;30,"Overweight",C982&gt;=30,"Obese")</f>
        <v>Obese</v>
      </c>
      <c r="K982" t="str" cm="1">
        <f t="array" ref="K982">_xlfn.IFS(G982&lt;10000, "Low", G982&lt;=25000, "Medium", G982&gt;25000, "High")</f>
        <v>Medium</v>
      </c>
    </row>
    <row r="983" spans="1:11" x14ac:dyDescent="0.3">
      <c r="A983">
        <v>51</v>
      </c>
      <c r="B983" s="1" t="s">
        <v>8</v>
      </c>
      <c r="C983">
        <v>34.32</v>
      </c>
      <c r="D983">
        <v>2</v>
      </c>
      <c r="E983" t="s">
        <v>9</v>
      </c>
      <c r="F983" t="s">
        <v>11</v>
      </c>
      <c r="G983" s="2">
        <v>15161.5344</v>
      </c>
      <c r="H983" t="str" cm="1">
        <f t="array" ref="H983">_xlfn.IFS(A983&lt;=30, "Youth", A983&lt;=50, "Adult", A983&gt;50, "Older")</f>
        <v>Older</v>
      </c>
      <c r="I983" t="str" cm="1">
        <f t="array" ref="I983">_xlfn.IFS(A983&lt;=25,"18-25",A983&lt;=35,"26-35",A983&lt;=45,"36-45",A983&lt;=60,"46-60",A983&gt;60,"60+")</f>
        <v>46-60</v>
      </c>
      <c r="J983" t="str" cm="1">
        <f t="array" ref="J983">_xlfn.IFS(C983&lt;18.5,"Underweight",C983&lt;25,"Normal",C983&lt;30,"Overweight",C983&gt;=30,"Obese")</f>
        <v>Obese</v>
      </c>
      <c r="K983" t="str" cm="1">
        <f t="array" ref="K983">_xlfn.IFS(G983&lt;10000, "Low", G983&lt;=25000, "Medium", G983&gt;25000, "High")</f>
        <v>Medium</v>
      </c>
    </row>
    <row r="984" spans="1:11" x14ac:dyDescent="0.3">
      <c r="A984">
        <v>51</v>
      </c>
      <c r="B984" s="1" t="s">
        <v>7</v>
      </c>
      <c r="C984">
        <v>34.32</v>
      </c>
      <c r="D984">
        <v>2</v>
      </c>
      <c r="E984" t="s">
        <v>10</v>
      </c>
      <c r="F984" t="s">
        <v>14</v>
      </c>
      <c r="G984" s="2">
        <v>15170.069</v>
      </c>
      <c r="H984" t="str" cm="1">
        <f t="array" ref="H984">_xlfn.IFS(A984&lt;=30, "Youth", A984&lt;=50, "Adult", A984&gt;50, "Older")</f>
        <v>Older</v>
      </c>
      <c r="I984" t="str" cm="1">
        <f t="array" ref="I984">_xlfn.IFS(A984&lt;=25,"18-25",A984&lt;=35,"26-35",A984&lt;=45,"36-45",A984&lt;=60,"46-60",A984&gt;60,"60+")</f>
        <v>46-60</v>
      </c>
      <c r="J984" t="str" cm="1">
        <f t="array" ref="J984">_xlfn.IFS(C984&lt;18.5,"Underweight",C984&lt;25,"Normal",C984&lt;30,"Overweight",C984&gt;=30,"Obese")</f>
        <v>Obese</v>
      </c>
      <c r="K984" t="str" cm="1">
        <f t="array" ref="K984">_xlfn.IFS(G984&lt;10000, "Low", G984&lt;=25000, "Medium", G984&gt;25000, "High")</f>
        <v>Medium</v>
      </c>
    </row>
    <row r="985" spans="1:11" x14ac:dyDescent="0.3">
      <c r="A985">
        <v>51</v>
      </c>
      <c r="B985" s="1" t="s">
        <v>8</v>
      </c>
      <c r="C985">
        <v>34.32</v>
      </c>
      <c r="D985">
        <v>2</v>
      </c>
      <c r="E985" t="s">
        <v>10</v>
      </c>
      <c r="F985" t="s">
        <v>14</v>
      </c>
      <c r="G985" s="2">
        <v>15230.324049999999</v>
      </c>
      <c r="H985" t="str" cm="1">
        <f t="array" ref="H985">_xlfn.IFS(A985&lt;=30, "Youth", A985&lt;=50, "Adult", A985&gt;50, "Older")</f>
        <v>Older</v>
      </c>
      <c r="I985" t="str" cm="1">
        <f t="array" ref="I985">_xlfn.IFS(A985&lt;=25,"18-25",A985&lt;=35,"26-35",A985&lt;=45,"36-45",A985&lt;=60,"46-60",A985&gt;60,"60+")</f>
        <v>46-60</v>
      </c>
      <c r="J985" t="str" cm="1">
        <f t="array" ref="J985">_xlfn.IFS(C985&lt;18.5,"Underweight",C985&lt;25,"Normal",C985&lt;30,"Overweight",C985&gt;=30,"Obese")</f>
        <v>Obese</v>
      </c>
      <c r="K985" t="str" cm="1">
        <f t="array" ref="K985">_xlfn.IFS(G985&lt;10000, "Low", G985&lt;=25000, "Medium", G985&gt;25000, "High")</f>
        <v>Medium</v>
      </c>
    </row>
    <row r="986" spans="1:11" x14ac:dyDescent="0.3">
      <c r="A986">
        <v>51</v>
      </c>
      <c r="B986" s="1" t="s">
        <v>7</v>
      </c>
      <c r="C986">
        <v>34.39</v>
      </c>
      <c r="D986">
        <v>2</v>
      </c>
      <c r="E986" t="s">
        <v>10</v>
      </c>
      <c r="F986" t="s">
        <v>11</v>
      </c>
      <c r="G986" s="2">
        <v>15359.104499999999</v>
      </c>
      <c r="H986" t="str" cm="1">
        <f t="array" ref="H986">_xlfn.IFS(A986&lt;=30, "Youth", A986&lt;=50, "Adult", A986&gt;50, "Older")</f>
        <v>Older</v>
      </c>
      <c r="I986" t="str" cm="1">
        <f t="array" ref="I986">_xlfn.IFS(A986&lt;=25,"18-25",A986&lt;=35,"26-35",A986&lt;=45,"36-45",A986&lt;=60,"46-60",A986&gt;60,"60+")</f>
        <v>46-60</v>
      </c>
      <c r="J986" t="str" cm="1">
        <f t="array" ref="J986">_xlfn.IFS(C986&lt;18.5,"Underweight",C986&lt;25,"Normal",C986&lt;30,"Overweight",C986&gt;=30,"Obese")</f>
        <v>Obese</v>
      </c>
      <c r="K986" t="str" cm="1">
        <f t="array" ref="K986">_xlfn.IFS(G986&lt;10000, "Low", G986&lt;=25000, "Medium", G986&gt;25000, "High")</f>
        <v>Medium</v>
      </c>
    </row>
    <row r="987" spans="1:11" x14ac:dyDescent="0.3">
      <c r="A987">
        <v>51</v>
      </c>
      <c r="B987" s="1" t="s">
        <v>8</v>
      </c>
      <c r="C987">
        <v>34.39</v>
      </c>
      <c r="D987">
        <v>2</v>
      </c>
      <c r="E987" t="s">
        <v>10</v>
      </c>
      <c r="F987" t="s">
        <v>13</v>
      </c>
      <c r="G987" s="2">
        <v>15518.180249999999</v>
      </c>
      <c r="H987" t="str" cm="1">
        <f t="array" ref="H987">_xlfn.IFS(A987&lt;=30, "Youth", A987&lt;=50, "Adult", A987&gt;50, "Older")</f>
        <v>Older</v>
      </c>
      <c r="I987" t="str" cm="1">
        <f t="array" ref="I987">_xlfn.IFS(A987&lt;=25,"18-25",A987&lt;=35,"26-35",A987&lt;=45,"36-45",A987&lt;=60,"46-60",A987&gt;60,"60+")</f>
        <v>46-60</v>
      </c>
      <c r="J987" t="str" cm="1">
        <f t="array" ref="J987">_xlfn.IFS(C987&lt;18.5,"Underweight",C987&lt;25,"Normal",C987&lt;30,"Overweight",C987&gt;=30,"Obese")</f>
        <v>Obese</v>
      </c>
      <c r="K987" t="str" cm="1">
        <f t="array" ref="K987">_xlfn.IFS(G987&lt;10000, "Low", G987&lt;=25000, "Medium", G987&gt;25000, "High")</f>
        <v>Medium</v>
      </c>
    </row>
    <row r="988" spans="1:11" x14ac:dyDescent="0.3">
      <c r="A988">
        <v>51</v>
      </c>
      <c r="B988" s="1" t="s">
        <v>7</v>
      </c>
      <c r="C988">
        <v>34.4</v>
      </c>
      <c r="D988">
        <v>2</v>
      </c>
      <c r="E988" t="s">
        <v>10</v>
      </c>
      <c r="F988" t="s">
        <v>13</v>
      </c>
      <c r="G988" s="2">
        <v>15555.188749999999</v>
      </c>
      <c r="H988" t="str" cm="1">
        <f t="array" ref="H988">_xlfn.IFS(A988&lt;=30, "Youth", A988&lt;=50, "Adult", A988&gt;50, "Older")</f>
        <v>Older</v>
      </c>
      <c r="I988" t="str" cm="1">
        <f t="array" ref="I988">_xlfn.IFS(A988&lt;=25,"18-25",A988&lt;=35,"26-35",A988&lt;=45,"36-45",A988&lt;=60,"46-60",A988&gt;60,"60+")</f>
        <v>46-60</v>
      </c>
      <c r="J988" t="str" cm="1">
        <f t="array" ref="J988">_xlfn.IFS(C988&lt;18.5,"Underweight",C988&lt;25,"Normal",C988&lt;30,"Overweight",C988&gt;=30,"Obese")</f>
        <v>Obese</v>
      </c>
      <c r="K988" t="str" cm="1">
        <f t="array" ref="K988">_xlfn.IFS(G988&lt;10000, "Low", G988&lt;=25000, "Medium", G988&gt;25000, "High")</f>
        <v>Medium</v>
      </c>
    </row>
    <row r="989" spans="1:11" x14ac:dyDescent="0.3">
      <c r="A989">
        <v>51</v>
      </c>
      <c r="B989" s="1" t="s">
        <v>8</v>
      </c>
      <c r="C989">
        <v>34.4</v>
      </c>
      <c r="D989">
        <v>2</v>
      </c>
      <c r="E989" t="s">
        <v>10</v>
      </c>
      <c r="F989" t="s">
        <v>14</v>
      </c>
      <c r="G989" s="2">
        <v>15612.19335</v>
      </c>
      <c r="H989" t="str" cm="1">
        <f t="array" ref="H989">_xlfn.IFS(A989&lt;=30, "Youth", A989&lt;=50, "Adult", A989&gt;50, "Older")</f>
        <v>Older</v>
      </c>
      <c r="I989" t="str" cm="1">
        <f t="array" ref="I989">_xlfn.IFS(A989&lt;=25,"18-25",A989&lt;=35,"26-35",A989&lt;=45,"36-45",A989&lt;=60,"46-60",A989&gt;60,"60+")</f>
        <v>46-60</v>
      </c>
      <c r="J989" t="str" cm="1">
        <f t="array" ref="J989">_xlfn.IFS(C989&lt;18.5,"Underweight",C989&lt;25,"Normal",C989&lt;30,"Overweight",C989&gt;=30,"Obese")</f>
        <v>Obese</v>
      </c>
      <c r="K989" t="str" cm="1">
        <f t="array" ref="K989">_xlfn.IFS(G989&lt;10000, "Low", G989&lt;=25000, "Medium", G989&gt;25000, "High")</f>
        <v>Medium</v>
      </c>
    </row>
    <row r="990" spans="1:11" x14ac:dyDescent="0.3">
      <c r="A990">
        <v>51</v>
      </c>
      <c r="B990" s="1" t="s">
        <v>7</v>
      </c>
      <c r="C990">
        <v>34.4</v>
      </c>
      <c r="D990">
        <v>2</v>
      </c>
      <c r="E990" t="s">
        <v>9</v>
      </c>
      <c r="F990" t="s">
        <v>14</v>
      </c>
      <c r="G990" s="2">
        <v>15817.985699999999</v>
      </c>
      <c r="H990" t="str" cm="1">
        <f t="array" ref="H990">_xlfn.IFS(A990&lt;=30, "Youth", A990&lt;=50, "Adult", A990&gt;50, "Older")</f>
        <v>Older</v>
      </c>
      <c r="I990" t="str" cm="1">
        <f t="array" ref="I990">_xlfn.IFS(A990&lt;=25,"18-25",A990&lt;=35,"26-35",A990&lt;=45,"36-45",A990&lt;=60,"46-60",A990&gt;60,"60+")</f>
        <v>46-60</v>
      </c>
      <c r="J990" t="str" cm="1">
        <f t="array" ref="J990">_xlfn.IFS(C990&lt;18.5,"Underweight",C990&lt;25,"Normal",C990&lt;30,"Overweight",C990&gt;=30,"Obese")</f>
        <v>Obese</v>
      </c>
      <c r="K990" t="str" cm="1">
        <f t="array" ref="K990">_xlfn.IFS(G990&lt;10000, "Low", G990&lt;=25000, "Medium", G990&gt;25000, "High")</f>
        <v>Medium</v>
      </c>
    </row>
    <row r="991" spans="1:11" x14ac:dyDescent="0.3">
      <c r="A991">
        <v>51</v>
      </c>
      <c r="B991" s="1" t="s">
        <v>7</v>
      </c>
      <c r="C991">
        <v>34.4</v>
      </c>
      <c r="D991">
        <v>2</v>
      </c>
      <c r="E991" t="s">
        <v>10</v>
      </c>
      <c r="F991" t="s">
        <v>11</v>
      </c>
      <c r="G991" s="2">
        <v>15820.699000000001</v>
      </c>
      <c r="H991" t="str" cm="1">
        <f t="array" ref="H991">_xlfn.IFS(A991&lt;=30, "Youth", A991&lt;=50, "Adult", A991&gt;50, "Older")</f>
        <v>Older</v>
      </c>
      <c r="I991" t="str" cm="1">
        <f t="array" ref="I991">_xlfn.IFS(A991&lt;=25,"18-25",A991&lt;=35,"26-35",A991&lt;=45,"36-45",A991&lt;=60,"46-60",A991&gt;60,"60+")</f>
        <v>46-60</v>
      </c>
      <c r="J991" t="str" cm="1">
        <f t="array" ref="J991">_xlfn.IFS(C991&lt;18.5,"Underweight",C991&lt;25,"Normal",C991&lt;30,"Overweight",C991&gt;=30,"Obese")</f>
        <v>Obese</v>
      </c>
      <c r="K991" t="str" cm="1">
        <f t="array" ref="K991">_xlfn.IFS(G991&lt;10000, "Low", G991&lt;=25000, "Medium", G991&gt;25000, "High")</f>
        <v>Medium</v>
      </c>
    </row>
    <row r="992" spans="1:11" x14ac:dyDescent="0.3">
      <c r="A992">
        <v>51</v>
      </c>
      <c r="B992" s="1" t="s">
        <v>7</v>
      </c>
      <c r="C992">
        <v>34.43</v>
      </c>
      <c r="D992">
        <v>2</v>
      </c>
      <c r="E992" t="s">
        <v>10</v>
      </c>
      <c r="F992" t="s">
        <v>14</v>
      </c>
      <c r="G992" s="2">
        <v>15828.82173</v>
      </c>
      <c r="H992" t="str" cm="1">
        <f t="array" ref="H992">_xlfn.IFS(A992&lt;=30, "Youth", A992&lt;=50, "Adult", A992&gt;50, "Older")</f>
        <v>Older</v>
      </c>
      <c r="I992" t="str" cm="1">
        <f t="array" ref="I992">_xlfn.IFS(A992&lt;=25,"18-25",A992&lt;=35,"26-35",A992&lt;=45,"36-45",A992&lt;=60,"46-60",A992&gt;60,"60+")</f>
        <v>46-60</v>
      </c>
      <c r="J992" t="str" cm="1">
        <f t="array" ref="J992">_xlfn.IFS(C992&lt;18.5,"Underweight",C992&lt;25,"Normal",C992&lt;30,"Overweight",C992&gt;=30,"Obese")</f>
        <v>Obese</v>
      </c>
      <c r="K992" t="str" cm="1">
        <f t="array" ref="K992">_xlfn.IFS(G992&lt;10000, "Low", G992&lt;=25000, "Medium", G992&gt;25000, "High")</f>
        <v>Medium</v>
      </c>
    </row>
    <row r="993" spans="1:11" x14ac:dyDescent="0.3">
      <c r="A993">
        <v>51</v>
      </c>
      <c r="B993" s="1" t="s">
        <v>7</v>
      </c>
      <c r="C993">
        <v>34.43</v>
      </c>
      <c r="D993">
        <v>2</v>
      </c>
      <c r="E993" t="s">
        <v>10</v>
      </c>
      <c r="F993" t="s">
        <v>11</v>
      </c>
      <c r="G993" s="2">
        <v>16069.08475</v>
      </c>
      <c r="H993" t="str" cm="1">
        <f t="array" ref="H993">_xlfn.IFS(A993&lt;=30, "Youth", A993&lt;=50, "Adult", A993&gt;50, "Older")</f>
        <v>Older</v>
      </c>
      <c r="I993" t="str" cm="1">
        <f t="array" ref="I993">_xlfn.IFS(A993&lt;=25,"18-25",A993&lt;=35,"26-35",A993&lt;=45,"36-45",A993&lt;=60,"46-60",A993&gt;60,"60+")</f>
        <v>46-60</v>
      </c>
      <c r="J993" t="str" cm="1">
        <f t="array" ref="J993">_xlfn.IFS(C993&lt;18.5,"Underweight",C993&lt;25,"Normal",C993&lt;30,"Overweight",C993&gt;=30,"Obese")</f>
        <v>Obese</v>
      </c>
      <c r="K993" t="str" cm="1">
        <f t="array" ref="K993">_xlfn.IFS(G993&lt;10000, "Low", G993&lt;=25000, "Medium", G993&gt;25000, "High")</f>
        <v>Medium</v>
      </c>
    </row>
    <row r="994" spans="1:11" x14ac:dyDescent="0.3">
      <c r="A994">
        <v>51</v>
      </c>
      <c r="B994" s="1" t="s">
        <v>8</v>
      </c>
      <c r="C994">
        <v>34.43</v>
      </c>
      <c r="D994">
        <v>2</v>
      </c>
      <c r="E994" t="s">
        <v>10</v>
      </c>
      <c r="F994" t="s">
        <v>12</v>
      </c>
      <c r="G994" s="2">
        <v>16085.127500000001</v>
      </c>
      <c r="H994" t="str" cm="1">
        <f t="array" ref="H994">_xlfn.IFS(A994&lt;=30, "Youth", A994&lt;=50, "Adult", A994&gt;50, "Older")</f>
        <v>Older</v>
      </c>
      <c r="I994" t="str" cm="1">
        <f t="array" ref="I994">_xlfn.IFS(A994&lt;=25,"18-25",A994&lt;=35,"26-35",A994&lt;=45,"36-45",A994&lt;=60,"46-60",A994&gt;60,"60+")</f>
        <v>46-60</v>
      </c>
      <c r="J994" t="str" cm="1">
        <f t="array" ref="J994">_xlfn.IFS(C994&lt;18.5,"Underweight",C994&lt;25,"Normal",C994&lt;30,"Overweight",C994&gt;=30,"Obese")</f>
        <v>Obese</v>
      </c>
      <c r="K994" t="str" cm="1">
        <f t="array" ref="K994">_xlfn.IFS(G994&lt;10000, "Low", G994&lt;=25000, "Medium", G994&gt;25000, "High")</f>
        <v>Medium</v>
      </c>
    </row>
    <row r="995" spans="1:11" x14ac:dyDescent="0.3">
      <c r="A995">
        <v>51</v>
      </c>
      <c r="B995" s="1" t="s">
        <v>7</v>
      </c>
      <c r="C995">
        <v>34.43</v>
      </c>
      <c r="D995">
        <v>2</v>
      </c>
      <c r="E995" t="s">
        <v>9</v>
      </c>
      <c r="F995" t="s">
        <v>13</v>
      </c>
      <c r="G995" s="2">
        <v>16115.3045</v>
      </c>
      <c r="H995" t="str" cm="1">
        <f t="array" ref="H995">_xlfn.IFS(A995&lt;=30, "Youth", A995&lt;=50, "Adult", A995&gt;50, "Older")</f>
        <v>Older</v>
      </c>
      <c r="I995" t="str" cm="1">
        <f t="array" ref="I995">_xlfn.IFS(A995&lt;=25,"18-25",A995&lt;=35,"26-35",A995&lt;=45,"36-45",A995&lt;=60,"46-60",A995&gt;60,"60+")</f>
        <v>46-60</v>
      </c>
      <c r="J995" t="str" cm="1">
        <f t="array" ref="J995">_xlfn.IFS(C995&lt;18.5,"Underweight",C995&lt;25,"Normal",C995&lt;30,"Overweight",C995&gt;=30,"Obese")</f>
        <v>Obese</v>
      </c>
      <c r="K995" t="str" cm="1">
        <f t="array" ref="K995">_xlfn.IFS(G995&lt;10000, "Low", G995&lt;=25000, "Medium", G995&gt;25000, "High")</f>
        <v>Medium</v>
      </c>
    </row>
    <row r="996" spans="1:11" x14ac:dyDescent="0.3">
      <c r="A996">
        <v>51</v>
      </c>
      <c r="B996" s="1" t="s">
        <v>7</v>
      </c>
      <c r="C996">
        <v>34.484999999999999</v>
      </c>
      <c r="D996">
        <v>2</v>
      </c>
      <c r="E996" t="s">
        <v>10</v>
      </c>
      <c r="F996" t="s">
        <v>14</v>
      </c>
      <c r="G996" s="2">
        <v>16138.762049999999</v>
      </c>
      <c r="H996" t="str" cm="1">
        <f t="array" ref="H996">_xlfn.IFS(A996&lt;=30, "Youth", A996&lt;=50, "Adult", A996&gt;50, "Older")</f>
        <v>Older</v>
      </c>
      <c r="I996" t="str" cm="1">
        <f t="array" ref="I996">_xlfn.IFS(A996&lt;=25,"18-25",A996&lt;=35,"26-35",A996&lt;=45,"36-45",A996&lt;=60,"46-60",A996&gt;60,"60+")</f>
        <v>46-60</v>
      </c>
      <c r="J996" t="str" cm="1">
        <f t="array" ref="J996">_xlfn.IFS(C996&lt;18.5,"Underweight",C996&lt;25,"Normal",C996&lt;30,"Overweight",C996&gt;=30,"Obese")</f>
        <v>Obese</v>
      </c>
      <c r="K996" t="str" cm="1">
        <f t="array" ref="K996">_xlfn.IFS(G996&lt;10000, "Low", G996&lt;=25000, "Medium", G996&gt;25000, "High")</f>
        <v>Medium</v>
      </c>
    </row>
    <row r="997" spans="1:11" x14ac:dyDescent="0.3">
      <c r="A997">
        <v>51</v>
      </c>
      <c r="B997" s="1" t="s">
        <v>7</v>
      </c>
      <c r="C997">
        <v>34.484999999999999</v>
      </c>
      <c r="D997">
        <v>2</v>
      </c>
      <c r="E997" t="s">
        <v>10</v>
      </c>
      <c r="F997" t="s">
        <v>11</v>
      </c>
      <c r="G997" s="2">
        <v>16232.847</v>
      </c>
      <c r="H997" t="str" cm="1">
        <f t="array" ref="H997">_xlfn.IFS(A997&lt;=30, "Youth", A997&lt;=50, "Adult", A997&gt;50, "Older")</f>
        <v>Older</v>
      </c>
      <c r="I997" t="str" cm="1">
        <f t="array" ref="I997">_xlfn.IFS(A997&lt;=25,"18-25",A997&lt;=35,"26-35",A997&lt;=45,"36-45",A997&lt;=60,"46-60",A997&gt;60,"60+")</f>
        <v>46-60</v>
      </c>
      <c r="J997" t="str" cm="1">
        <f t="array" ref="J997">_xlfn.IFS(C997&lt;18.5,"Underweight",C997&lt;25,"Normal",C997&lt;30,"Overweight",C997&gt;=30,"Obese")</f>
        <v>Obese</v>
      </c>
      <c r="K997" t="str" cm="1">
        <f t="array" ref="K997">_xlfn.IFS(G997&lt;10000, "Low", G997&lt;=25000, "Medium", G997&gt;25000, "High")</f>
        <v>Medium</v>
      </c>
    </row>
    <row r="998" spans="1:11" x14ac:dyDescent="0.3">
      <c r="A998">
        <v>51</v>
      </c>
      <c r="B998" s="1" t="s">
        <v>7</v>
      </c>
      <c r="C998">
        <v>34.5</v>
      </c>
      <c r="D998">
        <v>2</v>
      </c>
      <c r="E998" t="s">
        <v>10</v>
      </c>
      <c r="F998" t="s">
        <v>12</v>
      </c>
      <c r="G998" s="2">
        <v>16297.846</v>
      </c>
      <c r="H998" t="str" cm="1">
        <f t="array" ref="H998">_xlfn.IFS(A998&lt;=30, "Youth", A998&lt;=50, "Adult", A998&gt;50, "Older")</f>
        <v>Older</v>
      </c>
      <c r="I998" t="str" cm="1">
        <f t="array" ref="I998">_xlfn.IFS(A998&lt;=25,"18-25",A998&lt;=35,"26-35",A998&lt;=45,"36-45",A998&lt;=60,"46-60",A998&gt;60,"60+")</f>
        <v>46-60</v>
      </c>
      <c r="J998" t="str" cm="1">
        <f t="array" ref="J998">_xlfn.IFS(C998&lt;18.5,"Underweight",C998&lt;25,"Normal",C998&lt;30,"Overweight",C998&gt;=30,"Obese")</f>
        <v>Obese</v>
      </c>
      <c r="K998" t="str" cm="1">
        <f t="array" ref="K998">_xlfn.IFS(G998&lt;10000, "Low", G998&lt;=25000, "Medium", G998&gt;25000, "High")</f>
        <v>Medium</v>
      </c>
    </row>
    <row r="999" spans="1:11" x14ac:dyDescent="0.3">
      <c r="A999">
        <v>51</v>
      </c>
      <c r="B999" s="1" t="s">
        <v>7</v>
      </c>
      <c r="C999">
        <v>34.58</v>
      </c>
      <c r="D999">
        <v>2</v>
      </c>
      <c r="E999" t="s">
        <v>10</v>
      </c>
      <c r="F999" t="s">
        <v>14</v>
      </c>
      <c r="G999" s="2">
        <v>16420.494549999999</v>
      </c>
      <c r="H999" t="str" cm="1">
        <f t="array" ref="H999">_xlfn.IFS(A999&lt;=30, "Youth", A999&lt;=50, "Adult", A999&gt;50, "Older")</f>
        <v>Older</v>
      </c>
      <c r="I999" t="str" cm="1">
        <f t="array" ref="I999">_xlfn.IFS(A999&lt;=25,"18-25",A999&lt;=35,"26-35",A999&lt;=45,"36-45",A999&lt;=60,"46-60",A999&gt;60,"60+")</f>
        <v>46-60</v>
      </c>
      <c r="J999" t="str" cm="1">
        <f t="array" ref="J999">_xlfn.IFS(C999&lt;18.5,"Underweight",C999&lt;25,"Normal",C999&lt;30,"Overweight",C999&gt;=30,"Obese")</f>
        <v>Obese</v>
      </c>
      <c r="K999" t="str" cm="1">
        <f t="array" ref="K999">_xlfn.IFS(G999&lt;10000, "Low", G999&lt;=25000, "Medium", G999&gt;25000, "High")</f>
        <v>Medium</v>
      </c>
    </row>
    <row r="1000" spans="1:11" x14ac:dyDescent="0.3">
      <c r="A1000">
        <v>51</v>
      </c>
      <c r="B1000" s="1" t="s">
        <v>7</v>
      </c>
      <c r="C1000">
        <v>34.58</v>
      </c>
      <c r="D1000">
        <v>2</v>
      </c>
      <c r="E1000" t="s">
        <v>10</v>
      </c>
      <c r="F1000" t="s">
        <v>13</v>
      </c>
      <c r="G1000" s="2">
        <v>16450.894700000001</v>
      </c>
      <c r="H1000" t="str" cm="1">
        <f t="array" ref="H1000">_xlfn.IFS(A1000&lt;=30, "Youth", A1000&lt;=50, "Adult", A1000&gt;50, "Older")</f>
        <v>Older</v>
      </c>
      <c r="I1000" t="str" cm="1">
        <f t="array" ref="I1000">_xlfn.IFS(A1000&lt;=25,"18-25",A1000&lt;=35,"26-35",A1000&lt;=45,"36-45",A1000&lt;=60,"46-60",A1000&gt;60,"60+")</f>
        <v>46-60</v>
      </c>
      <c r="J1000" t="str" cm="1">
        <f t="array" ref="J1000">_xlfn.IFS(C1000&lt;18.5,"Underweight",C1000&lt;25,"Normal",C1000&lt;30,"Overweight",C1000&gt;=30,"Obese")</f>
        <v>Obese</v>
      </c>
      <c r="K1000" t="str" cm="1">
        <f t="array" ref="K1000">_xlfn.IFS(G1000&lt;10000, "Low", G1000&lt;=25000, "Medium", G1000&gt;25000, "High")</f>
        <v>Medium</v>
      </c>
    </row>
    <row r="1001" spans="1:11" x14ac:dyDescent="0.3">
      <c r="A1001">
        <v>51</v>
      </c>
      <c r="B1001" s="1" t="s">
        <v>8</v>
      </c>
      <c r="C1001">
        <v>34.6</v>
      </c>
      <c r="D1001">
        <v>2</v>
      </c>
      <c r="E1001" t="s">
        <v>9</v>
      </c>
      <c r="F1001" t="s">
        <v>13</v>
      </c>
      <c r="G1001" s="2">
        <v>16455.707849999999</v>
      </c>
      <c r="H1001" t="str" cm="1">
        <f t="array" ref="H1001">_xlfn.IFS(A1001&lt;=30, "Youth", A1001&lt;=50, "Adult", A1001&gt;50, "Older")</f>
        <v>Older</v>
      </c>
      <c r="I1001" t="str" cm="1">
        <f t="array" ref="I1001">_xlfn.IFS(A1001&lt;=25,"18-25",A1001&lt;=35,"26-35",A1001&lt;=45,"36-45",A1001&lt;=60,"46-60",A1001&gt;60,"60+")</f>
        <v>46-60</v>
      </c>
      <c r="J1001" t="str" cm="1">
        <f t="array" ref="J1001">_xlfn.IFS(C1001&lt;18.5,"Underweight",C1001&lt;25,"Normal",C1001&lt;30,"Overweight",C1001&gt;=30,"Obese")</f>
        <v>Obese</v>
      </c>
      <c r="K1001" t="str" cm="1">
        <f t="array" ref="K1001">_xlfn.IFS(G1001&lt;10000, "Low", G1001&lt;=25000, "Medium", G1001&gt;25000, "High")</f>
        <v>Medium</v>
      </c>
    </row>
    <row r="1002" spans="1:11" x14ac:dyDescent="0.3">
      <c r="A1002">
        <v>51</v>
      </c>
      <c r="B1002" s="1" t="s">
        <v>8</v>
      </c>
      <c r="C1002">
        <v>34.6</v>
      </c>
      <c r="D1002">
        <v>2</v>
      </c>
      <c r="E1002" t="s">
        <v>9</v>
      </c>
      <c r="F1002" t="s">
        <v>11</v>
      </c>
      <c r="G1002" s="2">
        <v>16577.779500000001</v>
      </c>
      <c r="H1002" t="str" cm="1">
        <f t="array" ref="H1002">_xlfn.IFS(A1002&lt;=30, "Youth", A1002&lt;=50, "Adult", A1002&gt;50, "Older")</f>
        <v>Older</v>
      </c>
      <c r="I1002" t="str" cm="1">
        <f t="array" ref="I1002">_xlfn.IFS(A1002&lt;=25,"18-25",A1002&lt;=35,"26-35",A1002&lt;=45,"36-45",A1002&lt;=60,"46-60",A1002&gt;60,"60+")</f>
        <v>46-60</v>
      </c>
      <c r="J1002" t="str" cm="1">
        <f t="array" ref="J1002">_xlfn.IFS(C1002&lt;18.5,"Underweight",C1002&lt;25,"Normal",C1002&lt;30,"Overweight",C1002&gt;=30,"Obese")</f>
        <v>Obese</v>
      </c>
      <c r="K1002" t="str" cm="1">
        <f t="array" ref="K1002">_xlfn.IFS(G1002&lt;10000, "Low", G1002&lt;=25000, "Medium", G1002&gt;25000, "High")</f>
        <v>Medium</v>
      </c>
    </row>
    <row r="1003" spans="1:11" x14ac:dyDescent="0.3">
      <c r="A1003">
        <v>51</v>
      </c>
      <c r="B1003" s="1" t="s">
        <v>8</v>
      </c>
      <c r="C1003">
        <v>34.674999999999997</v>
      </c>
      <c r="D1003">
        <v>2</v>
      </c>
      <c r="E1003" t="s">
        <v>10</v>
      </c>
      <c r="F1003" t="s">
        <v>11</v>
      </c>
      <c r="G1003" s="2">
        <v>16586.49771</v>
      </c>
      <c r="H1003" t="str" cm="1">
        <f t="array" ref="H1003">_xlfn.IFS(A1003&lt;=30, "Youth", A1003&lt;=50, "Adult", A1003&gt;50, "Older")</f>
        <v>Older</v>
      </c>
      <c r="I1003" t="str" cm="1">
        <f t="array" ref="I1003">_xlfn.IFS(A1003&lt;=25,"18-25",A1003&lt;=35,"26-35",A1003&lt;=45,"36-45",A1003&lt;=60,"46-60",A1003&gt;60,"60+")</f>
        <v>46-60</v>
      </c>
      <c r="J1003" t="str" cm="1">
        <f t="array" ref="J1003">_xlfn.IFS(C1003&lt;18.5,"Underweight",C1003&lt;25,"Normal",C1003&lt;30,"Overweight",C1003&gt;=30,"Obese")</f>
        <v>Obese</v>
      </c>
      <c r="K1003" t="str" cm="1">
        <f t="array" ref="K1003">_xlfn.IFS(G1003&lt;10000, "Low", G1003&lt;=25000, "Medium", G1003&gt;25000, "High")</f>
        <v>Medium</v>
      </c>
    </row>
    <row r="1004" spans="1:11" x14ac:dyDescent="0.3">
      <c r="A1004">
        <v>51</v>
      </c>
      <c r="B1004" s="1" t="s">
        <v>8</v>
      </c>
      <c r="C1004">
        <v>34.700000000000003</v>
      </c>
      <c r="D1004">
        <v>2</v>
      </c>
      <c r="E1004" t="s">
        <v>10</v>
      </c>
      <c r="F1004" t="s">
        <v>11</v>
      </c>
      <c r="G1004" s="2">
        <v>16657.71745</v>
      </c>
      <c r="H1004" t="str" cm="1">
        <f t="array" ref="H1004">_xlfn.IFS(A1004&lt;=30, "Youth", A1004&lt;=50, "Adult", A1004&gt;50, "Older")</f>
        <v>Older</v>
      </c>
      <c r="I1004" t="str" cm="1">
        <f t="array" ref="I1004">_xlfn.IFS(A1004&lt;=25,"18-25",A1004&lt;=35,"26-35",A1004&lt;=45,"36-45",A1004&lt;=60,"46-60",A1004&gt;60,"60+")</f>
        <v>46-60</v>
      </c>
      <c r="J1004" t="str" cm="1">
        <f t="array" ref="J1004">_xlfn.IFS(C1004&lt;18.5,"Underweight",C1004&lt;25,"Normal",C1004&lt;30,"Overweight",C1004&gt;=30,"Obese")</f>
        <v>Obese</v>
      </c>
      <c r="K1004" t="str" cm="1">
        <f t="array" ref="K1004">_xlfn.IFS(G1004&lt;10000, "Low", G1004&lt;=25000, "Medium", G1004&gt;25000, "High")</f>
        <v>Medium</v>
      </c>
    </row>
    <row r="1005" spans="1:11" x14ac:dyDescent="0.3">
      <c r="A1005">
        <v>51</v>
      </c>
      <c r="B1005" s="1" t="s">
        <v>8</v>
      </c>
      <c r="C1005">
        <v>34.700000000000003</v>
      </c>
      <c r="D1005">
        <v>2</v>
      </c>
      <c r="E1005" t="s">
        <v>10</v>
      </c>
      <c r="F1005" t="s">
        <v>14</v>
      </c>
      <c r="G1005" s="2">
        <v>16776.304049999999</v>
      </c>
      <c r="H1005" t="str" cm="1">
        <f t="array" ref="H1005">_xlfn.IFS(A1005&lt;=30, "Youth", A1005&lt;=50, "Adult", A1005&gt;50, "Older")</f>
        <v>Older</v>
      </c>
      <c r="I1005" t="str" cm="1">
        <f t="array" ref="I1005">_xlfn.IFS(A1005&lt;=25,"18-25",A1005&lt;=35,"26-35",A1005&lt;=45,"36-45",A1005&lt;=60,"46-60",A1005&gt;60,"60+")</f>
        <v>46-60</v>
      </c>
      <c r="J1005" t="str" cm="1">
        <f t="array" ref="J1005">_xlfn.IFS(C1005&lt;18.5,"Underweight",C1005&lt;25,"Normal",C1005&lt;30,"Overweight",C1005&gt;=30,"Obese")</f>
        <v>Obese</v>
      </c>
      <c r="K1005" t="str" cm="1">
        <f t="array" ref="K1005">_xlfn.IFS(G1005&lt;10000, "Low", G1005&lt;=25000, "Medium", G1005&gt;25000, "High")</f>
        <v>Medium</v>
      </c>
    </row>
    <row r="1006" spans="1:11" x14ac:dyDescent="0.3">
      <c r="A1006">
        <v>51</v>
      </c>
      <c r="B1006" s="1" t="s">
        <v>8</v>
      </c>
      <c r="C1006">
        <v>34.770000000000003</v>
      </c>
      <c r="D1006">
        <v>2</v>
      </c>
      <c r="E1006" t="s">
        <v>10</v>
      </c>
      <c r="F1006" t="s">
        <v>13</v>
      </c>
      <c r="G1006" s="2">
        <v>16796.411940000002</v>
      </c>
      <c r="H1006" t="str" cm="1">
        <f t="array" ref="H1006">_xlfn.IFS(A1006&lt;=30, "Youth", A1006&lt;=50, "Adult", A1006&gt;50, "Older")</f>
        <v>Older</v>
      </c>
      <c r="I1006" t="str" cm="1">
        <f t="array" ref="I1006">_xlfn.IFS(A1006&lt;=25,"18-25",A1006&lt;=35,"26-35",A1006&lt;=45,"36-45",A1006&lt;=60,"46-60",A1006&gt;60,"60+")</f>
        <v>46-60</v>
      </c>
      <c r="J1006" t="str" cm="1">
        <f t="array" ref="J1006">_xlfn.IFS(C1006&lt;18.5,"Underweight",C1006&lt;25,"Normal",C1006&lt;30,"Overweight",C1006&gt;=30,"Obese")</f>
        <v>Obese</v>
      </c>
      <c r="K1006" t="str" cm="1">
        <f t="array" ref="K1006">_xlfn.IFS(G1006&lt;10000, "Low", G1006&lt;=25000, "Medium", G1006&gt;25000, "High")</f>
        <v>Medium</v>
      </c>
    </row>
    <row r="1007" spans="1:11" x14ac:dyDescent="0.3">
      <c r="A1007">
        <v>51</v>
      </c>
      <c r="B1007" s="1" t="s">
        <v>8</v>
      </c>
      <c r="C1007">
        <v>34.770000000000003</v>
      </c>
      <c r="D1007">
        <v>2</v>
      </c>
      <c r="E1007" t="s">
        <v>10</v>
      </c>
      <c r="F1007" t="s">
        <v>14</v>
      </c>
      <c r="G1007" s="2">
        <v>16884.923999999999</v>
      </c>
      <c r="H1007" t="str" cm="1">
        <f t="array" ref="H1007">_xlfn.IFS(A1007&lt;=30, "Youth", A1007&lt;=50, "Adult", A1007&gt;50, "Older")</f>
        <v>Older</v>
      </c>
      <c r="I1007" t="str" cm="1">
        <f t="array" ref="I1007">_xlfn.IFS(A1007&lt;=25,"18-25",A1007&lt;=35,"26-35",A1007&lt;=45,"36-45",A1007&lt;=60,"46-60",A1007&gt;60,"60+")</f>
        <v>46-60</v>
      </c>
      <c r="J1007" t="str" cm="1">
        <f t="array" ref="J1007">_xlfn.IFS(C1007&lt;18.5,"Underweight",C1007&lt;25,"Normal",C1007&lt;30,"Overweight",C1007&gt;=30,"Obese")</f>
        <v>Obese</v>
      </c>
      <c r="K1007" t="str" cm="1">
        <f t="array" ref="K1007">_xlfn.IFS(G1007&lt;10000, "Low", G1007&lt;=25000, "Medium", G1007&gt;25000, "High")</f>
        <v>Medium</v>
      </c>
    </row>
    <row r="1008" spans="1:11" x14ac:dyDescent="0.3">
      <c r="A1008">
        <v>51</v>
      </c>
      <c r="B1008" s="1" t="s">
        <v>8</v>
      </c>
      <c r="C1008">
        <v>34.770000000000003</v>
      </c>
      <c r="D1008">
        <v>2</v>
      </c>
      <c r="E1008" t="s">
        <v>9</v>
      </c>
      <c r="F1008" t="s">
        <v>13</v>
      </c>
      <c r="G1008" s="2">
        <v>17043.341400000001</v>
      </c>
      <c r="H1008" t="str" cm="1">
        <f t="array" ref="H1008">_xlfn.IFS(A1008&lt;=30, "Youth", A1008&lt;=50, "Adult", A1008&gt;50, "Older")</f>
        <v>Older</v>
      </c>
      <c r="I1008" t="str" cm="1">
        <f t="array" ref="I1008">_xlfn.IFS(A1008&lt;=25,"18-25",A1008&lt;=35,"26-35",A1008&lt;=45,"36-45",A1008&lt;=60,"46-60",A1008&gt;60,"60+")</f>
        <v>46-60</v>
      </c>
      <c r="J1008" t="str" cm="1">
        <f t="array" ref="J1008">_xlfn.IFS(C1008&lt;18.5,"Underweight",C1008&lt;25,"Normal",C1008&lt;30,"Overweight",C1008&gt;=30,"Obese")</f>
        <v>Obese</v>
      </c>
      <c r="K1008" t="str" cm="1">
        <f t="array" ref="K1008">_xlfn.IFS(G1008&lt;10000, "Low", G1008&lt;=25000, "Medium", G1008&gt;25000, "High")</f>
        <v>Medium</v>
      </c>
    </row>
    <row r="1009" spans="1:11" x14ac:dyDescent="0.3">
      <c r="A1009">
        <v>51</v>
      </c>
      <c r="B1009" s="1" t="s">
        <v>8</v>
      </c>
      <c r="C1009">
        <v>34.799999999999997</v>
      </c>
      <c r="D1009">
        <v>2</v>
      </c>
      <c r="E1009" t="s">
        <v>10</v>
      </c>
      <c r="F1009" t="s">
        <v>14</v>
      </c>
      <c r="G1009" s="2">
        <v>17081.080000000002</v>
      </c>
      <c r="H1009" t="str" cm="1">
        <f t="array" ref="H1009">_xlfn.IFS(A1009&lt;=30, "Youth", A1009&lt;=50, "Adult", A1009&gt;50, "Older")</f>
        <v>Older</v>
      </c>
      <c r="I1009" t="str" cm="1">
        <f t="array" ref="I1009">_xlfn.IFS(A1009&lt;=25,"18-25",A1009&lt;=35,"26-35",A1009&lt;=45,"36-45",A1009&lt;=60,"46-60",A1009&gt;60,"60+")</f>
        <v>46-60</v>
      </c>
      <c r="J1009" t="str" cm="1">
        <f t="array" ref="J1009">_xlfn.IFS(C1009&lt;18.5,"Underweight",C1009&lt;25,"Normal",C1009&lt;30,"Overweight",C1009&gt;=30,"Obese")</f>
        <v>Obese</v>
      </c>
      <c r="K1009" t="str" cm="1">
        <f t="array" ref="K1009">_xlfn.IFS(G1009&lt;10000, "Low", G1009&lt;=25000, "Medium", G1009&gt;25000, "High")</f>
        <v>Medium</v>
      </c>
    </row>
    <row r="1010" spans="1:11" x14ac:dyDescent="0.3">
      <c r="A1010">
        <v>51</v>
      </c>
      <c r="B1010" s="1" t="s">
        <v>8</v>
      </c>
      <c r="C1010">
        <v>34.799999999999997</v>
      </c>
      <c r="D1010">
        <v>2</v>
      </c>
      <c r="E1010" t="s">
        <v>10</v>
      </c>
      <c r="F1010" t="s">
        <v>14</v>
      </c>
      <c r="G1010" s="2">
        <v>17085.267599999999</v>
      </c>
      <c r="H1010" t="str" cm="1">
        <f t="array" ref="H1010">_xlfn.IFS(A1010&lt;=30, "Youth", A1010&lt;=50, "Adult", A1010&gt;50, "Older")</f>
        <v>Older</v>
      </c>
      <c r="I1010" t="str" cm="1">
        <f t="array" ref="I1010">_xlfn.IFS(A1010&lt;=25,"18-25",A1010&lt;=35,"26-35",A1010&lt;=45,"36-45",A1010&lt;=60,"46-60",A1010&gt;60,"60+")</f>
        <v>46-60</v>
      </c>
      <c r="J1010" t="str" cm="1">
        <f t="array" ref="J1010">_xlfn.IFS(C1010&lt;18.5,"Underweight",C1010&lt;25,"Normal",C1010&lt;30,"Overweight",C1010&gt;=30,"Obese")</f>
        <v>Obese</v>
      </c>
      <c r="K1010" t="str" cm="1">
        <f t="array" ref="K1010">_xlfn.IFS(G1010&lt;10000, "Low", G1010&lt;=25000, "Medium", G1010&gt;25000, "High")</f>
        <v>Medium</v>
      </c>
    </row>
    <row r="1011" spans="1:11" x14ac:dyDescent="0.3">
      <c r="A1011">
        <v>51</v>
      </c>
      <c r="B1011" s="1" t="s">
        <v>7</v>
      </c>
      <c r="C1011">
        <v>34.799999999999997</v>
      </c>
      <c r="D1011">
        <v>2</v>
      </c>
      <c r="E1011" t="s">
        <v>10</v>
      </c>
      <c r="F1011" t="s">
        <v>11</v>
      </c>
      <c r="G1011" s="2">
        <v>17128.426080000001</v>
      </c>
      <c r="H1011" t="str" cm="1">
        <f t="array" ref="H1011">_xlfn.IFS(A1011&lt;=30, "Youth", A1011&lt;=50, "Adult", A1011&gt;50, "Older")</f>
        <v>Older</v>
      </c>
      <c r="I1011" t="str" cm="1">
        <f t="array" ref="I1011">_xlfn.IFS(A1011&lt;=25,"18-25",A1011&lt;=35,"26-35",A1011&lt;=45,"36-45",A1011&lt;=60,"46-60",A1011&gt;60,"60+")</f>
        <v>46-60</v>
      </c>
      <c r="J1011" t="str" cm="1">
        <f t="array" ref="J1011">_xlfn.IFS(C1011&lt;18.5,"Underweight",C1011&lt;25,"Normal",C1011&lt;30,"Overweight",C1011&gt;=30,"Obese")</f>
        <v>Obese</v>
      </c>
      <c r="K1011" t="str" cm="1">
        <f t="array" ref="K1011">_xlfn.IFS(G1011&lt;10000, "Low", G1011&lt;=25000, "Medium", G1011&gt;25000, "High")</f>
        <v>Medium</v>
      </c>
    </row>
    <row r="1012" spans="1:11" x14ac:dyDescent="0.3">
      <c r="A1012">
        <v>52</v>
      </c>
      <c r="B1012" s="1" t="s">
        <v>8</v>
      </c>
      <c r="C1012">
        <v>34.799999999999997</v>
      </c>
      <c r="D1012">
        <v>2</v>
      </c>
      <c r="E1012" t="s">
        <v>9</v>
      </c>
      <c r="F1012" t="s">
        <v>12</v>
      </c>
      <c r="G1012" s="2">
        <v>17178.682400000002</v>
      </c>
      <c r="H1012" t="str" cm="1">
        <f t="array" ref="H1012">_xlfn.IFS(A1012&lt;=30, "Youth", A1012&lt;=50, "Adult", A1012&gt;50, "Older")</f>
        <v>Older</v>
      </c>
      <c r="I1012" t="str" cm="1">
        <f t="array" ref="I1012">_xlfn.IFS(A1012&lt;=25,"18-25",A1012&lt;=35,"26-35",A1012&lt;=45,"36-45",A1012&lt;=60,"46-60",A1012&gt;60,"60+")</f>
        <v>46-60</v>
      </c>
      <c r="J1012" t="str" cm="1">
        <f t="array" ref="J1012">_xlfn.IFS(C1012&lt;18.5,"Underweight",C1012&lt;25,"Normal",C1012&lt;30,"Overweight",C1012&gt;=30,"Obese")</f>
        <v>Obese</v>
      </c>
      <c r="K1012" t="str" cm="1">
        <f t="array" ref="K1012">_xlfn.IFS(G1012&lt;10000, "Low", G1012&lt;=25000, "Medium", G1012&gt;25000, "High")</f>
        <v>Medium</v>
      </c>
    </row>
    <row r="1013" spans="1:11" x14ac:dyDescent="0.3">
      <c r="A1013">
        <v>52</v>
      </c>
      <c r="B1013" s="1" t="s">
        <v>7</v>
      </c>
      <c r="C1013">
        <v>34.799999999999997</v>
      </c>
      <c r="D1013">
        <v>2</v>
      </c>
      <c r="E1013" t="s">
        <v>10</v>
      </c>
      <c r="F1013" t="s">
        <v>12</v>
      </c>
      <c r="G1013" s="2">
        <v>17179.522000000001</v>
      </c>
      <c r="H1013" t="str" cm="1">
        <f t="array" ref="H1013">_xlfn.IFS(A1013&lt;=30, "Youth", A1013&lt;=50, "Adult", A1013&gt;50, "Older")</f>
        <v>Older</v>
      </c>
      <c r="I1013" t="str" cm="1">
        <f t="array" ref="I1013">_xlfn.IFS(A1013&lt;=25,"18-25",A1013&lt;=35,"26-35",A1013&lt;=45,"36-45",A1013&lt;=60,"46-60",A1013&gt;60,"60+")</f>
        <v>46-60</v>
      </c>
      <c r="J1013" t="str" cm="1">
        <f t="array" ref="J1013">_xlfn.IFS(C1013&lt;18.5,"Underweight",C1013&lt;25,"Normal",C1013&lt;30,"Overweight",C1013&gt;=30,"Obese")</f>
        <v>Obese</v>
      </c>
      <c r="K1013" t="str" cm="1">
        <f t="array" ref="K1013">_xlfn.IFS(G1013&lt;10000, "Low", G1013&lt;=25000, "Medium", G1013&gt;25000, "High")</f>
        <v>Medium</v>
      </c>
    </row>
    <row r="1014" spans="1:11" x14ac:dyDescent="0.3">
      <c r="A1014">
        <v>52</v>
      </c>
      <c r="B1014" s="1" t="s">
        <v>8</v>
      </c>
      <c r="C1014">
        <v>34.799999999999997</v>
      </c>
      <c r="D1014">
        <v>2</v>
      </c>
      <c r="E1014" t="s">
        <v>10</v>
      </c>
      <c r="F1014" t="s">
        <v>13</v>
      </c>
      <c r="G1014" s="2">
        <v>17352.6803</v>
      </c>
      <c r="H1014" t="str" cm="1">
        <f t="array" ref="H1014">_xlfn.IFS(A1014&lt;=30, "Youth", A1014&lt;=50, "Adult", A1014&gt;50, "Older")</f>
        <v>Older</v>
      </c>
      <c r="I1014" t="str" cm="1">
        <f t="array" ref="I1014">_xlfn.IFS(A1014&lt;=25,"18-25",A1014&lt;=35,"26-35",A1014&lt;=45,"36-45",A1014&lt;=60,"46-60",A1014&gt;60,"60+")</f>
        <v>46-60</v>
      </c>
      <c r="J1014" t="str" cm="1">
        <f t="array" ref="J1014">_xlfn.IFS(C1014&lt;18.5,"Underweight",C1014&lt;25,"Normal",C1014&lt;30,"Overweight",C1014&gt;=30,"Obese")</f>
        <v>Obese</v>
      </c>
      <c r="K1014" t="str" cm="1">
        <f t="array" ref="K1014">_xlfn.IFS(G1014&lt;10000, "Low", G1014&lt;=25000, "Medium", G1014&gt;25000, "High")</f>
        <v>Medium</v>
      </c>
    </row>
    <row r="1015" spans="1:11" x14ac:dyDescent="0.3">
      <c r="A1015">
        <v>52</v>
      </c>
      <c r="B1015" s="1" t="s">
        <v>7</v>
      </c>
      <c r="C1015">
        <v>34.799999999999997</v>
      </c>
      <c r="D1015">
        <v>2</v>
      </c>
      <c r="E1015" t="s">
        <v>10</v>
      </c>
      <c r="F1015" t="s">
        <v>11</v>
      </c>
      <c r="G1015" s="2">
        <v>17361.766100000001</v>
      </c>
      <c r="H1015" t="str" cm="1">
        <f t="array" ref="H1015">_xlfn.IFS(A1015&lt;=30, "Youth", A1015&lt;=50, "Adult", A1015&gt;50, "Older")</f>
        <v>Older</v>
      </c>
      <c r="I1015" t="str" cm="1">
        <f t="array" ref="I1015">_xlfn.IFS(A1015&lt;=25,"18-25",A1015&lt;=35,"26-35",A1015&lt;=45,"36-45",A1015&lt;=60,"46-60",A1015&gt;60,"60+")</f>
        <v>46-60</v>
      </c>
      <c r="J1015" t="str" cm="1">
        <f t="array" ref="J1015">_xlfn.IFS(C1015&lt;18.5,"Underweight",C1015&lt;25,"Normal",C1015&lt;30,"Overweight",C1015&gt;=30,"Obese")</f>
        <v>Obese</v>
      </c>
      <c r="K1015" t="str" cm="1">
        <f t="array" ref="K1015">_xlfn.IFS(G1015&lt;10000, "Low", G1015&lt;=25000, "Medium", G1015&gt;25000, "High")</f>
        <v>Medium</v>
      </c>
    </row>
    <row r="1016" spans="1:11" x14ac:dyDescent="0.3">
      <c r="A1016">
        <v>52</v>
      </c>
      <c r="B1016" s="1" t="s">
        <v>8</v>
      </c>
      <c r="C1016">
        <v>34.865000000000002</v>
      </c>
      <c r="D1016">
        <v>2</v>
      </c>
      <c r="E1016" t="s">
        <v>10</v>
      </c>
      <c r="F1016" t="s">
        <v>13</v>
      </c>
      <c r="G1016" s="2">
        <v>17468.983899999999</v>
      </c>
      <c r="H1016" t="str" cm="1">
        <f t="array" ref="H1016">_xlfn.IFS(A1016&lt;=30, "Youth", A1016&lt;=50, "Adult", A1016&gt;50, "Older")</f>
        <v>Older</v>
      </c>
      <c r="I1016" t="str" cm="1">
        <f t="array" ref="I1016">_xlfn.IFS(A1016&lt;=25,"18-25",A1016&lt;=35,"26-35",A1016&lt;=45,"36-45",A1016&lt;=60,"46-60",A1016&gt;60,"60+")</f>
        <v>46-60</v>
      </c>
      <c r="J1016" t="str" cm="1">
        <f t="array" ref="J1016">_xlfn.IFS(C1016&lt;18.5,"Underweight",C1016&lt;25,"Normal",C1016&lt;30,"Overweight",C1016&gt;=30,"Obese")</f>
        <v>Obese</v>
      </c>
      <c r="K1016" t="str" cm="1">
        <f t="array" ref="K1016">_xlfn.IFS(G1016&lt;10000, "Low", G1016&lt;=25000, "Medium", G1016&gt;25000, "High")</f>
        <v>Medium</v>
      </c>
    </row>
    <row r="1017" spans="1:11" x14ac:dyDescent="0.3">
      <c r="A1017">
        <v>52</v>
      </c>
      <c r="B1017" s="1" t="s">
        <v>7</v>
      </c>
      <c r="C1017">
        <v>34.865000000000002</v>
      </c>
      <c r="D1017">
        <v>2</v>
      </c>
      <c r="E1017" t="s">
        <v>10</v>
      </c>
      <c r="F1017" t="s">
        <v>13</v>
      </c>
      <c r="G1017" s="2">
        <v>17496.306</v>
      </c>
      <c r="H1017" t="str" cm="1">
        <f t="array" ref="H1017">_xlfn.IFS(A1017&lt;=30, "Youth", A1017&lt;=50, "Adult", A1017&gt;50, "Older")</f>
        <v>Older</v>
      </c>
      <c r="I1017" t="str" cm="1">
        <f t="array" ref="I1017">_xlfn.IFS(A1017&lt;=25,"18-25",A1017&lt;=35,"26-35",A1017&lt;=45,"36-45",A1017&lt;=60,"46-60",A1017&gt;60,"60+")</f>
        <v>46-60</v>
      </c>
      <c r="J1017" t="str" cm="1">
        <f t="array" ref="J1017">_xlfn.IFS(C1017&lt;18.5,"Underweight",C1017&lt;25,"Normal",C1017&lt;30,"Overweight",C1017&gt;=30,"Obese")</f>
        <v>Obese</v>
      </c>
      <c r="K1017" t="str" cm="1">
        <f t="array" ref="K1017">_xlfn.IFS(G1017&lt;10000, "Low", G1017&lt;=25000, "Medium", G1017&gt;25000, "High")</f>
        <v>Medium</v>
      </c>
    </row>
    <row r="1018" spans="1:11" x14ac:dyDescent="0.3">
      <c r="A1018">
        <v>52</v>
      </c>
      <c r="B1018" s="1" t="s">
        <v>7</v>
      </c>
      <c r="C1018">
        <v>34.869999999999997</v>
      </c>
      <c r="D1018">
        <v>2</v>
      </c>
      <c r="E1018" t="s">
        <v>10</v>
      </c>
      <c r="F1018" t="s">
        <v>11</v>
      </c>
      <c r="G1018" s="2">
        <v>17560.37975</v>
      </c>
      <c r="H1018" t="str" cm="1">
        <f t="array" ref="H1018">_xlfn.IFS(A1018&lt;=30, "Youth", A1018&lt;=50, "Adult", A1018&gt;50, "Older")</f>
        <v>Older</v>
      </c>
      <c r="I1018" t="str" cm="1">
        <f t="array" ref="I1018">_xlfn.IFS(A1018&lt;=25,"18-25",A1018&lt;=35,"26-35",A1018&lt;=45,"36-45",A1018&lt;=60,"46-60",A1018&gt;60,"60+")</f>
        <v>46-60</v>
      </c>
      <c r="J1018" t="str" cm="1">
        <f t="array" ref="J1018">_xlfn.IFS(C1018&lt;18.5,"Underweight",C1018&lt;25,"Normal",C1018&lt;30,"Overweight",C1018&gt;=30,"Obese")</f>
        <v>Obese</v>
      </c>
      <c r="K1018" t="str" cm="1">
        <f t="array" ref="K1018">_xlfn.IFS(G1018&lt;10000, "Low", G1018&lt;=25000, "Medium", G1018&gt;25000, "High")</f>
        <v>Medium</v>
      </c>
    </row>
    <row r="1019" spans="1:11" x14ac:dyDescent="0.3">
      <c r="A1019">
        <v>52</v>
      </c>
      <c r="B1019" s="1" t="s">
        <v>7</v>
      </c>
      <c r="C1019">
        <v>34.9</v>
      </c>
      <c r="D1019">
        <v>2</v>
      </c>
      <c r="E1019" t="s">
        <v>10</v>
      </c>
      <c r="F1019" t="s">
        <v>13</v>
      </c>
      <c r="G1019" s="2">
        <v>17626.239509999999</v>
      </c>
      <c r="H1019" t="str" cm="1">
        <f t="array" ref="H1019">_xlfn.IFS(A1019&lt;=30, "Youth", A1019&lt;=50, "Adult", A1019&gt;50, "Older")</f>
        <v>Older</v>
      </c>
      <c r="I1019" t="str" cm="1">
        <f t="array" ref="I1019">_xlfn.IFS(A1019&lt;=25,"18-25",A1019&lt;=35,"26-35",A1019&lt;=45,"36-45",A1019&lt;=60,"46-60",A1019&gt;60,"60+")</f>
        <v>46-60</v>
      </c>
      <c r="J1019" t="str" cm="1">
        <f t="array" ref="J1019">_xlfn.IFS(C1019&lt;18.5,"Underweight",C1019&lt;25,"Normal",C1019&lt;30,"Overweight",C1019&gt;=30,"Obese")</f>
        <v>Obese</v>
      </c>
      <c r="K1019" t="str" cm="1">
        <f t="array" ref="K1019">_xlfn.IFS(G1019&lt;10000, "Low", G1019&lt;=25000, "Medium", G1019&gt;25000, "High")</f>
        <v>Medium</v>
      </c>
    </row>
    <row r="1020" spans="1:11" x14ac:dyDescent="0.3">
      <c r="A1020">
        <v>52</v>
      </c>
      <c r="B1020" s="1" t="s">
        <v>7</v>
      </c>
      <c r="C1020">
        <v>34.96</v>
      </c>
      <c r="D1020">
        <v>2</v>
      </c>
      <c r="E1020" t="s">
        <v>10</v>
      </c>
      <c r="F1020" t="s">
        <v>13</v>
      </c>
      <c r="G1020" s="2">
        <v>17663.144199999999</v>
      </c>
      <c r="H1020" t="str" cm="1">
        <f t="array" ref="H1020">_xlfn.IFS(A1020&lt;=30, "Youth", A1020&lt;=50, "Adult", A1020&gt;50, "Older")</f>
        <v>Older</v>
      </c>
      <c r="I1020" t="str" cm="1">
        <f t="array" ref="I1020">_xlfn.IFS(A1020&lt;=25,"18-25",A1020&lt;=35,"26-35",A1020&lt;=45,"36-45",A1020&lt;=60,"46-60",A1020&gt;60,"60+")</f>
        <v>46-60</v>
      </c>
      <c r="J1020" t="str" cm="1">
        <f t="array" ref="J1020">_xlfn.IFS(C1020&lt;18.5,"Underweight",C1020&lt;25,"Normal",C1020&lt;30,"Overweight",C1020&gt;=30,"Obese")</f>
        <v>Obese</v>
      </c>
      <c r="K1020" t="str" cm="1">
        <f t="array" ref="K1020">_xlfn.IFS(G1020&lt;10000, "Low", G1020&lt;=25000, "Medium", G1020&gt;25000, "High")</f>
        <v>Medium</v>
      </c>
    </row>
    <row r="1021" spans="1:11" x14ac:dyDescent="0.3">
      <c r="A1021">
        <v>52</v>
      </c>
      <c r="B1021" s="1" t="s">
        <v>8</v>
      </c>
      <c r="C1021">
        <v>34.96</v>
      </c>
      <c r="D1021">
        <v>2</v>
      </c>
      <c r="E1021" t="s">
        <v>10</v>
      </c>
      <c r="F1021" t="s">
        <v>11</v>
      </c>
      <c r="G1021" s="2">
        <v>17748.5062</v>
      </c>
      <c r="H1021" t="str" cm="1">
        <f t="array" ref="H1021">_xlfn.IFS(A1021&lt;=30, "Youth", A1021&lt;=50, "Adult", A1021&gt;50, "Older")</f>
        <v>Older</v>
      </c>
      <c r="I1021" t="str" cm="1">
        <f t="array" ref="I1021">_xlfn.IFS(A1021&lt;=25,"18-25",A1021&lt;=35,"26-35",A1021&lt;=45,"36-45",A1021&lt;=60,"46-60",A1021&gt;60,"60+")</f>
        <v>46-60</v>
      </c>
      <c r="J1021" t="str" cm="1">
        <f t="array" ref="J1021">_xlfn.IFS(C1021&lt;18.5,"Underweight",C1021&lt;25,"Normal",C1021&lt;30,"Overweight",C1021&gt;=30,"Obese")</f>
        <v>Obese</v>
      </c>
      <c r="K1021" t="str" cm="1">
        <f t="array" ref="K1021">_xlfn.IFS(G1021&lt;10000, "Low", G1021&lt;=25000, "Medium", G1021&gt;25000, "High")</f>
        <v>Medium</v>
      </c>
    </row>
    <row r="1022" spans="1:11" x14ac:dyDescent="0.3">
      <c r="A1022">
        <v>52</v>
      </c>
      <c r="B1022" s="1" t="s">
        <v>7</v>
      </c>
      <c r="C1022">
        <v>34.96</v>
      </c>
      <c r="D1022">
        <v>2</v>
      </c>
      <c r="E1022" t="s">
        <v>9</v>
      </c>
      <c r="F1022" t="s">
        <v>12</v>
      </c>
      <c r="G1022" s="2">
        <v>17878.900679999999</v>
      </c>
      <c r="H1022" t="str" cm="1">
        <f t="array" ref="H1022">_xlfn.IFS(A1022&lt;=30, "Youth", A1022&lt;=50, "Adult", A1022&gt;50, "Older")</f>
        <v>Older</v>
      </c>
      <c r="I1022" t="str" cm="1">
        <f t="array" ref="I1022">_xlfn.IFS(A1022&lt;=25,"18-25",A1022&lt;=35,"26-35",A1022&lt;=45,"36-45",A1022&lt;=60,"46-60",A1022&gt;60,"60+")</f>
        <v>46-60</v>
      </c>
      <c r="J1022" t="str" cm="1">
        <f t="array" ref="J1022">_xlfn.IFS(C1022&lt;18.5,"Underweight",C1022&lt;25,"Normal",C1022&lt;30,"Overweight",C1022&gt;=30,"Obese")</f>
        <v>Obese</v>
      </c>
      <c r="K1022" t="str" cm="1">
        <f t="array" ref="K1022">_xlfn.IFS(G1022&lt;10000, "Low", G1022&lt;=25000, "Medium", G1022&gt;25000, "High")</f>
        <v>Medium</v>
      </c>
    </row>
    <row r="1023" spans="1:11" x14ac:dyDescent="0.3">
      <c r="A1023">
        <v>52</v>
      </c>
      <c r="B1023" s="1" t="s">
        <v>8</v>
      </c>
      <c r="C1023">
        <v>35.090000000000003</v>
      </c>
      <c r="D1023">
        <v>2</v>
      </c>
      <c r="E1023" t="s">
        <v>9</v>
      </c>
      <c r="F1023" t="s">
        <v>12</v>
      </c>
      <c r="G1023" s="2">
        <v>17904.527050000001</v>
      </c>
      <c r="H1023" t="str" cm="1">
        <f t="array" ref="H1023">_xlfn.IFS(A1023&lt;=30, "Youth", A1023&lt;=50, "Adult", A1023&gt;50, "Older")</f>
        <v>Older</v>
      </c>
      <c r="I1023" t="str" cm="1">
        <f t="array" ref="I1023">_xlfn.IFS(A1023&lt;=25,"18-25",A1023&lt;=35,"26-35",A1023&lt;=45,"36-45",A1023&lt;=60,"46-60",A1023&gt;60,"60+")</f>
        <v>46-60</v>
      </c>
      <c r="J1023" t="str" cm="1">
        <f t="array" ref="J1023">_xlfn.IFS(C1023&lt;18.5,"Underweight",C1023&lt;25,"Normal",C1023&lt;30,"Overweight",C1023&gt;=30,"Obese")</f>
        <v>Obese</v>
      </c>
      <c r="K1023" t="str" cm="1">
        <f t="array" ref="K1023">_xlfn.IFS(G1023&lt;10000, "Low", G1023&lt;=25000, "Medium", G1023&gt;25000, "High")</f>
        <v>Medium</v>
      </c>
    </row>
    <row r="1024" spans="1:11" x14ac:dyDescent="0.3">
      <c r="A1024">
        <v>52</v>
      </c>
      <c r="B1024" s="1" t="s">
        <v>8</v>
      </c>
      <c r="C1024">
        <v>35.1</v>
      </c>
      <c r="D1024">
        <v>2</v>
      </c>
      <c r="E1024" t="s">
        <v>10</v>
      </c>
      <c r="F1024" t="s">
        <v>12</v>
      </c>
      <c r="G1024" s="2">
        <v>17929.303370000001</v>
      </c>
      <c r="H1024" t="str" cm="1">
        <f t="array" ref="H1024">_xlfn.IFS(A1024&lt;=30, "Youth", A1024&lt;=50, "Adult", A1024&gt;50, "Older")</f>
        <v>Older</v>
      </c>
      <c r="I1024" t="str" cm="1">
        <f t="array" ref="I1024">_xlfn.IFS(A1024&lt;=25,"18-25",A1024&lt;=35,"26-35",A1024&lt;=45,"36-45",A1024&lt;=60,"46-60",A1024&gt;60,"60+")</f>
        <v>46-60</v>
      </c>
      <c r="J1024" t="str" cm="1">
        <f t="array" ref="J1024">_xlfn.IFS(C1024&lt;18.5,"Underweight",C1024&lt;25,"Normal",C1024&lt;30,"Overweight",C1024&gt;=30,"Obese")</f>
        <v>Obese</v>
      </c>
      <c r="K1024" t="str" cm="1">
        <f t="array" ref="K1024">_xlfn.IFS(G1024&lt;10000, "Low", G1024&lt;=25000, "Medium", G1024&gt;25000, "High")</f>
        <v>Medium</v>
      </c>
    </row>
    <row r="1025" spans="1:11" x14ac:dyDescent="0.3">
      <c r="A1025">
        <v>52</v>
      </c>
      <c r="B1025" s="1" t="s">
        <v>7</v>
      </c>
      <c r="C1025">
        <v>35.15</v>
      </c>
      <c r="D1025">
        <v>2</v>
      </c>
      <c r="E1025" t="s">
        <v>10</v>
      </c>
      <c r="F1025" t="s">
        <v>12</v>
      </c>
      <c r="G1025" s="2">
        <v>17942.106</v>
      </c>
      <c r="H1025" t="str" cm="1">
        <f t="array" ref="H1025">_xlfn.IFS(A1025&lt;=30, "Youth", A1025&lt;=50, "Adult", A1025&gt;50, "Older")</f>
        <v>Older</v>
      </c>
      <c r="I1025" t="str" cm="1">
        <f t="array" ref="I1025">_xlfn.IFS(A1025&lt;=25,"18-25",A1025&lt;=35,"26-35",A1025&lt;=45,"36-45",A1025&lt;=60,"46-60",A1025&gt;60,"60+")</f>
        <v>46-60</v>
      </c>
      <c r="J1025" t="str" cm="1">
        <f t="array" ref="J1025">_xlfn.IFS(C1025&lt;18.5,"Underweight",C1025&lt;25,"Normal",C1025&lt;30,"Overweight",C1025&gt;=30,"Obese")</f>
        <v>Obese</v>
      </c>
      <c r="K1025" t="str" cm="1">
        <f t="array" ref="K1025">_xlfn.IFS(G1025&lt;10000, "Low", G1025&lt;=25000, "Medium", G1025&gt;25000, "High")</f>
        <v>Medium</v>
      </c>
    </row>
    <row r="1026" spans="1:11" x14ac:dyDescent="0.3">
      <c r="A1026">
        <v>52</v>
      </c>
      <c r="B1026" s="1" t="s">
        <v>7</v>
      </c>
      <c r="C1026">
        <v>35.200000000000003</v>
      </c>
      <c r="D1026">
        <v>2</v>
      </c>
      <c r="E1026" t="s">
        <v>10</v>
      </c>
      <c r="F1026" t="s">
        <v>11</v>
      </c>
      <c r="G1026" s="2">
        <v>18033.9679</v>
      </c>
      <c r="H1026" t="str" cm="1">
        <f t="array" ref="H1026">_xlfn.IFS(A1026&lt;=30, "Youth", A1026&lt;=50, "Adult", A1026&gt;50, "Older")</f>
        <v>Older</v>
      </c>
      <c r="I1026" t="str" cm="1">
        <f t="array" ref="I1026">_xlfn.IFS(A1026&lt;=25,"18-25",A1026&lt;=35,"26-35",A1026&lt;=45,"36-45",A1026&lt;=60,"46-60",A1026&gt;60,"60+")</f>
        <v>46-60</v>
      </c>
      <c r="J1026" t="str" cm="1">
        <f t="array" ref="J1026">_xlfn.IFS(C1026&lt;18.5,"Underweight",C1026&lt;25,"Normal",C1026&lt;30,"Overweight",C1026&gt;=30,"Obese")</f>
        <v>Obese</v>
      </c>
      <c r="K1026" t="str" cm="1">
        <f t="array" ref="K1026">_xlfn.IFS(G1026&lt;10000, "Low", G1026&lt;=25000, "Medium", G1026&gt;25000, "High")</f>
        <v>Medium</v>
      </c>
    </row>
    <row r="1027" spans="1:11" x14ac:dyDescent="0.3">
      <c r="A1027">
        <v>52</v>
      </c>
      <c r="B1027" s="1" t="s">
        <v>8</v>
      </c>
      <c r="C1027">
        <v>35.200000000000003</v>
      </c>
      <c r="D1027">
        <v>2</v>
      </c>
      <c r="E1027" t="s">
        <v>9</v>
      </c>
      <c r="F1027" t="s">
        <v>13</v>
      </c>
      <c r="G1027" s="2">
        <v>18157.876</v>
      </c>
      <c r="H1027" t="str" cm="1">
        <f t="array" ref="H1027">_xlfn.IFS(A1027&lt;=30, "Youth", A1027&lt;=50, "Adult", A1027&gt;50, "Older")</f>
        <v>Older</v>
      </c>
      <c r="I1027" t="str" cm="1">
        <f t="array" ref="I1027">_xlfn.IFS(A1027&lt;=25,"18-25",A1027&lt;=35,"26-35",A1027&lt;=45,"36-45",A1027&lt;=60,"46-60",A1027&gt;60,"60+")</f>
        <v>46-60</v>
      </c>
      <c r="J1027" t="str" cm="1">
        <f t="array" ref="J1027">_xlfn.IFS(C1027&lt;18.5,"Underweight",C1027&lt;25,"Normal",C1027&lt;30,"Overweight",C1027&gt;=30,"Obese")</f>
        <v>Obese</v>
      </c>
      <c r="K1027" t="str" cm="1">
        <f t="array" ref="K1027">_xlfn.IFS(G1027&lt;10000, "Low", G1027&lt;=25000, "Medium", G1027&gt;25000, "High")</f>
        <v>Medium</v>
      </c>
    </row>
    <row r="1028" spans="1:11" x14ac:dyDescent="0.3">
      <c r="A1028">
        <v>52</v>
      </c>
      <c r="B1028" s="1" t="s">
        <v>8</v>
      </c>
      <c r="C1028">
        <v>35.200000000000003</v>
      </c>
      <c r="D1028">
        <v>2</v>
      </c>
      <c r="E1028" t="s">
        <v>10</v>
      </c>
      <c r="F1028" t="s">
        <v>13</v>
      </c>
      <c r="G1028" s="2">
        <v>18218.161390000001</v>
      </c>
      <c r="H1028" t="str" cm="1">
        <f t="array" ref="H1028">_xlfn.IFS(A1028&lt;=30, "Youth", A1028&lt;=50, "Adult", A1028&gt;50, "Older")</f>
        <v>Older</v>
      </c>
      <c r="I1028" t="str" cm="1">
        <f t="array" ref="I1028">_xlfn.IFS(A1028&lt;=25,"18-25",A1028&lt;=35,"26-35",A1028&lt;=45,"36-45",A1028&lt;=60,"46-60",A1028&gt;60,"60+")</f>
        <v>46-60</v>
      </c>
      <c r="J1028" t="str" cm="1">
        <f t="array" ref="J1028">_xlfn.IFS(C1028&lt;18.5,"Underweight",C1028&lt;25,"Normal",C1028&lt;30,"Overweight",C1028&gt;=30,"Obese")</f>
        <v>Obese</v>
      </c>
      <c r="K1028" t="str" cm="1">
        <f t="array" ref="K1028">_xlfn.IFS(G1028&lt;10000, "Low", G1028&lt;=25000, "Medium", G1028&gt;25000, "High")</f>
        <v>Medium</v>
      </c>
    </row>
    <row r="1029" spans="1:11" x14ac:dyDescent="0.3">
      <c r="A1029">
        <v>52</v>
      </c>
      <c r="B1029" s="1" t="s">
        <v>8</v>
      </c>
      <c r="C1029">
        <v>35.200000000000003</v>
      </c>
      <c r="D1029">
        <v>2</v>
      </c>
      <c r="E1029" t="s">
        <v>10</v>
      </c>
      <c r="F1029" t="s">
        <v>11</v>
      </c>
      <c r="G1029" s="2">
        <v>18223.4512</v>
      </c>
      <c r="H1029" t="str" cm="1">
        <f t="array" ref="H1029">_xlfn.IFS(A1029&lt;=30, "Youth", A1029&lt;=50, "Adult", A1029&gt;50, "Older")</f>
        <v>Older</v>
      </c>
      <c r="I1029" t="str" cm="1">
        <f t="array" ref="I1029">_xlfn.IFS(A1029&lt;=25,"18-25",A1029&lt;=35,"26-35",A1029&lt;=45,"36-45",A1029&lt;=60,"46-60",A1029&gt;60,"60+")</f>
        <v>46-60</v>
      </c>
      <c r="J1029" t="str" cm="1">
        <f t="array" ref="J1029">_xlfn.IFS(C1029&lt;18.5,"Underweight",C1029&lt;25,"Normal",C1029&lt;30,"Overweight",C1029&gt;=30,"Obese")</f>
        <v>Obese</v>
      </c>
      <c r="K1029" t="str" cm="1">
        <f t="array" ref="K1029">_xlfn.IFS(G1029&lt;10000, "Low", G1029&lt;=25000, "Medium", G1029&gt;25000, "High")</f>
        <v>Medium</v>
      </c>
    </row>
    <row r="1030" spans="1:11" x14ac:dyDescent="0.3">
      <c r="A1030">
        <v>52</v>
      </c>
      <c r="B1030" s="1" t="s">
        <v>7</v>
      </c>
      <c r="C1030">
        <v>35.200000000000003</v>
      </c>
      <c r="D1030">
        <v>2</v>
      </c>
      <c r="E1030" t="s">
        <v>10</v>
      </c>
      <c r="F1030" t="s">
        <v>14</v>
      </c>
      <c r="G1030" s="2">
        <v>18246.495500000001</v>
      </c>
      <c r="H1030" t="str" cm="1">
        <f t="array" ref="H1030">_xlfn.IFS(A1030&lt;=30, "Youth", A1030&lt;=50, "Adult", A1030&gt;50, "Older")</f>
        <v>Older</v>
      </c>
      <c r="I1030" t="str" cm="1">
        <f t="array" ref="I1030">_xlfn.IFS(A1030&lt;=25,"18-25",A1030&lt;=35,"26-35",A1030&lt;=45,"36-45",A1030&lt;=60,"46-60",A1030&gt;60,"60+")</f>
        <v>46-60</v>
      </c>
      <c r="J1030" t="str" cm="1">
        <f t="array" ref="J1030">_xlfn.IFS(C1030&lt;18.5,"Underweight",C1030&lt;25,"Normal",C1030&lt;30,"Overweight",C1030&gt;=30,"Obese")</f>
        <v>Obese</v>
      </c>
      <c r="K1030" t="str" cm="1">
        <f t="array" ref="K1030">_xlfn.IFS(G1030&lt;10000, "Low", G1030&lt;=25000, "Medium", G1030&gt;25000, "High")</f>
        <v>Medium</v>
      </c>
    </row>
    <row r="1031" spans="1:11" x14ac:dyDescent="0.3">
      <c r="A1031">
        <v>52</v>
      </c>
      <c r="B1031" s="1" t="s">
        <v>7</v>
      </c>
      <c r="C1031">
        <v>35.200000000000003</v>
      </c>
      <c r="D1031">
        <v>2</v>
      </c>
      <c r="E1031" t="s">
        <v>9</v>
      </c>
      <c r="F1031" t="s">
        <v>13</v>
      </c>
      <c r="G1031" s="2">
        <v>18259.216</v>
      </c>
      <c r="H1031" t="str" cm="1">
        <f t="array" ref="H1031">_xlfn.IFS(A1031&lt;=30, "Youth", A1031&lt;=50, "Adult", A1031&gt;50, "Older")</f>
        <v>Older</v>
      </c>
      <c r="I1031" t="str" cm="1">
        <f t="array" ref="I1031">_xlfn.IFS(A1031&lt;=25,"18-25",A1031&lt;=35,"26-35",A1031&lt;=45,"36-45",A1031&lt;=60,"46-60",A1031&gt;60,"60+")</f>
        <v>46-60</v>
      </c>
      <c r="J1031" t="str" cm="1">
        <f t="array" ref="J1031">_xlfn.IFS(C1031&lt;18.5,"Underweight",C1031&lt;25,"Normal",C1031&lt;30,"Overweight",C1031&gt;=30,"Obese")</f>
        <v>Obese</v>
      </c>
      <c r="K1031" t="str" cm="1">
        <f t="array" ref="K1031">_xlfn.IFS(G1031&lt;10000, "Low", G1031&lt;=25000, "Medium", G1031&gt;25000, "High")</f>
        <v>Medium</v>
      </c>
    </row>
    <row r="1032" spans="1:11" x14ac:dyDescent="0.3">
      <c r="A1032">
        <v>52</v>
      </c>
      <c r="B1032" s="1" t="s">
        <v>7</v>
      </c>
      <c r="C1032">
        <v>35.200000000000003</v>
      </c>
      <c r="D1032">
        <v>2</v>
      </c>
      <c r="E1032" t="s">
        <v>9</v>
      </c>
      <c r="F1032" t="s">
        <v>12</v>
      </c>
      <c r="G1032" s="2">
        <v>18310.741999999998</v>
      </c>
      <c r="H1032" t="str" cm="1">
        <f t="array" ref="H1032">_xlfn.IFS(A1032&lt;=30, "Youth", A1032&lt;=50, "Adult", A1032&gt;50, "Older")</f>
        <v>Older</v>
      </c>
      <c r="I1032" t="str" cm="1">
        <f t="array" ref="I1032">_xlfn.IFS(A1032&lt;=25,"18-25",A1032&lt;=35,"26-35",A1032&lt;=45,"36-45",A1032&lt;=60,"46-60",A1032&gt;60,"60+")</f>
        <v>46-60</v>
      </c>
      <c r="J1032" t="str" cm="1">
        <f t="array" ref="J1032">_xlfn.IFS(C1032&lt;18.5,"Underweight",C1032&lt;25,"Normal",C1032&lt;30,"Overweight",C1032&gt;=30,"Obese")</f>
        <v>Obese</v>
      </c>
      <c r="K1032" t="str" cm="1">
        <f t="array" ref="K1032">_xlfn.IFS(G1032&lt;10000, "Low", G1032&lt;=25000, "Medium", G1032&gt;25000, "High")</f>
        <v>Medium</v>
      </c>
    </row>
    <row r="1033" spans="1:11" x14ac:dyDescent="0.3">
      <c r="A1033">
        <v>52</v>
      </c>
      <c r="B1033" s="1" t="s">
        <v>7</v>
      </c>
      <c r="C1033">
        <v>35.244999999999997</v>
      </c>
      <c r="D1033">
        <v>2</v>
      </c>
      <c r="E1033" t="s">
        <v>10</v>
      </c>
      <c r="F1033" t="s">
        <v>14</v>
      </c>
      <c r="G1033" s="2">
        <v>18328.238099999999</v>
      </c>
      <c r="H1033" t="str" cm="1">
        <f t="array" ref="H1033">_xlfn.IFS(A1033&lt;=30, "Youth", A1033&lt;=50, "Adult", A1033&gt;50, "Older")</f>
        <v>Older</v>
      </c>
      <c r="I1033" t="str" cm="1">
        <f t="array" ref="I1033">_xlfn.IFS(A1033&lt;=25,"18-25",A1033&lt;=35,"26-35",A1033&lt;=45,"36-45",A1033&lt;=60,"46-60",A1033&gt;60,"60+")</f>
        <v>46-60</v>
      </c>
      <c r="J1033" t="str" cm="1">
        <f t="array" ref="J1033">_xlfn.IFS(C1033&lt;18.5,"Underweight",C1033&lt;25,"Normal",C1033&lt;30,"Overweight",C1033&gt;=30,"Obese")</f>
        <v>Obese</v>
      </c>
      <c r="K1033" t="str" cm="1">
        <f t="array" ref="K1033">_xlfn.IFS(G1033&lt;10000, "Low", G1033&lt;=25000, "Medium", G1033&gt;25000, "High")</f>
        <v>Medium</v>
      </c>
    </row>
    <row r="1034" spans="1:11" x14ac:dyDescent="0.3">
      <c r="A1034">
        <v>52</v>
      </c>
      <c r="B1034" s="1" t="s">
        <v>8</v>
      </c>
      <c r="C1034">
        <v>35.244999999999997</v>
      </c>
      <c r="D1034">
        <v>2</v>
      </c>
      <c r="E1034" t="s">
        <v>9</v>
      </c>
      <c r="F1034" t="s">
        <v>14</v>
      </c>
      <c r="G1034" s="2">
        <v>18608.261999999999</v>
      </c>
      <c r="H1034" t="str" cm="1">
        <f t="array" ref="H1034">_xlfn.IFS(A1034&lt;=30, "Youth", A1034&lt;=50, "Adult", A1034&gt;50, "Older")</f>
        <v>Older</v>
      </c>
      <c r="I1034" t="str" cm="1">
        <f t="array" ref="I1034">_xlfn.IFS(A1034&lt;=25,"18-25",A1034&lt;=35,"26-35",A1034&lt;=45,"36-45",A1034&lt;=60,"46-60",A1034&gt;60,"60+")</f>
        <v>46-60</v>
      </c>
      <c r="J1034" t="str" cm="1">
        <f t="array" ref="J1034">_xlfn.IFS(C1034&lt;18.5,"Underweight",C1034&lt;25,"Normal",C1034&lt;30,"Overweight",C1034&gt;=30,"Obese")</f>
        <v>Obese</v>
      </c>
      <c r="K1034" t="str" cm="1">
        <f t="array" ref="K1034">_xlfn.IFS(G1034&lt;10000, "Low", G1034&lt;=25000, "Medium", G1034&gt;25000, "High")</f>
        <v>Medium</v>
      </c>
    </row>
    <row r="1035" spans="1:11" x14ac:dyDescent="0.3">
      <c r="A1035">
        <v>52</v>
      </c>
      <c r="B1035" s="1" t="s">
        <v>8</v>
      </c>
      <c r="C1035">
        <v>35.299999999999997</v>
      </c>
      <c r="D1035">
        <v>2</v>
      </c>
      <c r="E1035" t="s">
        <v>10</v>
      </c>
      <c r="F1035" t="s">
        <v>13</v>
      </c>
      <c r="G1035" s="2">
        <v>18648.421699999999</v>
      </c>
      <c r="H1035" t="str" cm="1">
        <f t="array" ref="H1035">_xlfn.IFS(A1035&lt;=30, "Youth", A1035&lt;=50, "Adult", A1035&gt;50, "Older")</f>
        <v>Older</v>
      </c>
      <c r="I1035" t="str" cm="1">
        <f t="array" ref="I1035">_xlfn.IFS(A1035&lt;=25,"18-25",A1035&lt;=35,"26-35",A1035&lt;=45,"36-45",A1035&lt;=60,"46-60",A1035&gt;60,"60+")</f>
        <v>46-60</v>
      </c>
      <c r="J1035" t="str" cm="1">
        <f t="array" ref="J1035">_xlfn.IFS(C1035&lt;18.5,"Underweight",C1035&lt;25,"Normal",C1035&lt;30,"Overweight",C1035&gt;=30,"Obese")</f>
        <v>Obese</v>
      </c>
      <c r="K1035" t="str" cm="1">
        <f t="array" ref="K1035">_xlfn.IFS(G1035&lt;10000, "Low", G1035&lt;=25000, "Medium", G1035&gt;25000, "High")</f>
        <v>Medium</v>
      </c>
    </row>
    <row r="1036" spans="1:11" x14ac:dyDescent="0.3">
      <c r="A1036">
        <v>52</v>
      </c>
      <c r="B1036" s="1" t="s">
        <v>7</v>
      </c>
      <c r="C1036">
        <v>35.299999999999997</v>
      </c>
      <c r="D1036">
        <v>2</v>
      </c>
      <c r="E1036" t="s">
        <v>10</v>
      </c>
      <c r="F1036" t="s">
        <v>11</v>
      </c>
      <c r="G1036" s="2">
        <v>18765.87545</v>
      </c>
      <c r="H1036" t="str" cm="1">
        <f t="array" ref="H1036">_xlfn.IFS(A1036&lt;=30, "Youth", A1036&lt;=50, "Adult", A1036&gt;50, "Older")</f>
        <v>Older</v>
      </c>
      <c r="I1036" t="str" cm="1">
        <f t="array" ref="I1036">_xlfn.IFS(A1036&lt;=25,"18-25",A1036&lt;=35,"26-35",A1036&lt;=45,"36-45",A1036&lt;=60,"46-60",A1036&gt;60,"60+")</f>
        <v>46-60</v>
      </c>
      <c r="J1036" t="str" cm="1">
        <f t="array" ref="J1036">_xlfn.IFS(C1036&lt;18.5,"Underweight",C1036&lt;25,"Normal",C1036&lt;30,"Overweight",C1036&gt;=30,"Obese")</f>
        <v>Obese</v>
      </c>
      <c r="K1036" t="str" cm="1">
        <f t="array" ref="K1036">_xlfn.IFS(G1036&lt;10000, "Low", G1036&lt;=25000, "Medium", G1036&gt;25000, "High")</f>
        <v>Medium</v>
      </c>
    </row>
    <row r="1037" spans="1:11" x14ac:dyDescent="0.3">
      <c r="A1037">
        <v>52</v>
      </c>
      <c r="B1037" s="1" t="s">
        <v>8</v>
      </c>
      <c r="C1037">
        <v>35.299999999999997</v>
      </c>
      <c r="D1037">
        <v>2</v>
      </c>
      <c r="E1037" t="s">
        <v>9</v>
      </c>
      <c r="F1037" t="s">
        <v>12</v>
      </c>
      <c r="G1037" s="2">
        <v>18767.737700000001</v>
      </c>
      <c r="H1037" t="str" cm="1">
        <f t="array" ref="H1037">_xlfn.IFS(A1037&lt;=30, "Youth", A1037&lt;=50, "Adult", A1037&gt;50, "Older")</f>
        <v>Older</v>
      </c>
      <c r="I1037" t="str" cm="1">
        <f t="array" ref="I1037">_xlfn.IFS(A1037&lt;=25,"18-25",A1037&lt;=35,"26-35",A1037&lt;=45,"36-45",A1037&lt;=60,"46-60",A1037&gt;60,"60+")</f>
        <v>46-60</v>
      </c>
      <c r="J1037" t="str" cm="1">
        <f t="array" ref="J1037">_xlfn.IFS(C1037&lt;18.5,"Underweight",C1037&lt;25,"Normal",C1037&lt;30,"Overweight",C1037&gt;=30,"Obese")</f>
        <v>Obese</v>
      </c>
      <c r="K1037" t="str" cm="1">
        <f t="array" ref="K1037">_xlfn.IFS(G1037&lt;10000, "Low", G1037&lt;=25000, "Medium", G1037&gt;25000, "High")</f>
        <v>Medium</v>
      </c>
    </row>
    <row r="1038" spans="1:11" x14ac:dyDescent="0.3">
      <c r="A1038">
        <v>52</v>
      </c>
      <c r="B1038" s="1" t="s">
        <v>7</v>
      </c>
      <c r="C1038">
        <v>35.299999999999997</v>
      </c>
      <c r="D1038">
        <v>2</v>
      </c>
      <c r="E1038" t="s">
        <v>9</v>
      </c>
      <c r="F1038" t="s">
        <v>13</v>
      </c>
      <c r="G1038" s="2">
        <v>18804.752400000001</v>
      </c>
      <c r="H1038" t="str" cm="1">
        <f t="array" ref="H1038">_xlfn.IFS(A1038&lt;=30, "Youth", A1038&lt;=50, "Adult", A1038&gt;50, "Older")</f>
        <v>Older</v>
      </c>
      <c r="I1038" t="str" cm="1">
        <f t="array" ref="I1038">_xlfn.IFS(A1038&lt;=25,"18-25",A1038&lt;=35,"26-35",A1038&lt;=45,"36-45",A1038&lt;=60,"46-60",A1038&gt;60,"60+")</f>
        <v>46-60</v>
      </c>
      <c r="J1038" t="str" cm="1">
        <f t="array" ref="J1038">_xlfn.IFS(C1038&lt;18.5,"Underweight",C1038&lt;25,"Normal",C1038&lt;30,"Overweight",C1038&gt;=30,"Obese")</f>
        <v>Obese</v>
      </c>
      <c r="K1038" t="str" cm="1">
        <f t="array" ref="K1038">_xlfn.IFS(G1038&lt;10000, "Low", G1038&lt;=25000, "Medium", G1038&gt;25000, "High")</f>
        <v>Medium</v>
      </c>
    </row>
    <row r="1039" spans="1:11" x14ac:dyDescent="0.3">
      <c r="A1039">
        <v>52</v>
      </c>
      <c r="B1039" s="1" t="s">
        <v>8</v>
      </c>
      <c r="C1039">
        <v>35.31</v>
      </c>
      <c r="D1039">
        <v>2</v>
      </c>
      <c r="E1039" t="s">
        <v>10</v>
      </c>
      <c r="F1039" t="s">
        <v>14</v>
      </c>
      <c r="G1039" s="2">
        <v>18806.145469999999</v>
      </c>
      <c r="H1039" t="str" cm="1">
        <f t="array" ref="H1039">_xlfn.IFS(A1039&lt;=30, "Youth", A1039&lt;=50, "Adult", A1039&gt;50, "Older")</f>
        <v>Older</v>
      </c>
      <c r="I1039" t="str" cm="1">
        <f t="array" ref="I1039">_xlfn.IFS(A1039&lt;=25,"18-25",A1039&lt;=35,"26-35",A1039&lt;=45,"36-45",A1039&lt;=60,"46-60",A1039&gt;60,"60+")</f>
        <v>46-60</v>
      </c>
      <c r="J1039" t="str" cm="1">
        <f t="array" ref="J1039">_xlfn.IFS(C1039&lt;18.5,"Underweight",C1039&lt;25,"Normal",C1039&lt;30,"Overweight",C1039&gt;=30,"Obese")</f>
        <v>Obese</v>
      </c>
      <c r="K1039" t="str" cm="1">
        <f t="array" ref="K1039">_xlfn.IFS(G1039&lt;10000, "Low", G1039&lt;=25000, "Medium", G1039&gt;25000, "High")</f>
        <v>Medium</v>
      </c>
    </row>
    <row r="1040" spans="1:11" x14ac:dyDescent="0.3">
      <c r="A1040">
        <v>52</v>
      </c>
      <c r="B1040" s="1" t="s">
        <v>8</v>
      </c>
      <c r="C1040">
        <v>35.31</v>
      </c>
      <c r="D1040">
        <v>2</v>
      </c>
      <c r="E1040" t="s">
        <v>10</v>
      </c>
      <c r="F1040" t="s">
        <v>13</v>
      </c>
      <c r="G1040" s="2">
        <v>18838.703659999999</v>
      </c>
      <c r="H1040" t="str" cm="1">
        <f t="array" ref="H1040">_xlfn.IFS(A1040&lt;=30, "Youth", A1040&lt;=50, "Adult", A1040&gt;50, "Older")</f>
        <v>Older</v>
      </c>
      <c r="I1040" t="str" cm="1">
        <f t="array" ref="I1040">_xlfn.IFS(A1040&lt;=25,"18-25",A1040&lt;=35,"26-35",A1040&lt;=45,"36-45",A1040&lt;=60,"46-60",A1040&gt;60,"60+")</f>
        <v>46-60</v>
      </c>
      <c r="J1040" t="str" cm="1">
        <f t="array" ref="J1040">_xlfn.IFS(C1040&lt;18.5,"Underweight",C1040&lt;25,"Normal",C1040&lt;30,"Overweight",C1040&gt;=30,"Obese")</f>
        <v>Obese</v>
      </c>
      <c r="K1040" t="str" cm="1">
        <f t="array" ref="K1040">_xlfn.IFS(G1040&lt;10000, "Low", G1040&lt;=25000, "Medium", G1040&gt;25000, "High")</f>
        <v>Medium</v>
      </c>
    </row>
    <row r="1041" spans="1:11" x14ac:dyDescent="0.3">
      <c r="A1041">
        <v>53</v>
      </c>
      <c r="B1041" s="1" t="s">
        <v>7</v>
      </c>
      <c r="C1041">
        <v>35.4</v>
      </c>
      <c r="D1041">
        <v>2</v>
      </c>
      <c r="E1041" t="s">
        <v>9</v>
      </c>
      <c r="F1041" t="s">
        <v>13</v>
      </c>
      <c r="G1041" s="2">
        <v>18903.491409999999</v>
      </c>
      <c r="H1041" t="str" cm="1">
        <f t="array" ref="H1041">_xlfn.IFS(A1041&lt;=30, "Youth", A1041&lt;=50, "Adult", A1041&gt;50, "Older")</f>
        <v>Older</v>
      </c>
      <c r="I1041" t="str" cm="1">
        <f t="array" ref="I1041">_xlfn.IFS(A1041&lt;=25,"18-25",A1041&lt;=35,"26-35",A1041&lt;=45,"36-45",A1041&lt;=60,"46-60",A1041&gt;60,"60+")</f>
        <v>46-60</v>
      </c>
      <c r="J1041" t="str" cm="1">
        <f t="array" ref="J1041">_xlfn.IFS(C1041&lt;18.5,"Underweight",C1041&lt;25,"Normal",C1041&lt;30,"Overweight",C1041&gt;=30,"Obese")</f>
        <v>Obese</v>
      </c>
      <c r="K1041" t="str" cm="1">
        <f t="array" ref="K1041">_xlfn.IFS(G1041&lt;10000, "Low", G1041&lt;=25000, "Medium", G1041&gt;25000, "High")</f>
        <v>Medium</v>
      </c>
    </row>
    <row r="1042" spans="1:11" x14ac:dyDescent="0.3">
      <c r="A1042">
        <v>53</v>
      </c>
      <c r="B1042" s="1" t="s">
        <v>8</v>
      </c>
      <c r="C1042">
        <v>35.42</v>
      </c>
      <c r="D1042">
        <v>2</v>
      </c>
      <c r="E1042" t="s">
        <v>10</v>
      </c>
      <c r="F1042" t="s">
        <v>14</v>
      </c>
      <c r="G1042" s="2">
        <v>18955.220170000001</v>
      </c>
      <c r="H1042" t="str" cm="1">
        <f t="array" ref="H1042">_xlfn.IFS(A1042&lt;=30, "Youth", A1042&lt;=50, "Adult", A1042&gt;50, "Older")</f>
        <v>Older</v>
      </c>
      <c r="I1042" t="str" cm="1">
        <f t="array" ref="I1042">_xlfn.IFS(A1042&lt;=25,"18-25",A1042&lt;=35,"26-35",A1042&lt;=45,"36-45",A1042&lt;=60,"46-60",A1042&gt;60,"60+")</f>
        <v>46-60</v>
      </c>
      <c r="J1042" t="str" cm="1">
        <f t="array" ref="J1042">_xlfn.IFS(C1042&lt;18.5,"Underweight",C1042&lt;25,"Normal",C1042&lt;30,"Overweight",C1042&gt;=30,"Obese")</f>
        <v>Obese</v>
      </c>
      <c r="K1042" t="str" cm="1">
        <f t="array" ref="K1042">_xlfn.IFS(G1042&lt;10000, "Low", G1042&lt;=25000, "Medium", G1042&gt;25000, "High")</f>
        <v>Medium</v>
      </c>
    </row>
    <row r="1043" spans="1:11" x14ac:dyDescent="0.3">
      <c r="A1043">
        <v>53</v>
      </c>
      <c r="B1043" s="1" t="s">
        <v>8</v>
      </c>
      <c r="C1043">
        <v>35.435000000000002</v>
      </c>
      <c r="D1043">
        <v>2</v>
      </c>
      <c r="E1043" t="s">
        <v>9</v>
      </c>
      <c r="F1043" t="s">
        <v>14</v>
      </c>
      <c r="G1043" s="2">
        <v>18963.171920000001</v>
      </c>
      <c r="H1043" t="str" cm="1">
        <f t="array" ref="H1043">_xlfn.IFS(A1043&lt;=30, "Youth", A1043&lt;=50, "Adult", A1043&gt;50, "Older")</f>
        <v>Older</v>
      </c>
      <c r="I1043" t="str" cm="1">
        <f t="array" ref="I1043">_xlfn.IFS(A1043&lt;=25,"18-25",A1043&lt;=35,"26-35",A1043&lt;=45,"36-45",A1043&lt;=60,"46-60",A1043&gt;60,"60+")</f>
        <v>46-60</v>
      </c>
      <c r="J1043" t="str" cm="1">
        <f t="array" ref="J1043">_xlfn.IFS(C1043&lt;18.5,"Underweight",C1043&lt;25,"Normal",C1043&lt;30,"Overweight",C1043&gt;=30,"Obese")</f>
        <v>Obese</v>
      </c>
      <c r="K1043" t="str" cm="1">
        <f t="array" ref="K1043">_xlfn.IFS(G1043&lt;10000, "Low", G1043&lt;=25000, "Medium", G1043&gt;25000, "High")</f>
        <v>Medium</v>
      </c>
    </row>
    <row r="1044" spans="1:11" x14ac:dyDescent="0.3">
      <c r="A1044">
        <v>53</v>
      </c>
      <c r="B1044" s="1" t="s">
        <v>7</v>
      </c>
      <c r="C1044">
        <v>35.5</v>
      </c>
      <c r="D1044">
        <v>2</v>
      </c>
      <c r="E1044" t="s">
        <v>10</v>
      </c>
      <c r="F1044" t="s">
        <v>11</v>
      </c>
      <c r="G1044" s="2">
        <v>18972.494999999999</v>
      </c>
      <c r="H1044" t="str" cm="1">
        <f t="array" ref="H1044">_xlfn.IFS(A1044&lt;=30, "Youth", A1044&lt;=50, "Adult", A1044&gt;50, "Older")</f>
        <v>Older</v>
      </c>
      <c r="I1044" t="str" cm="1">
        <f t="array" ref="I1044">_xlfn.IFS(A1044&lt;=25,"18-25",A1044&lt;=35,"26-35",A1044&lt;=45,"36-45",A1044&lt;=60,"46-60",A1044&gt;60,"60+")</f>
        <v>46-60</v>
      </c>
      <c r="J1044" t="str" cm="1">
        <f t="array" ref="J1044">_xlfn.IFS(C1044&lt;18.5,"Underweight",C1044&lt;25,"Normal",C1044&lt;30,"Overweight",C1044&gt;=30,"Obese")</f>
        <v>Obese</v>
      </c>
      <c r="K1044" t="str" cm="1">
        <f t="array" ref="K1044">_xlfn.IFS(G1044&lt;10000, "Low", G1044&lt;=25000, "Medium", G1044&gt;25000, "High")</f>
        <v>Medium</v>
      </c>
    </row>
    <row r="1045" spans="1:11" x14ac:dyDescent="0.3">
      <c r="A1045">
        <v>53</v>
      </c>
      <c r="B1045" s="1" t="s">
        <v>8</v>
      </c>
      <c r="C1045">
        <v>35.53</v>
      </c>
      <c r="D1045">
        <v>2</v>
      </c>
      <c r="E1045" t="s">
        <v>10</v>
      </c>
      <c r="F1045" t="s">
        <v>14</v>
      </c>
      <c r="G1045" s="2">
        <v>19023.259999999998</v>
      </c>
      <c r="H1045" t="str" cm="1">
        <f t="array" ref="H1045">_xlfn.IFS(A1045&lt;=30, "Youth", A1045&lt;=50, "Adult", A1045&gt;50, "Older")</f>
        <v>Older</v>
      </c>
      <c r="I1045" t="str" cm="1">
        <f t="array" ref="I1045">_xlfn.IFS(A1045&lt;=25,"18-25",A1045&lt;=35,"26-35",A1045&lt;=45,"36-45",A1045&lt;=60,"46-60",A1045&gt;60,"60+")</f>
        <v>46-60</v>
      </c>
      <c r="J1045" t="str" cm="1">
        <f t="array" ref="J1045">_xlfn.IFS(C1045&lt;18.5,"Underweight",C1045&lt;25,"Normal",C1045&lt;30,"Overweight",C1045&gt;=30,"Obese")</f>
        <v>Obese</v>
      </c>
      <c r="K1045" t="str" cm="1">
        <f t="array" ref="K1045">_xlfn.IFS(G1045&lt;10000, "Low", G1045&lt;=25000, "Medium", G1045&gt;25000, "High")</f>
        <v>Medium</v>
      </c>
    </row>
    <row r="1046" spans="1:11" x14ac:dyDescent="0.3">
      <c r="A1046">
        <v>53</v>
      </c>
      <c r="B1046" s="1" t="s">
        <v>7</v>
      </c>
      <c r="C1046">
        <v>35.53</v>
      </c>
      <c r="D1046">
        <v>2</v>
      </c>
      <c r="E1046" t="s">
        <v>9</v>
      </c>
      <c r="F1046" t="s">
        <v>13</v>
      </c>
      <c r="G1046" s="2">
        <v>19040.876</v>
      </c>
      <c r="H1046" t="str" cm="1">
        <f t="array" ref="H1046">_xlfn.IFS(A1046&lt;=30, "Youth", A1046&lt;=50, "Adult", A1046&gt;50, "Older")</f>
        <v>Older</v>
      </c>
      <c r="I1046" t="str" cm="1">
        <f t="array" ref="I1046">_xlfn.IFS(A1046&lt;=25,"18-25",A1046&lt;=35,"26-35",A1046&lt;=45,"36-45",A1046&lt;=60,"46-60",A1046&gt;60,"60+")</f>
        <v>46-60</v>
      </c>
      <c r="J1046" t="str" cm="1">
        <f t="array" ref="J1046">_xlfn.IFS(C1046&lt;18.5,"Underweight",C1046&lt;25,"Normal",C1046&lt;30,"Overweight",C1046&gt;=30,"Obese")</f>
        <v>Obese</v>
      </c>
      <c r="K1046" t="str" cm="1">
        <f t="array" ref="K1046">_xlfn.IFS(G1046&lt;10000, "Low", G1046&lt;=25000, "Medium", G1046&gt;25000, "High")</f>
        <v>Medium</v>
      </c>
    </row>
    <row r="1047" spans="1:11" x14ac:dyDescent="0.3">
      <c r="A1047">
        <v>53</v>
      </c>
      <c r="B1047" s="1" t="s">
        <v>7</v>
      </c>
      <c r="C1047">
        <v>35.53</v>
      </c>
      <c r="D1047">
        <v>2</v>
      </c>
      <c r="E1047" t="s">
        <v>10</v>
      </c>
      <c r="F1047" t="s">
        <v>14</v>
      </c>
      <c r="G1047" s="2">
        <v>19107.779600000002</v>
      </c>
      <c r="H1047" t="str" cm="1">
        <f t="array" ref="H1047">_xlfn.IFS(A1047&lt;=30, "Youth", A1047&lt;=50, "Adult", A1047&gt;50, "Older")</f>
        <v>Older</v>
      </c>
      <c r="I1047" t="str" cm="1">
        <f t="array" ref="I1047">_xlfn.IFS(A1047&lt;=25,"18-25",A1047&lt;=35,"26-35",A1047&lt;=45,"36-45",A1047&lt;=60,"46-60",A1047&gt;60,"60+")</f>
        <v>46-60</v>
      </c>
      <c r="J1047" t="str" cm="1">
        <f t="array" ref="J1047">_xlfn.IFS(C1047&lt;18.5,"Underweight",C1047&lt;25,"Normal",C1047&lt;30,"Overweight",C1047&gt;=30,"Obese")</f>
        <v>Obese</v>
      </c>
      <c r="K1047" t="str" cm="1">
        <f t="array" ref="K1047">_xlfn.IFS(G1047&lt;10000, "Low", G1047&lt;=25000, "Medium", G1047&gt;25000, "High")</f>
        <v>Medium</v>
      </c>
    </row>
    <row r="1048" spans="1:11" x14ac:dyDescent="0.3">
      <c r="A1048">
        <v>53</v>
      </c>
      <c r="B1048" s="1" t="s">
        <v>8</v>
      </c>
      <c r="C1048">
        <v>35.53</v>
      </c>
      <c r="D1048">
        <v>2</v>
      </c>
      <c r="E1048" t="s">
        <v>9</v>
      </c>
      <c r="F1048" t="s">
        <v>12</v>
      </c>
      <c r="G1048" s="2">
        <v>19144.576519999999</v>
      </c>
      <c r="H1048" t="str" cm="1">
        <f t="array" ref="H1048">_xlfn.IFS(A1048&lt;=30, "Youth", A1048&lt;=50, "Adult", A1048&gt;50, "Older")</f>
        <v>Older</v>
      </c>
      <c r="I1048" t="str" cm="1">
        <f t="array" ref="I1048">_xlfn.IFS(A1048&lt;=25,"18-25",A1048&lt;=35,"26-35",A1048&lt;=45,"36-45",A1048&lt;=60,"46-60",A1048&gt;60,"60+")</f>
        <v>46-60</v>
      </c>
      <c r="J1048" t="str" cm="1">
        <f t="array" ref="J1048">_xlfn.IFS(C1048&lt;18.5,"Underweight",C1048&lt;25,"Normal",C1048&lt;30,"Overweight",C1048&gt;=30,"Obese")</f>
        <v>Obese</v>
      </c>
      <c r="K1048" t="str" cm="1">
        <f t="array" ref="K1048">_xlfn.IFS(G1048&lt;10000, "Low", G1048&lt;=25000, "Medium", G1048&gt;25000, "High")</f>
        <v>Medium</v>
      </c>
    </row>
    <row r="1049" spans="1:11" x14ac:dyDescent="0.3">
      <c r="A1049">
        <v>53</v>
      </c>
      <c r="B1049" s="1" t="s">
        <v>7</v>
      </c>
      <c r="C1049">
        <v>35.53</v>
      </c>
      <c r="D1049">
        <v>2</v>
      </c>
      <c r="E1049" t="s">
        <v>10</v>
      </c>
      <c r="F1049" t="s">
        <v>13</v>
      </c>
      <c r="G1049" s="2">
        <v>19199.944</v>
      </c>
      <c r="H1049" t="str" cm="1">
        <f t="array" ref="H1049">_xlfn.IFS(A1049&lt;=30, "Youth", A1049&lt;=50, "Adult", A1049&gt;50, "Older")</f>
        <v>Older</v>
      </c>
      <c r="I1049" t="str" cm="1">
        <f t="array" ref="I1049">_xlfn.IFS(A1049&lt;=25,"18-25",A1049&lt;=35,"26-35",A1049&lt;=45,"36-45",A1049&lt;=60,"46-60",A1049&gt;60,"60+")</f>
        <v>46-60</v>
      </c>
      <c r="J1049" t="str" cm="1">
        <f t="array" ref="J1049">_xlfn.IFS(C1049&lt;18.5,"Underweight",C1049&lt;25,"Normal",C1049&lt;30,"Overweight",C1049&gt;=30,"Obese")</f>
        <v>Obese</v>
      </c>
      <c r="K1049" t="str" cm="1">
        <f t="array" ref="K1049">_xlfn.IFS(G1049&lt;10000, "Low", G1049&lt;=25000, "Medium", G1049&gt;25000, "High")</f>
        <v>Medium</v>
      </c>
    </row>
    <row r="1050" spans="1:11" x14ac:dyDescent="0.3">
      <c r="A1050">
        <v>53</v>
      </c>
      <c r="B1050" s="1" t="s">
        <v>8</v>
      </c>
      <c r="C1050">
        <v>35.53</v>
      </c>
      <c r="D1050">
        <v>2</v>
      </c>
      <c r="E1050" t="s">
        <v>9</v>
      </c>
      <c r="F1050" t="s">
        <v>11</v>
      </c>
      <c r="G1050" s="2">
        <v>19214.705529999999</v>
      </c>
      <c r="H1050" t="str" cm="1">
        <f t="array" ref="H1050">_xlfn.IFS(A1050&lt;=30, "Youth", A1050&lt;=50, "Adult", A1050&gt;50, "Older")</f>
        <v>Older</v>
      </c>
      <c r="I1050" t="str" cm="1">
        <f t="array" ref="I1050">_xlfn.IFS(A1050&lt;=25,"18-25",A1050&lt;=35,"26-35",A1050&lt;=45,"36-45",A1050&lt;=60,"46-60",A1050&gt;60,"60+")</f>
        <v>46-60</v>
      </c>
      <c r="J1050" t="str" cm="1">
        <f t="array" ref="J1050">_xlfn.IFS(C1050&lt;18.5,"Underweight",C1050&lt;25,"Normal",C1050&lt;30,"Overweight",C1050&gt;=30,"Obese")</f>
        <v>Obese</v>
      </c>
      <c r="K1050" t="str" cm="1">
        <f t="array" ref="K1050">_xlfn.IFS(G1050&lt;10000, "Low", G1050&lt;=25000, "Medium", G1050&gt;25000, "High")</f>
        <v>Medium</v>
      </c>
    </row>
    <row r="1051" spans="1:11" x14ac:dyDescent="0.3">
      <c r="A1051">
        <v>53</v>
      </c>
      <c r="B1051" s="1" t="s">
        <v>7</v>
      </c>
      <c r="C1051">
        <v>35.6</v>
      </c>
      <c r="D1051">
        <v>2</v>
      </c>
      <c r="E1051" t="s">
        <v>10</v>
      </c>
      <c r="F1051" t="s">
        <v>13</v>
      </c>
      <c r="G1051" s="2">
        <v>19350.368900000001</v>
      </c>
      <c r="H1051" t="str" cm="1">
        <f t="array" ref="H1051">_xlfn.IFS(A1051&lt;=30, "Youth", A1051&lt;=50, "Adult", A1051&gt;50, "Older")</f>
        <v>Older</v>
      </c>
      <c r="I1051" t="str" cm="1">
        <f t="array" ref="I1051">_xlfn.IFS(A1051&lt;=25,"18-25",A1051&lt;=35,"26-35",A1051&lt;=45,"36-45",A1051&lt;=60,"46-60",A1051&gt;60,"60+")</f>
        <v>46-60</v>
      </c>
      <c r="J1051" t="str" cm="1">
        <f t="array" ref="J1051">_xlfn.IFS(C1051&lt;18.5,"Underweight",C1051&lt;25,"Normal",C1051&lt;30,"Overweight",C1051&gt;=30,"Obese")</f>
        <v>Obese</v>
      </c>
      <c r="K1051" t="str" cm="1">
        <f t="array" ref="K1051">_xlfn.IFS(G1051&lt;10000, "Low", G1051&lt;=25000, "Medium", G1051&gt;25000, "High")</f>
        <v>Medium</v>
      </c>
    </row>
    <row r="1052" spans="1:11" x14ac:dyDescent="0.3">
      <c r="A1052">
        <v>53</v>
      </c>
      <c r="B1052" s="1" t="s">
        <v>8</v>
      </c>
      <c r="C1052">
        <v>35.625</v>
      </c>
      <c r="D1052">
        <v>2</v>
      </c>
      <c r="E1052" t="s">
        <v>10</v>
      </c>
      <c r="F1052" t="s">
        <v>14</v>
      </c>
      <c r="G1052" s="2">
        <v>19361.998800000001</v>
      </c>
      <c r="H1052" t="str" cm="1">
        <f t="array" ref="H1052">_xlfn.IFS(A1052&lt;=30, "Youth", A1052&lt;=50, "Adult", A1052&gt;50, "Older")</f>
        <v>Older</v>
      </c>
      <c r="I1052" t="str" cm="1">
        <f t="array" ref="I1052">_xlfn.IFS(A1052&lt;=25,"18-25",A1052&lt;=35,"26-35",A1052&lt;=45,"36-45",A1052&lt;=60,"46-60",A1052&gt;60,"60+")</f>
        <v>46-60</v>
      </c>
      <c r="J1052" t="str" cm="1">
        <f t="array" ref="J1052">_xlfn.IFS(C1052&lt;18.5,"Underweight",C1052&lt;25,"Normal",C1052&lt;30,"Overweight",C1052&gt;=30,"Obese")</f>
        <v>Obese</v>
      </c>
      <c r="K1052" t="str" cm="1">
        <f t="array" ref="K1052">_xlfn.IFS(G1052&lt;10000, "Low", G1052&lt;=25000, "Medium", G1052&gt;25000, "High")</f>
        <v>Medium</v>
      </c>
    </row>
    <row r="1053" spans="1:11" x14ac:dyDescent="0.3">
      <c r="A1053">
        <v>53</v>
      </c>
      <c r="B1053" s="1" t="s">
        <v>8</v>
      </c>
      <c r="C1053">
        <v>35.625</v>
      </c>
      <c r="D1053">
        <v>2</v>
      </c>
      <c r="E1053" t="s">
        <v>10</v>
      </c>
      <c r="F1053" t="s">
        <v>14</v>
      </c>
      <c r="G1053" s="2">
        <v>19442.353500000001</v>
      </c>
      <c r="H1053" t="str" cm="1">
        <f t="array" ref="H1053">_xlfn.IFS(A1053&lt;=30, "Youth", A1053&lt;=50, "Adult", A1053&gt;50, "Older")</f>
        <v>Older</v>
      </c>
      <c r="I1053" t="str" cm="1">
        <f t="array" ref="I1053">_xlfn.IFS(A1053&lt;=25,"18-25",A1053&lt;=35,"26-35",A1053&lt;=45,"36-45",A1053&lt;=60,"46-60",A1053&gt;60,"60+")</f>
        <v>46-60</v>
      </c>
      <c r="J1053" t="str" cm="1">
        <f t="array" ref="J1053">_xlfn.IFS(C1053&lt;18.5,"Underweight",C1053&lt;25,"Normal",C1053&lt;30,"Overweight",C1053&gt;=30,"Obese")</f>
        <v>Obese</v>
      </c>
      <c r="K1053" t="str" cm="1">
        <f t="array" ref="K1053">_xlfn.IFS(G1053&lt;10000, "Low", G1053&lt;=25000, "Medium", G1053&gt;25000, "High")</f>
        <v>Medium</v>
      </c>
    </row>
    <row r="1054" spans="1:11" x14ac:dyDescent="0.3">
      <c r="A1054">
        <v>53</v>
      </c>
      <c r="B1054" s="1" t="s">
        <v>8</v>
      </c>
      <c r="C1054">
        <v>35.625</v>
      </c>
      <c r="D1054">
        <v>2</v>
      </c>
      <c r="E1054" t="s">
        <v>9</v>
      </c>
      <c r="F1054" t="s">
        <v>11</v>
      </c>
      <c r="G1054" s="2">
        <v>19444.265800000001</v>
      </c>
      <c r="H1054" t="str" cm="1">
        <f t="array" ref="H1054">_xlfn.IFS(A1054&lt;=30, "Youth", A1054&lt;=50, "Adult", A1054&gt;50, "Older")</f>
        <v>Older</v>
      </c>
      <c r="I1054" t="str" cm="1">
        <f t="array" ref="I1054">_xlfn.IFS(A1054&lt;=25,"18-25",A1054&lt;=35,"26-35",A1054&lt;=45,"36-45",A1054&lt;=60,"46-60",A1054&gt;60,"60+")</f>
        <v>46-60</v>
      </c>
      <c r="J1054" t="str" cm="1">
        <f t="array" ref="J1054">_xlfn.IFS(C1054&lt;18.5,"Underweight",C1054&lt;25,"Normal",C1054&lt;30,"Overweight",C1054&gt;=30,"Obese")</f>
        <v>Obese</v>
      </c>
      <c r="K1054" t="str" cm="1">
        <f t="array" ref="K1054">_xlfn.IFS(G1054&lt;10000, "Low", G1054&lt;=25000, "Medium", G1054&gt;25000, "High")</f>
        <v>Medium</v>
      </c>
    </row>
    <row r="1055" spans="1:11" x14ac:dyDescent="0.3">
      <c r="A1055">
        <v>53</v>
      </c>
      <c r="B1055" s="1" t="s">
        <v>7</v>
      </c>
      <c r="C1055">
        <v>35.625</v>
      </c>
      <c r="D1055">
        <v>2</v>
      </c>
      <c r="E1055" t="s">
        <v>10</v>
      </c>
      <c r="F1055" t="s">
        <v>13</v>
      </c>
      <c r="G1055" s="2">
        <v>19496.71917</v>
      </c>
      <c r="H1055" t="str" cm="1">
        <f t="array" ref="H1055">_xlfn.IFS(A1055&lt;=30, "Youth", A1055&lt;=50, "Adult", A1055&gt;50, "Older")</f>
        <v>Older</v>
      </c>
      <c r="I1055" t="str" cm="1">
        <f t="array" ref="I1055">_xlfn.IFS(A1055&lt;=25,"18-25",A1055&lt;=35,"26-35",A1055&lt;=45,"36-45",A1055&lt;=60,"46-60",A1055&gt;60,"60+")</f>
        <v>46-60</v>
      </c>
      <c r="J1055" t="str" cm="1">
        <f t="array" ref="J1055">_xlfn.IFS(C1055&lt;18.5,"Underweight",C1055&lt;25,"Normal",C1055&lt;30,"Overweight",C1055&gt;=30,"Obese")</f>
        <v>Obese</v>
      </c>
      <c r="K1055" t="str" cm="1">
        <f t="array" ref="K1055">_xlfn.IFS(G1055&lt;10000, "Low", G1055&lt;=25000, "Medium", G1055&gt;25000, "High")</f>
        <v>Medium</v>
      </c>
    </row>
    <row r="1056" spans="1:11" x14ac:dyDescent="0.3">
      <c r="A1056">
        <v>53</v>
      </c>
      <c r="B1056" s="1" t="s">
        <v>8</v>
      </c>
      <c r="C1056">
        <v>35.64</v>
      </c>
      <c r="D1056">
        <v>2</v>
      </c>
      <c r="E1056" t="s">
        <v>10</v>
      </c>
      <c r="F1056" t="s">
        <v>13</v>
      </c>
      <c r="G1056" s="2">
        <v>19515.5416</v>
      </c>
      <c r="H1056" t="str" cm="1">
        <f t="array" ref="H1056">_xlfn.IFS(A1056&lt;=30, "Youth", A1056&lt;=50, "Adult", A1056&gt;50, "Older")</f>
        <v>Older</v>
      </c>
      <c r="I1056" t="str" cm="1">
        <f t="array" ref="I1056">_xlfn.IFS(A1056&lt;=25,"18-25",A1056&lt;=35,"26-35",A1056&lt;=45,"36-45",A1056&lt;=60,"46-60",A1056&gt;60,"60+")</f>
        <v>46-60</v>
      </c>
      <c r="J1056" t="str" cm="1">
        <f t="array" ref="J1056">_xlfn.IFS(C1056&lt;18.5,"Underweight",C1056&lt;25,"Normal",C1056&lt;30,"Overweight",C1056&gt;=30,"Obese")</f>
        <v>Obese</v>
      </c>
      <c r="K1056" t="str" cm="1">
        <f t="array" ref="K1056">_xlfn.IFS(G1056&lt;10000, "Low", G1056&lt;=25000, "Medium", G1056&gt;25000, "High")</f>
        <v>Medium</v>
      </c>
    </row>
    <row r="1057" spans="1:11" x14ac:dyDescent="0.3">
      <c r="A1057">
        <v>53</v>
      </c>
      <c r="B1057" s="1" t="s">
        <v>7</v>
      </c>
      <c r="C1057">
        <v>35.700000000000003</v>
      </c>
      <c r="D1057">
        <v>2</v>
      </c>
      <c r="E1057" t="s">
        <v>10</v>
      </c>
      <c r="F1057" t="s">
        <v>11</v>
      </c>
      <c r="G1057" s="2">
        <v>19521.968199999999</v>
      </c>
      <c r="H1057" t="str" cm="1">
        <f t="array" ref="H1057">_xlfn.IFS(A1057&lt;=30, "Youth", A1057&lt;=50, "Adult", A1057&gt;50, "Older")</f>
        <v>Older</v>
      </c>
      <c r="I1057" t="str" cm="1">
        <f t="array" ref="I1057">_xlfn.IFS(A1057&lt;=25,"18-25",A1057&lt;=35,"26-35",A1057&lt;=45,"36-45",A1057&lt;=60,"46-60",A1057&gt;60,"60+")</f>
        <v>46-60</v>
      </c>
      <c r="J1057" t="str" cm="1">
        <f t="array" ref="J1057">_xlfn.IFS(C1057&lt;18.5,"Underweight",C1057&lt;25,"Normal",C1057&lt;30,"Overweight",C1057&gt;=30,"Obese")</f>
        <v>Obese</v>
      </c>
      <c r="K1057" t="str" cm="1">
        <f t="array" ref="K1057">_xlfn.IFS(G1057&lt;10000, "Low", G1057&lt;=25000, "Medium", G1057&gt;25000, "High")</f>
        <v>Medium</v>
      </c>
    </row>
    <row r="1058" spans="1:11" x14ac:dyDescent="0.3">
      <c r="A1058">
        <v>53</v>
      </c>
      <c r="B1058" s="1" t="s">
        <v>7</v>
      </c>
      <c r="C1058">
        <v>35.72</v>
      </c>
      <c r="D1058">
        <v>2</v>
      </c>
      <c r="E1058" t="s">
        <v>10</v>
      </c>
      <c r="F1058" t="s">
        <v>12</v>
      </c>
      <c r="G1058" s="2">
        <v>19539.242999999999</v>
      </c>
      <c r="H1058" t="str" cm="1">
        <f t="array" ref="H1058">_xlfn.IFS(A1058&lt;=30, "Youth", A1058&lt;=50, "Adult", A1058&gt;50, "Older")</f>
        <v>Older</v>
      </c>
      <c r="I1058" t="str" cm="1">
        <f t="array" ref="I1058">_xlfn.IFS(A1058&lt;=25,"18-25",A1058&lt;=35,"26-35",A1058&lt;=45,"36-45",A1058&lt;=60,"46-60",A1058&gt;60,"60+")</f>
        <v>46-60</v>
      </c>
      <c r="J1058" t="str" cm="1">
        <f t="array" ref="J1058">_xlfn.IFS(C1058&lt;18.5,"Underweight",C1058&lt;25,"Normal",C1058&lt;30,"Overweight",C1058&gt;=30,"Obese")</f>
        <v>Obese</v>
      </c>
      <c r="K1058" t="str" cm="1">
        <f t="array" ref="K1058">_xlfn.IFS(G1058&lt;10000, "Low", G1058&lt;=25000, "Medium", G1058&gt;25000, "High")</f>
        <v>Medium</v>
      </c>
    </row>
    <row r="1059" spans="1:11" x14ac:dyDescent="0.3">
      <c r="A1059">
        <v>53</v>
      </c>
      <c r="B1059" s="1" t="s">
        <v>7</v>
      </c>
      <c r="C1059">
        <v>35.72</v>
      </c>
      <c r="D1059">
        <v>2</v>
      </c>
      <c r="E1059" t="s">
        <v>10</v>
      </c>
      <c r="F1059" t="s">
        <v>12</v>
      </c>
      <c r="G1059" s="2">
        <v>19594.809649999999</v>
      </c>
      <c r="H1059" t="str" cm="1">
        <f t="array" ref="H1059">_xlfn.IFS(A1059&lt;=30, "Youth", A1059&lt;=50, "Adult", A1059&gt;50, "Older")</f>
        <v>Older</v>
      </c>
      <c r="I1059" t="str" cm="1">
        <f t="array" ref="I1059">_xlfn.IFS(A1059&lt;=25,"18-25",A1059&lt;=35,"26-35",A1059&lt;=45,"36-45",A1059&lt;=60,"46-60",A1059&gt;60,"60+")</f>
        <v>46-60</v>
      </c>
      <c r="J1059" t="str" cm="1">
        <f t="array" ref="J1059">_xlfn.IFS(C1059&lt;18.5,"Underweight",C1059&lt;25,"Normal",C1059&lt;30,"Overweight",C1059&gt;=30,"Obese")</f>
        <v>Obese</v>
      </c>
      <c r="K1059" t="str" cm="1">
        <f t="array" ref="K1059">_xlfn.IFS(G1059&lt;10000, "Low", G1059&lt;=25000, "Medium", G1059&gt;25000, "High")</f>
        <v>Medium</v>
      </c>
    </row>
    <row r="1060" spans="1:11" x14ac:dyDescent="0.3">
      <c r="A1060">
        <v>53</v>
      </c>
      <c r="B1060" s="1" t="s">
        <v>8</v>
      </c>
      <c r="C1060">
        <v>35.75</v>
      </c>
      <c r="D1060">
        <v>2</v>
      </c>
      <c r="E1060" t="s">
        <v>10</v>
      </c>
      <c r="F1060" t="s">
        <v>13</v>
      </c>
      <c r="G1060" s="2">
        <v>19673.335729999999</v>
      </c>
      <c r="H1060" t="str" cm="1">
        <f t="array" ref="H1060">_xlfn.IFS(A1060&lt;=30, "Youth", A1060&lt;=50, "Adult", A1060&gt;50, "Older")</f>
        <v>Older</v>
      </c>
      <c r="I1060" t="str" cm="1">
        <f t="array" ref="I1060">_xlfn.IFS(A1060&lt;=25,"18-25",A1060&lt;=35,"26-35",A1060&lt;=45,"36-45",A1060&lt;=60,"46-60",A1060&gt;60,"60+")</f>
        <v>46-60</v>
      </c>
      <c r="J1060" t="str" cm="1">
        <f t="array" ref="J1060">_xlfn.IFS(C1060&lt;18.5,"Underweight",C1060&lt;25,"Normal",C1060&lt;30,"Overweight",C1060&gt;=30,"Obese")</f>
        <v>Obese</v>
      </c>
      <c r="K1060" t="str" cm="1">
        <f t="array" ref="K1060">_xlfn.IFS(G1060&lt;10000, "Low", G1060&lt;=25000, "Medium", G1060&gt;25000, "High")</f>
        <v>Medium</v>
      </c>
    </row>
    <row r="1061" spans="1:11" x14ac:dyDescent="0.3">
      <c r="A1061">
        <v>53</v>
      </c>
      <c r="B1061" s="1" t="s">
        <v>8</v>
      </c>
      <c r="C1061">
        <v>35.75</v>
      </c>
      <c r="D1061">
        <v>2</v>
      </c>
      <c r="E1061" t="s">
        <v>10</v>
      </c>
      <c r="F1061" t="s">
        <v>12</v>
      </c>
      <c r="G1061" s="2">
        <v>19719.6947</v>
      </c>
      <c r="H1061" t="str" cm="1">
        <f t="array" ref="H1061">_xlfn.IFS(A1061&lt;=30, "Youth", A1061&lt;=50, "Adult", A1061&gt;50, "Older")</f>
        <v>Older</v>
      </c>
      <c r="I1061" t="str" cm="1">
        <f t="array" ref="I1061">_xlfn.IFS(A1061&lt;=25,"18-25",A1061&lt;=35,"26-35",A1061&lt;=45,"36-45",A1061&lt;=60,"46-60",A1061&gt;60,"60+")</f>
        <v>46-60</v>
      </c>
      <c r="J1061" t="str" cm="1">
        <f t="array" ref="J1061">_xlfn.IFS(C1061&lt;18.5,"Underweight",C1061&lt;25,"Normal",C1061&lt;30,"Overweight",C1061&gt;=30,"Obese")</f>
        <v>Obese</v>
      </c>
      <c r="K1061" t="str" cm="1">
        <f t="array" ref="K1061">_xlfn.IFS(G1061&lt;10000, "Low", G1061&lt;=25000, "Medium", G1061&gt;25000, "High")</f>
        <v>Medium</v>
      </c>
    </row>
    <row r="1062" spans="1:11" x14ac:dyDescent="0.3">
      <c r="A1062">
        <v>53</v>
      </c>
      <c r="B1062" s="1" t="s">
        <v>8</v>
      </c>
      <c r="C1062">
        <v>35.75</v>
      </c>
      <c r="D1062">
        <v>2</v>
      </c>
      <c r="E1062" t="s">
        <v>10</v>
      </c>
      <c r="F1062" t="s">
        <v>12</v>
      </c>
      <c r="G1062" s="2">
        <v>19749.383379999999</v>
      </c>
      <c r="H1062" t="str" cm="1">
        <f t="array" ref="H1062">_xlfn.IFS(A1062&lt;=30, "Youth", A1062&lt;=50, "Adult", A1062&gt;50, "Older")</f>
        <v>Older</v>
      </c>
      <c r="I1062" t="str" cm="1">
        <f t="array" ref="I1062">_xlfn.IFS(A1062&lt;=25,"18-25",A1062&lt;=35,"26-35",A1062&lt;=45,"36-45",A1062&lt;=60,"46-60",A1062&gt;60,"60+")</f>
        <v>46-60</v>
      </c>
      <c r="J1062" t="str" cm="1">
        <f t="array" ref="J1062">_xlfn.IFS(C1062&lt;18.5,"Underweight",C1062&lt;25,"Normal",C1062&lt;30,"Overweight",C1062&gt;=30,"Obese")</f>
        <v>Obese</v>
      </c>
      <c r="K1062" t="str" cm="1">
        <f t="array" ref="K1062">_xlfn.IFS(G1062&lt;10000, "Low", G1062&lt;=25000, "Medium", G1062&gt;25000, "High")</f>
        <v>Medium</v>
      </c>
    </row>
    <row r="1063" spans="1:11" x14ac:dyDescent="0.3">
      <c r="A1063">
        <v>53</v>
      </c>
      <c r="B1063" s="1" t="s">
        <v>8</v>
      </c>
      <c r="C1063">
        <v>35.799999999999997</v>
      </c>
      <c r="D1063">
        <v>2</v>
      </c>
      <c r="E1063" t="s">
        <v>9</v>
      </c>
      <c r="F1063" t="s">
        <v>12</v>
      </c>
      <c r="G1063" s="2">
        <v>19798.054550000001</v>
      </c>
      <c r="H1063" t="str" cm="1">
        <f t="array" ref="H1063">_xlfn.IFS(A1063&lt;=30, "Youth", A1063&lt;=50, "Adult", A1063&gt;50, "Older")</f>
        <v>Older</v>
      </c>
      <c r="I1063" t="str" cm="1">
        <f t="array" ref="I1063">_xlfn.IFS(A1063&lt;=25,"18-25",A1063&lt;=35,"26-35",A1063&lt;=45,"36-45",A1063&lt;=60,"46-60",A1063&gt;60,"60+")</f>
        <v>46-60</v>
      </c>
      <c r="J1063" t="str" cm="1">
        <f t="array" ref="J1063">_xlfn.IFS(C1063&lt;18.5,"Underweight",C1063&lt;25,"Normal",C1063&lt;30,"Overweight",C1063&gt;=30,"Obese")</f>
        <v>Obese</v>
      </c>
      <c r="K1063" t="str" cm="1">
        <f t="array" ref="K1063">_xlfn.IFS(G1063&lt;10000, "Low", G1063&lt;=25000, "Medium", G1063&gt;25000, "High")</f>
        <v>Medium</v>
      </c>
    </row>
    <row r="1064" spans="1:11" x14ac:dyDescent="0.3">
      <c r="A1064">
        <v>53</v>
      </c>
      <c r="B1064" s="1" t="s">
        <v>8</v>
      </c>
      <c r="C1064">
        <v>35.799999999999997</v>
      </c>
      <c r="D1064">
        <v>2</v>
      </c>
      <c r="E1064" t="s">
        <v>10</v>
      </c>
      <c r="F1064" t="s">
        <v>13</v>
      </c>
      <c r="G1064" s="2">
        <v>19933.457999999999</v>
      </c>
      <c r="H1064" t="str" cm="1">
        <f t="array" ref="H1064">_xlfn.IFS(A1064&lt;=30, "Youth", A1064&lt;=50, "Adult", A1064&gt;50, "Older")</f>
        <v>Older</v>
      </c>
      <c r="I1064" t="str" cm="1">
        <f t="array" ref="I1064">_xlfn.IFS(A1064&lt;=25,"18-25",A1064&lt;=35,"26-35",A1064&lt;=45,"36-45",A1064&lt;=60,"46-60",A1064&gt;60,"60+")</f>
        <v>46-60</v>
      </c>
      <c r="J1064" t="str" cm="1">
        <f t="array" ref="J1064">_xlfn.IFS(C1064&lt;18.5,"Underweight",C1064&lt;25,"Normal",C1064&lt;30,"Overweight",C1064&gt;=30,"Obese")</f>
        <v>Obese</v>
      </c>
      <c r="K1064" t="str" cm="1">
        <f t="array" ref="K1064">_xlfn.IFS(G1064&lt;10000, "Low", G1064&lt;=25000, "Medium", G1064&gt;25000, "High")</f>
        <v>Medium</v>
      </c>
    </row>
    <row r="1065" spans="1:11" x14ac:dyDescent="0.3">
      <c r="A1065">
        <v>53</v>
      </c>
      <c r="B1065" s="1" t="s">
        <v>7</v>
      </c>
      <c r="C1065">
        <v>35.814999999999998</v>
      </c>
      <c r="D1065">
        <v>2</v>
      </c>
      <c r="E1065" t="s">
        <v>10</v>
      </c>
      <c r="F1065" t="s">
        <v>11</v>
      </c>
      <c r="G1065" s="2">
        <v>19964.746299999999</v>
      </c>
      <c r="H1065" t="str" cm="1">
        <f t="array" ref="H1065">_xlfn.IFS(A1065&lt;=30, "Youth", A1065&lt;=50, "Adult", A1065&gt;50, "Older")</f>
        <v>Older</v>
      </c>
      <c r="I1065" t="str" cm="1">
        <f t="array" ref="I1065">_xlfn.IFS(A1065&lt;=25,"18-25",A1065&lt;=35,"26-35",A1065&lt;=45,"36-45",A1065&lt;=60,"46-60",A1065&gt;60,"60+")</f>
        <v>46-60</v>
      </c>
      <c r="J1065" t="str" cm="1">
        <f t="array" ref="J1065">_xlfn.IFS(C1065&lt;18.5,"Underweight",C1065&lt;25,"Normal",C1065&lt;30,"Overweight",C1065&gt;=30,"Obese")</f>
        <v>Obese</v>
      </c>
      <c r="K1065" t="str" cm="1">
        <f t="array" ref="K1065">_xlfn.IFS(G1065&lt;10000, "Low", G1065&lt;=25000, "Medium", G1065&gt;25000, "High")</f>
        <v>Medium</v>
      </c>
    </row>
    <row r="1066" spans="1:11" x14ac:dyDescent="0.3">
      <c r="A1066">
        <v>53</v>
      </c>
      <c r="B1066" s="1" t="s">
        <v>7</v>
      </c>
      <c r="C1066">
        <v>35.814999999999998</v>
      </c>
      <c r="D1066">
        <v>2</v>
      </c>
      <c r="E1066" t="s">
        <v>10</v>
      </c>
      <c r="F1066" t="s">
        <v>11</v>
      </c>
      <c r="G1066" s="2">
        <v>20009.63365</v>
      </c>
      <c r="H1066" t="str" cm="1">
        <f t="array" ref="H1066">_xlfn.IFS(A1066&lt;=30, "Youth", A1066&lt;=50, "Adult", A1066&gt;50, "Older")</f>
        <v>Older</v>
      </c>
      <c r="I1066" t="str" cm="1">
        <f t="array" ref="I1066">_xlfn.IFS(A1066&lt;=25,"18-25",A1066&lt;=35,"26-35",A1066&lt;=45,"36-45",A1066&lt;=60,"46-60",A1066&gt;60,"60+")</f>
        <v>46-60</v>
      </c>
      <c r="J1066" t="str" cm="1">
        <f t="array" ref="J1066">_xlfn.IFS(C1066&lt;18.5,"Underweight",C1066&lt;25,"Normal",C1066&lt;30,"Overweight",C1066&gt;=30,"Obese")</f>
        <v>Obese</v>
      </c>
      <c r="K1066" t="str" cm="1">
        <f t="array" ref="K1066">_xlfn.IFS(G1066&lt;10000, "Low", G1066&lt;=25000, "Medium", G1066&gt;25000, "High")</f>
        <v>Medium</v>
      </c>
    </row>
    <row r="1067" spans="1:11" x14ac:dyDescent="0.3">
      <c r="A1067">
        <v>53</v>
      </c>
      <c r="B1067" s="1" t="s">
        <v>8</v>
      </c>
      <c r="C1067">
        <v>35.814999999999998</v>
      </c>
      <c r="D1067">
        <v>2</v>
      </c>
      <c r="E1067" t="s">
        <v>10</v>
      </c>
      <c r="F1067" t="s">
        <v>12</v>
      </c>
      <c r="G1067" s="2">
        <v>20149.322899999999</v>
      </c>
      <c r="H1067" t="str" cm="1">
        <f t="array" ref="H1067">_xlfn.IFS(A1067&lt;=30, "Youth", A1067&lt;=50, "Adult", A1067&gt;50, "Older")</f>
        <v>Older</v>
      </c>
      <c r="I1067" t="str" cm="1">
        <f t="array" ref="I1067">_xlfn.IFS(A1067&lt;=25,"18-25",A1067&lt;=35,"26-35",A1067&lt;=45,"36-45",A1067&lt;=60,"46-60",A1067&gt;60,"60+")</f>
        <v>46-60</v>
      </c>
      <c r="J1067" t="str" cm="1">
        <f t="array" ref="J1067">_xlfn.IFS(C1067&lt;18.5,"Underweight",C1067&lt;25,"Normal",C1067&lt;30,"Overweight",C1067&gt;=30,"Obese")</f>
        <v>Obese</v>
      </c>
      <c r="K1067" t="str" cm="1">
        <f t="array" ref="K1067">_xlfn.IFS(G1067&lt;10000, "Low", G1067&lt;=25000, "Medium", G1067&gt;25000, "High")</f>
        <v>Medium</v>
      </c>
    </row>
    <row r="1068" spans="1:11" x14ac:dyDescent="0.3">
      <c r="A1068">
        <v>53</v>
      </c>
      <c r="B1068" s="1" t="s">
        <v>8</v>
      </c>
      <c r="C1068">
        <v>35.814999999999998</v>
      </c>
      <c r="D1068">
        <v>2</v>
      </c>
      <c r="E1068" t="s">
        <v>10</v>
      </c>
      <c r="F1068" t="s">
        <v>14</v>
      </c>
      <c r="G1068" s="2">
        <v>20167.336029999999</v>
      </c>
      <c r="H1068" t="str" cm="1">
        <f t="array" ref="H1068">_xlfn.IFS(A1068&lt;=30, "Youth", A1068&lt;=50, "Adult", A1068&gt;50, "Older")</f>
        <v>Older</v>
      </c>
      <c r="I1068" t="str" cm="1">
        <f t="array" ref="I1068">_xlfn.IFS(A1068&lt;=25,"18-25",A1068&lt;=35,"26-35",A1068&lt;=45,"36-45",A1068&lt;=60,"46-60",A1068&gt;60,"60+")</f>
        <v>46-60</v>
      </c>
      <c r="J1068" t="str" cm="1">
        <f t="array" ref="J1068">_xlfn.IFS(C1068&lt;18.5,"Underweight",C1068&lt;25,"Normal",C1068&lt;30,"Overweight",C1068&gt;=30,"Obese")</f>
        <v>Obese</v>
      </c>
      <c r="K1068" t="str" cm="1">
        <f t="array" ref="K1068">_xlfn.IFS(G1068&lt;10000, "Low", G1068&lt;=25000, "Medium", G1068&gt;25000, "High")</f>
        <v>Medium</v>
      </c>
    </row>
    <row r="1069" spans="1:11" x14ac:dyDescent="0.3">
      <c r="A1069">
        <v>54</v>
      </c>
      <c r="B1069" s="1" t="s">
        <v>8</v>
      </c>
      <c r="C1069">
        <v>35.86</v>
      </c>
      <c r="D1069">
        <v>2</v>
      </c>
      <c r="E1069" t="s">
        <v>10</v>
      </c>
      <c r="F1069" t="s">
        <v>13</v>
      </c>
      <c r="G1069" s="2">
        <v>20177.671129999999</v>
      </c>
      <c r="H1069" t="str" cm="1">
        <f t="array" ref="H1069">_xlfn.IFS(A1069&lt;=30, "Youth", A1069&lt;=50, "Adult", A1069&gt;50, "Older")</f>
        <v>Older</v>
      </c>
      <c r="I1069" t="str" cm="1">
        <f t="array" ref="I1069">_xlfn.IFS(A1069&lt;=25,"18-25",A1069&lt;=35,"26-35",A1069&lt;=45,"36-45",A1069&lt;=60,"46-60",A1069&gt;60,"60+")</f>
        <v>46-60</v>
      </c>
      <c r="J1069" t="str" cm="1">
        <f t="array" ref="J1069">_xlfn.IFS(C1069&lt;18.5,"Underweight",C1069&lt;25,"Normal",C1069&lt;30,"Overweight",C1069&gt;=30,"Obese")</f>
        <v>Obese</v>
      </c>
      <c r="K1069" t="str" cm="1">
        <f t="array" ref="K1069">_xlfn.IFS(G1069&lt;10000, "Low", G1069&lt;=25000, "Medium", G1069&gt;25000, "High")</f>
        <v>Medium</v>
      </c>
    </row>
    <row r="1070" spans="1:11" x14ac:dyDescent="0.3">
      <c r="A1070">
        <v>54</v>
      </c>
      <c r="B1070" s="1" t="s">
        <v>7</v>
      </c>
      <c r="C1070">
        <v>35.86</v>
      </c>
      <c r="D1070">
        <v>2</v>
      </c>
      <c r="E1070" t="s">
        <v>10</v>
      </c>
      <c r="F1070" t="s">
        <v>12</v>
      </c>
      <c r="G1070" s="2">
        <v>20234.854749999999</v>
      </c>
      <c r="H1070" t="str" cm="1">
        <f t="array" ref="H1070">_xlfn.IFS(A1070&lt;=30, "Youth", A1070&lt;=50, "Adult", A1070&gt;50, "Older")</f>
        <v>Older</v>
      </c>
      <c r="I1070" t="str" cm="1">
        <f t="array" ref="I1070">_xlfn.IFS(A1070&lt;=25,"18-25",A1070&lt;=35,"26-35",A1070&lt;=45,"36-45",A1070&lt;=60,"46-60",A1070&gt;60,"60+")</f>
        <v>46-60</v>
      </c>
      <c r="J1070" t="str" cm="1">
        <f t="array" ref="J1070">_xlfn.IFS(C1070&lt;18.5,"Underweight",C1070&lt;25,"Normal",C1070&lt;30,"Overweight",C1070&gt;=30,"Obese")</f>
        <v>Obese</v>
      </c>
      <c r="K1070" t="str" cm="1">
        <f t="array" ref="K1070">_xlfn.IFS(G1070&lt;10000, "Low", G1070&lt;=25000, "Medium", G1070&gt;25000, "High")</f>
        <v>Medium</v>
      </c>
    </row>
    <row r="1071" spans="1:11" x14ac:dyDescent="0.3">
      <c r="A1071">
        <v>54</v>
      </c>
      <c r="B1071" s="1" t="s">
        <v>8</v>
      </c>
      <c r="C1071">
        <v>35.86</v>
      </c>
      <c r="D1071">
        <v>2</v>
      </c>
      <c r="E1071" t="s">
        <v>9</v>
      </c>
      <c r="F1071" t="s">
        <v>12</v>
      </c>
      <c r="G1071" s="2">
        <v>20277.807509999999</v>
      </c>
      <c r="H1071" t="str" cm="1">
        <f t="array" ref="H1071">_xlfn.IFS(A1071&lt;=30, "Youth", A1071&lt;=50, "Adult", A1071&gt;50, "Older")</f>
        <v>Older</v>
      </c>
      <c r="I1071" t="str" cm="1">
        <f t="array" ref="I1071">_xlfn.IFS(A1071&lt;=25,"18-25",A1071&lt;=35,"26-35",A1071&lt;=45,"36-45",A1071&lt;=60,"46-60",A1071&gt;60,"60+")</f>
        <v>46-60</v>
      </c>
      <c r="J1071" t="str" cm="1">
        <f t="array" ref="J1071">_xlfn.IFS(C1071&lt;18.5,"Underweight",C1071&lt;25,"Normal",C1071&lt;30,"Overweight",C1071&gt;=30,"Obese")</f>
        <v>Obese</v>
      </c>
      <c r="K1071" t="str" cm="1">
        <f t="array" ref="K1071">_xlfn.IFS(G1071&lt;10000, "Low", G1071&lt;=25000, "Medium", G1071&gt;25000, "High")</f>
        <v>Medium</v>
      </c>
    </row>
    <row r="1072" spans="1:11" x14ac:dyDescent="0.3">
      <c r="A1072">
        <v>54</v>
      </c>
      <c r="B1072" s="1" t="s">
        <v>8</v>
      </c>
      <c r="C1072">
        <v>35.86</v>
      </c>
      <c r="D1072">
        <v>2</v>
      </c>
      <c r="E1072" t="s">
        <v>10</v>
      </c>
      <c r="F1072" t="s">
        <v>14</v>
      </c>
      <c r="G1072" s="2">
        <v>20296.863450000001</v>
      </c>
      <c r="H1072" t="str" cm="1">
        <f t="array" ref="H1072">_xlfn.IFS(A1072&lt;=30, "Youth", A1072&lt;=50, "Adult", A1072&gt;50, "Older")</f>
        <v>Older</v>
      </c>
      <c r="I1072" t="str" cm="1">
        <f t="array" ref="I1072">_xlfn.IFS(A1072&lt;=25,"18-25",A1072&lt;=35,"26-35",A1072&lt;=45,"36-45",A1072&lt;=60,"46-60",A1072&gt;60,"60+")</f>
        <v>46-60</v>
      </c>
      <c r="J1072" t="str" cm="1">
        <f t="array" ref="J1072">_xlfn.IFS(C1072&lt;18.5,"Underweight",C1072&lt;25,"Normal",C1072&lt;30,"Overweight",C1072&gt;=30,"Obese")</f>
        <v>Obese</v>
      </c>
      <c r="K1072" t="str" cm="1">
        <f t="array" ref="K1072">_xlfn.IFS(G1072&lt;10000, "Low", G1072&lt;=25000, "Medium", G1072&gt;25000, "High")</f>
        <v>Medium</v>
      </c>
    </row>
    <row r="1073" spans="1:11" x14ac:dyDescent="0.3">
      <c r="A1073">
        <v>54</v>
      </c>
      <c r="B1073" s="1" t="s">
        <v>8</v>
      </c>
      <c r="C1073">
        <v>35.9</v>
      </c>
      <c r="D1073">
        <v>2</v>
      </c>
      <c r="E1073" t="s">
        <v>10</v>
      </c>
      <c r="F1073" t="s">
        <v>13</v>
      </c>
      <c r="G1073" s="2">
        <v>20420.604650000001</v>
      </c>
      <c r="H1073" t="str" cm="1">
        <f t="array" ref="H1073">_xlfn.IFS(A1073&lt;=30, "Youth", A1073&lt;=50, "Adult", A1073&gt;50, "Older")</f>
        <v>Older</v>
      </c>
      <c r="I1073" t="str" cm="1">
        <f t="array" ref="I1073">_xlfn.IFS(A1073&lt;=25,"18-25",A1073&lt;=35,"26-35",A1073&lt;=45,"36-45",A1073&lt;=60,"46-60",A1073&gt;60,"60+")</f>
        <v>46-60</v>
      </c>
      <c r="J1073" t="str" cm="1">
        <f t="array" ref="J1073">_xlfn.IFS(C1073&lt;18.5,"Underweight",C1073&lt;25,"Normal",C1073&lt;30,"Overweight",C1073&gt;=30,"Obese")</f>
        <v>Obese</v>
      </c>
      <c r="K1073" t="str" cm="1">
        <f t="array" ref="K1073">_xlfn.IFS(G1073&lt;10000, "Low", G1073&lt;=25000, "Medium", G1073&gt;25000, "High")</f>
        <v>Medium</v>
      </c>
    </row>
    <row r="1074" spans="1:11" x14ac:dyDescent="0.3">
      <c r="A1074">
        <v>54</v>
      </c>
      <c r="B1074" s="1" t="s">
        <v>7</v>
      </c>
      <c r="C1074">
        <v>35.909999999999997</v>
      </c>
      <c r="D1074">
        <v>2</v>
      </c>
      <c r="E1074" t="s">
        <v>10</v>
      </c>
      <c r="F1074" t="s">
        <v>14</v>
      </c>
      <c r="G1074" s="2">
        <v>20462.997660000001</v>
      </c>
      <c r="H1074" t="str" cm="1">
        <f t="array" ref="H1074">_xlfn.IFS(A1074&lt;=30, "Youth", A1074&lt;=50, "Adult", A1074&gt;50, "Older")</f>
        <v>Older</v>
      </c>
      <c r="I1074" t="str" cm="1">
        <f t="array" ref="I1074">_xlfn.IFS(A1074&lt;=25,"18-25",A1074&lt;=35,"26-35",A1074&lt;=45,"36-45",A1074&lt;=60,"46-60",A1074&gt;60,"60+")</f>
        <v>46-60</v>
      </c>
      <c r="J1074" t="str" cm="1">
        <f t="array" ref="J1074">_xlfn.IFS(C1074&lt;18.5,"Underweight",C1074&lt;25,"Normal",C1074&lt;30,"Overweight",C1074&gt;=30,"Obese")</f>
        <v>Obese</v>
      </c>
      <c r="K1074" t="str" cm="1">
        <f t="array" ref="K1074">_xlfn.IFS(G1074&lt;10000, "Low", G1074&lt;=25000, "Medium", G1074&gt;25000, "High")</f>
        <v>Medium</v>
      </c>
    </row>
    <row r="1075" spans="1:11" x14ac:dyDescent="0.3">
      <c r="A1075">
        <v>54</v>
      </c>
      <c r="B1075" s="1" t="s">
        <v>7</v>
      </c>
      <c r="C1075">
        <v>35.909999999999997</v>
      </c>
      <c r="D1075">
        <v>2</v>
      </c>
      <c r="E1075" t="s">
        <v>10</v>
      </c>
      <c r="F1075" t="s">
        <v>14</v>
      </c>
      <c r="G1075" s="2">
        <v>20630.283510000001</v>
      </c>
      <c r="H1075" t="str" cm="1">
        <f t="array" ref="H1075">_xlfn.IFS(A1075&lt;=30, "Youth", A1075&lt;=50, "Adult", A1075&gt;50, "Older")</f>
        <v>Older</v>
      </c>
      <c r="I1075" t="str" cm="1">
        <f t="array" ref="I1075">_xlfn.IFS(A1075&lt;=25,"18-25",A1075&lt;=35,"26-35",A1075&lt;=45,"36-45",A1075&lt;=60,"46-60",A1075&gt;60,"60+")</f>
        <v>46-60</v>
      </c>
      <c r="J1075" t="str" cm="1">
        <f t="array" ref="J1075">_xlfn.IFS(C1075&lt;18.5,"Underweight",C1075&lt;25,"Normal",C1075&lt;30,"Overweight",C1075&gt;=30,"Obese")</f>
        <v>Obese</v>
      </c>
      <c r="K1075" t="str" cm="1">
        <f t="array" ref="K1075">_xlfn.IFS(G1075&lt;10000, "Low", G1075&lt;=25000, "Medium", G1075&gt;25000, "High")</f>
        <v>Medium</v>
      </c>
    </row>
    <row r="1076" spans="1:11" x14ac:dyDescent="0.3">
      <c r="A1076">
        <v>54</v>
      </c>
      <c r="B1076" s="1" t="s">
        <v>7</v>
      </c>
      <c r="C1076">
        <v>35.97</v>
      </c>
      <c r="D1076">
        <v>2</v>
      </c>
      <c r="E1076" t="s">
        <v>10</v>
      </c>
      <c r="F1076" t="s">
        <v>12</v>
      </c>
      <c r="G1076" s="2">
        <v>20709.020339999999</v>
      </c>
      <c r="H1076" t="str" cm="1">
        <f t="array" ref="H1076">_xlfn.IFS(A1076&lt;=30, "Youth", A1076&lt;=50, "Adult", A1076&gt;50, "Older")</f>
        <v>Older</v>
      </c>
      <c r="I1076" t="str" cm="1">
        <f t="array" ref="I1076">_xlfn.IFS(A1076&lt;=25,"18-25",A1076&lt;=35,"26-35",A1076&lt;=45,"36-45",A1076&lt;=60,"46-60",A1076&gt;60,"60+")</f>
        <v>46-60</v>
      </c>
      <c r="J1076" t="str" cm="1">
        <f t="array" ref="J1076">_xlfn.IFS(C1076&lt;18.5,"Underweight",C1076&lt;25,"Normal",C1076&lt;30,"Overweight",C1076&gt;=30,"Obese")</f>
        <v>Obese</v>
      </c>
      <c r="K1076" t="str" cm="1">
        <f t="array" ref="K1076">_xlfn.IFS(G1076&lt;10000, "Low", G1076&lt;=25000, "Medium", G1076&gt;25000, "High")</f>
        <v>Medium</v>
      </c>
    </row>
    <row r="1077" spans="1:11" x14ac:dyDescent="0.3">
      <c r="A1077">
        <v>54</v>
      </c>
      <c r="B1077" s="1" t="s">
        <v>7</v>
      </c>
      <c r="C1077">
        <v>35.97</v>
      </c>
      <c r="D1077">
        <v>2</v>
      </c>
      <c r="E1077" t="s">
        <v>10</v>
      </c>
      <c r="F1077" t="s">
        <v>11</v>
      </c>
      <c r="G1077" s="2">
        <v>20745.989099999999</v>
      </c>
      <c r="H1077" t="str" cm="1">
        <f t="array" ref="H1077">_xlfn.IFS(A1077&lt;=30, "Youth", A1077&lt;=50, "Adult", A1077&gt;50, "Older")</f>
        <v>Older</v>
      </c>
      <c r="I1077" t="str" cm="1">
        <f t="array" ref="I1077">_xlfn.IFS(A1077&lt;=25,"18-25",A1077&lt;=35,"26-35",A1077&lt;=45,"36-45",A1077&lt;=60,"46-60",A1077&gt;60,"60+")</f>
        <v>46-60</v>
      </c>
      <c r="J1077" t="str" cm="1">
        <f t="array" ref="J1077">_xlfn.IFS(C1077&lt;18.5,"Underweight",C1077&lt;25,"Normal",C1077&lt;30,"Overweight",C1077&gt;=30,"Obese")</f>
        <v>Obese</v>
      </c>
      <c r="K1077" t="str" cm="1">
        <f t="array" ref="K1077">_xlfn.IFS(G1077&lt;10000, "Low", G1077&lt;=25000, "Medium", G1077&gt;25000, "High")</f>
        <v>Medium</v>
      </c>
    </row>
    <row r="1078" spans="1:11" x14ac:dyDescent="0.3">
      <c r="A1078">
        <v>54</v>
      </c>
      <c r="B1078" s="1" t="s">
        <v>8</v>
      </c>
      <c r="C1078">
        <v>35.97</v>
      </c>
      <c r="D1078">
        <v>2</v>
      </c>
      <c r="E1078" t="s">
        <v>10</v>
      </c>
      <c r="F1078" t="s">
        <v>14</v>
      </c>
      <c r="G1078" s="2">
        <v>20773.62775</v>
      </c>
      <c r="H1078" t="str" cm="1">
        <f t="array" ref="H1078">_xlfn.IFS(A1078&lt;=30, "Youth", A1078&lt;=50, "Adult", A1078&gt;50, "Older")</f>
        <v>Older</v>
      </c>
      <c r="I1078" t="str" cm="1">
        <f t="array" ref="I1078">_xlfn.IFS(A1078&lt;=25,"18-25",A1078&lt;=35,"26-35",A1078&lt;=45,"36-45",A1078&lt;=60,"46-60",A1078&gt;60,"60+")</f>
        <v>46-60</v>
      </c>
      <c r="J1078" t="str" cm="1">
        <f t="array" ref="J1078">_xlfn.IFS(C1078&lt;18.5,"Underweight",C1078&lt;25,"Normal",C1078&lt;30,"Overweight",C1078&gt;=30,"Obese")</f>
        <v>Obese</v>
      </c>
      <c r="K1078" t="str" cm="1">
        <f t="array" ref="K1078">_xlfn.IFS(G1078&lt;10000, "Low", G1078&lt;=25000, "Medium", G1078&gt;25000, "High")</f>
        <v>Medium</v>
      </c>
    </row>
    <row r="1079" spans="1:11" x14ac:dyDescent="0.3">
      <c r="A1079">
        <v>54</v>
      </c>
      <c r="B1079" s="1" t="s">
        <v>8</v>
      </c>
      <c r="C1079">
        <v>35.97</v>
      </c>
      <c r="D1079">
        <v>2</v>
      </c>
      <c r="E1079" t="s">
        <v>9</v>
      </c>
      <c r="F1079" t="s">
        <v>12</v>
      </c>
      <c r="G1079" s="2">
        <v>20781.48892</v>
      </c>
      <c r="H1079" t="str" cm="1">
        <f t="array" ref="H1079">_xlfn.IFS(A1079&lt;=30, "Youth", A1079&lt;=50, "Adult", A1079&gt;50, "Older")</f>
        <v>Older</v>
      </c>
      <c r="I1079" t="str" cm="1">
        <f t="array" ref="I1079">_xlfn.IFS(A1079&lt;=25,"18-25",A1079&lt;=35,"26-35",A1079&lt;=45,"36-45",A1079&lt;=60,"46-60",A1079&gt;60,"60+")</f>
        <v>46-60</v>
      </c>
      <c r="J1079" t="str" cm="1">
        <f t="array" ref="J1079">_xlfn.IFS(C1079&lt;18.5,"Underweight",C1079&lt;25,"Normal",C1079&lt;30,"Overweight",C1079&gt;=30,"Obese")</f>
        <v>Obese</v>
      </c>
      <c r="K1079" t="str" cm="1">
        <f t="array" ref="K1079">_xlfn.IFS(G1079&lt;10000, "Low", G1079&lt;=25000, "Medium", G1079&gt;25000, "High")</f>
        <v>Medium</v>
      </c>
    </row>
    <row r="1080" spans="1:11" x14ac:dyDescent="0.3">
      <c r="A1080">
        <v>54</v>
      </c>
      <c r="B1080" s="1" t="s">
        <v>8</v>
      </c>
      <c r="C1080">
        <v>36</v>
      </c>
      <c r="D1080">
        <v>2</v>
      </c>
      <c r="E1080" t="s">
        <v>10</v>
      </c>
      <c r="F1080" t="s">
        <v>12</v>
      </c>
      <c r="G1080" s="2">
        <v>20878.78443</v>
      </c>
      <c r="H1080" t="str" cm="1">
        <f t="array" ref="H1080">_xlfn.IFS(A1080&lt;=30, "Youth", A1080&lt;=50, "Adult", A1080&gt;50, "Older")</f>
        <v>Older</v>
      </c>
      <c r="I1080" t="str" cm="1">
        <f t="array" ref="I1080">_xlfn.IFS(A1080&lt;=25,"18-25",A1080&lt;=35,"26-35",A1080&lt;=45,"36-45",A1080&lt;=60,"46-60",A1080&gt;60,"60+")</f>
        <v>46-60</v>
      </c>
      <c r="J1080" t="str" cm="1">
        <f t="array" ref="J1080">_xlfn.IFS(C1080&lt;18.5,"Underweight",C1080&lt;25,"Normal",C1080&lt;30,"Overweight",C1080&gt;=30,"Obese")</f>
        <v>Obese</v>
      </c>
      <c r="K1080" t="str" cm="1">
        <f t="array" ref="K1080">_xlfn.IFS(G1080&lt;10000, "Low", G1080&lt;=25000, "Medium", G1080&gt;25000, "High")</f>
        <v>Medium</v>
      </c>
    </row>
    <row r="1081" spans="1:11" x14ac:dyDescent="0.3">
      <c r="A1081">
        <v>54</v>
      </c>
      <c r="B1081" s="1" t="s">
        <v>8</v>
      </c>
      <c r="C1081">
        <v>36</v>
      </c>
      <c r="D1081">
        <v>2</v>
      </c>
      <c r="E1081" t="s">
        <v>10</v>
      </c>
      <c r="F1081" t="s">
        <v>12</v>
      </c>
      <c r="G1081" s="2">
        <v>20984.0936</v>
      </c>
      <c r="H1081" t="str" cm="1">
        <f t="array" ref="H1081">_xlfn.IFS(A1081&lt;=30, "Youth", A1081&lt;=50, "Adult", A1081&gt;50, "Older")</f>
        <v>Older</v>
      </c>
      <c r="I1081" t="str" cm="1">
        <f t="array" ref="I1081">_xlfn.IFS(A1081&lt;=25,"18-25",A1081&lt;=35,"26-35",A1081&lt;=45,"36-45",A1081&lt;=60,"46-60",A1081&gt;60,"60+")</f>
        <v>46-60</v>
      </c>
      <c r="J1081" t="str" cm="1">
        <f t="array" ref="J1081">_xlfn.IFS(C1081&lt;18.5,"Underweight",C1081&lt;25,"Normal",C1081&lt;30,"Overweight",C1081&gt;=30,"Obese")</f>
        <v>Obese</v>
      </c>
      <c r="K1081" t="str" cm="1">
        <f t="array" ref="K1081">_xlfn.IFS(G1081&lt;10000, "Low", G1081&lt;=25000, "Medium", G1081&gt;25000, "High")</f>
        <v>Medium</v>
      </c>
    </row>
    <row r="1082" spans="1:11" x14ac:dyDescent="0.3">
      <c r="A1082">
        <v>54</v>
      </c>
      <c r="B1082" s="1" t="s">
        <v>8</v>
      </c>
      <c r="C1082">
        <v>36.005000000000003</v>
      </c>
      <c r="D1082">
        <v>2</v>
      </c>
      <c r="E1082" t="s">
        <v>10</v>
      </c>
      <c r="F1082" t="s">
        <v>13</v>
      </c>
      <c r="G1082" s="2">
        <v>21082.16</v>
      </c>
      <c r="H1082" t="str" cm="1">
        <f t="array" ref="H1082">_xlfn.IFS(A1082&lt;=30, "Youth", A1082&lt;=50, "Adult", A1082&gt;50, "Older")</f>
        <v>Older</v>
      </c>
      <c r="I1082" t="str" cm="1">
        <f t="array" ref="I1082">_xlfn.IFS(A1082&lt;=25,"18-25",A1082&lt;=35,"26-35",A1082&lt;=45,"36-45",A1082&lt;=60,"46-60",A1082&gt;60,"60+")</f>
        <v>46-60</v>
      </c>
      <c r="J1082" t="str" cm="1">
        <f t="array" ref="J1082">_xlfn.IFS(C1082&lt;18.5,"Underweight",C1082&lt;25,"Normal",C1082&lt;30,"Overweight",C1082&gt;=30,"Obese")</f>
        <v>Obese</v>
      </c>
      <c r="K1082" t="str" cm="1">
        <f t="array" ref="K1082">_xlfn.IFS(G1082&lt;10000, "Low", G1082&lt;=25000, "Medium", G1082&gt;25000, "High")</f>
        <v>Medium</v>
      </c>
    </row>
    <row r="1083" spans="1:11" x14ac:dyDescent="0.3">
      <c r="A1083">
        <v>54</v>
      </c>
      <c r="B1083" s="1" t="s">
        <v>8</v>
      </c>
      <c r="C1083">
        <v>36.08</v>
      </c>
      <c r="D1083">
        <v>2</v>
      </c>
      <c r="E1083" t="s">
        <v>10</v>
      </c>
      <c r="F1083" t="s">
        <v>13</v>
      </c>
      <c r="G1083" s="2">
        <v>21098.554049999999</v>
      </c>
      <c r="H1083" t="str" cm="1">
        <f t="array" ref="H1083">_xlfn.IFS(A1083&lt;=30, "Youth", A1083&lt;=50, "Adult", A1083&gt;50, "Older")</f>
        <v>Older</v>
      </c>
      <c r="I1083" t="str" cm="1">
        <f t="array" ref="I1083">_xlfn.IFS(A1083&lt;=25,"18-25",A1083&lt;=35,"26-35",A1083&lt;=45,"36-45",A1083&lt;=60,"46-60",A1083&gt;60,"60+")</f>
        <v>46-60</v>
      </c>
      <c r="J1083" t="str" cm="1">
        <f t="array" ref="J1083">_xlfn.IFS(C1083&lt;18.5,"Underweight",C1083&lt;25,"Normal",C1083&lt;30,"Overweight",C1083&gt;=30,"Obese")</f>
        <v>Obese</v>
      </c>
      <c r="K1083" t="str" cm="1">
        <f t="array" ref="K1083">_xlfn.IFS(G1083&lt;10000, "Low", G1083&lt;=25000, "Medium", G1083&gt;25000, "High")</f>
        <v>Medium</v>
      </c>
    </row>
    <row r="1084" spans="1:11" x14ac:dyDescent="0.3">
      <c r="A1084">
        <v>54</v>
      </c>
      <c r="B1084" s="1" t="s">
        <v>8</v>
      </c>
      <c r="C1084">
        <v>36.08</v>
      </c>
      <c r="D1084">
        <v>2</v>
      </c>
      <c r="E1084" t="s">
        <v>10</v>
      </c>
      <c r="F1084" t="s">
        <v>11</v>
      </c>
      <c r="G1084" s="2">
        <v>21195.817999999999</v>
      </c>
      <c r="H1084" t="str" cm="1">
        <f t="array" ref="H1084">_xlfn.IFS(A1084&lt;=30, "Youth", A1084&lt;=50, "Adult", A1084&gt;50, "Older")</f>
        <v>Older</v>
      </c>
      <c r="I1084" t="str" cm="1">
        <f t="array" ref="I1084">_xlfn.IFS(A1084&lt;=25,"18-25",A1084&lt;=35,"26-35",A1084&lt;=45,"36-45",A1084&lt;=60,"46-60",A1084&gt;60,"60+")</f>
        <v>46-60</v>
      </c>
      <c r="J1084" t="str" cm="1">
        <f t="array" ref="J1084">_xlfn.IFS(C1084&lt;18.5,"Underweight",C1084&lt;25,"Normal",C1084&lt;30,"Overweight",C1084&gt;=30,"Obese")</f>
        <v>Obese</v>
      </c>
      <c r="K1084" t="str" cm="1">
        <f t="array" ref="K1084">_xlfn.IFS(G1084&lt;10000, "Low", G1084&lt;=25000, "Medium", G1084&gt;25000, "High")</f>
        <v>Medium</v>
      </c>
    </row>
    <row r="1085" spans="1:11" x14ac:dyDescent="0.3">
      <c r="A1085">
        <v>54</v>
      </c>
      <c r="B1085" s="1" t="s">
        <v>7</v>
      </c>
      <c r="C1085">
        <v>36.08</v>
      </c>
      <c r="D1085">
        <v>2</v>
      </c>
      <c r="E1085" t="s">
        <v>10</v>
      </c>
      <c r="F1085" t="s">
        <v>13</v>
      </c>
      <c r="G1085" s="2">
        <v>21223.675800000001</v>
      </c>
      <c r="H1085" t="str" cm="1">
        <f t="array" ref="H1085">_xlfn.IFS(A1085&lt;=30, "Youth", A1085&lt;=50, "Adult", A1085&gt;50, "Older")</f>
        <v>Older</v>
      </c>
      <c r="I1085" t="str" cm="1">
        <f t="array" ref="I1085">_xlfn.IFS(A1085&lt;=25,"18-25",A1085&lt;=35,"26-35",A1085&lt;=45,"36-45",A1085&lt;=60,"46-60",A1085&gt;60,"60+")</f>
        <v>46-60</v>
      </c>
      <c r="J1085" t="str" cm="1">
        <f t="array" ref="J1085">_xlfn.IFS(C1085&lt;18.5,"Underweight",C1085&lt;25,"Normal",C1085&lt;30,"Overweight",C1085&gt;=30,"Obese")</f>
        <v>Obese</v>
      </c>
      <c r="K1085" t="str" cm="1">
        <f t="array" ref="K1085">_xlfn.IFS(G1085&lt;10000, "Low", G1085&lt;=25000, "Medium", G1085&gt;25000, "High")</f>
        <v>Medium</v>
      </c>
    </row>
    <row r="1086" spans="1:11" x14ac:dyDescent="0.3">
      <c r="A1086">
        <v>54</v>
      </c>
      <c r="B1086" s="1" t="s">
        <v>7</v>
      </c>
      <c r="C1086">
        <v>36.08</v>
      </c>
      <c r="D1086">
        <v>2</v>
      </c>
      <c r="E1086" t="s">
        <v>9</v>
      </c>
      <c r="F1086" t="s">
        <v>11</v>
      </c>
      <c r="G1086" s="2">
        <v>21232.182260000001</v>
      </c>
      <c r="H1086" t="str" cm="1">
        <f t="array" ref="H1086">_xlfn.IFS(A1086&lt;=30, "Youth", A1086&lt;=50, "Adult", A1086&gt;50, "Older")</f>
        <v>Older</v>
      </c>
      <c r="I1086" t="str" cm="1">
        <f t="array" ref="I1086">_xlfn.IFS(A1086&lt;=25,"18-25",A1086&lt;=35,"26-35",A1086&lt;=45,"36-45",A1086&lt;=60,"46-60",A1086&gt;60,"60+")</f>
        <v>46-60</v>
      </c>
      <c r="J1086" t="str" cm="1">
        <f t="array" ref="J1086">_xlfn.IFS(C1086&lt;18.5,"Underweight",C1086&lt;25,"Normal",C1086&lt;30,"Overweight",C1086&gt;=30,"Obese")</f>
        <v>Obese</v>
      </c>
      <c r="K1086" t="str" cm="1">
        <f t="array" ref="K1086">_xlfn.IFS(G1086&lt;10000, "Low", G1086&lt;=25000, "Medium", G1086&gt;25000, "High")</f>
        <v>Medium</v>
      </c>
    </row>
    <row r="1087" spans="1:11" x14ac:dyDescent="0.3">
      <c r="A1087">
        <v>54</v>
      </c>
      <c r="B1087" s="1" t="s">
        <v>8</v>
      </c>
      <c r="C1087">
        <v>36.1</v>
      </c>
      <c r="D1087">
        <v>2</v>
      </c>
      <c r="E1087" t="s">
        <v>10</v>
      </c>
      <c r="F1087" t="s">
        <v>14</v>
      </c>
      <c r="G1087" s="2">
        <v>21259.377949999998</v>
      </c>
      <c r="H1087" t="str" cm="1">
        <f t="array" ref="H1087">_xlfn.IFS(A1087&lt;=30, "Youth", A1087&lt;=50, "Adult", A1087&gt;50, "Older")</f>
        <v>Older</v>
      </c>
      <c r="I1087" t="str" cm="1">
        <f t="array" ref="I1087">_xlfn.IFS(A1087&lt;=25,"18-25",A1087&lt;=35,"26-35",A1087&lt;=45,"36-45",A1087&lt;=60,"46-60",A1087&gt;60,"60+")</f>
        <v>46-60</v>
      </c>
      <c r="J1087" t="str" cm="1">
        <f t="array" ref="J1087">_xlfn.IFS(C1087&lt;18.5,"Underweight",C1087&lt;25,"Normal",C1087&lt;30,"Overweight",C1087&gt;=30,"Obese")</f>
        <v>Obese</v>
      </c>
      <c r="K1087" t="str" cm="1">
        <f t="array" ref="K1087">_xlfn.IFS(G1087&lt;10000, "Low", G1087&lt;=25000, "Medium", G1087&gt;25000, "High")</f>
        <v>Medium</v>
      </c>
    </row>
    <row r="1088" spans="1:11" x14ac:dyDescent="0.3">
      <c r="A1088">
        <v>54</v>
      </c>
      <c r="B1088" s="1" t="s">
        <v>8</v>
      </c>
      <c r="C1088">
        <v>36.1</v>
      </c>
      <c r="D1088">
        <v>2</v>
      </c>
      <c r="E1088" t="s">
        <v>10</v>
      </c>
      <c r="F1088" t="s">
        <v>13</v>
      </c>
      <c r="G1088" s="2">
        <v>21344.846699999998</v>
      </c>
      <c r="H1088" t="str" cm="1">
        <f t="array" ref="H1088">_xlfn.IFS(A1088&lt;=30, "Youth", A1088&lt;=50, "Adult", A1088&gt;50, "Older")</f>
        <v>Older</v>
      </c>
      <c r="I1088" t="str" cm="1">
        <f t="array" ref="I1088">_xlfn.IFS(A1088&lt;=25,"18-25",A1088&lt;=35,"26-35",A1088&lt;=45,"36-45",A1088&lt;=60,"46-60",A1088&gt;60,"60+")</f>
        <v>46-60</v>
      </c>
      <c r="J1088" t="str" cm="1">
        <f t="array" ref="J1088">_xlfn.IFS(C1088&lt;18.5,"Underweight",C1088&lt;25,"Normal",C1088&lt;30,"Overweight",C1088&gt;=30,"Obese")</f>
        <v>Obese</v>
      </c>
      <c r="K1088" t="str" cm="1">
        <f t="array" ref="K1088">_xlfn.IFS(G1088&lt;10000, "Low", G1088&lt;=25000, "Medium", G1088&gt;25000, "High")</f>
        <v>Medium</v>
      </c>
    </row>
    <row r="1089" spans="1:11" x14ac:dyDescent="0.3">
      <c r="A1089">
        <v>54</v>
      </c>
      <c r="B1089" s="1" t="s">
        <v>8</v>
      </c>
      <c r="C1089">
        <v>36.1</v>
      </c>
      <c r="D1089">
        <v>2</v>
      </c>
      <c r="E1089" t="s">
        <v>10</v>
      </c>
      <c r="F1089" t="s">
        <v>12</v>
      </c>
      <c r="G1089" s="2">
        <v>21348.705999999998</v>
      </c>
      <c r="H1089" t="str" cm="1">
        <f t="array" ref="H1089">_xlfn.IFS(A1089&lt;=30, "Youth", A1089&lt;=50, "Adult", A1089&gt;50, "Older")</f>
        <v>Older</v>
      </c>
      <c r="I1089" t="str" cm="1">
        <f t="array" ref="I1089">_xlfn.IFS(A1089&lt;=25,"18-25",A1089&lt;=35,"26-35",A1089&lt;=45,"36-45",A1089&lt;=60,"46-60",A1089&gt;60,"60+")</f>
        <v>46-60</v>
      </c>
      <c r="J1089" t="str" cm="1">
        <f t="array" ref="J1089">_xlfn.IFS(C1089&lt;18.5,"Underweight",C1089&lt;25,"Normal",C1089&lt;30,"Overweight",C1089&gt;=30,"Obese")</f>
        <v>Obese</v>
      </c>
      <c r="K1089" t="str" cm="1">
        <f t="array" ref="K1089">_xlfn.IFS(G1089&lt;10000, "Low", G1089&lt;=25000, "Medium", G1089&gt;25000, "High")</f>
        <v>Medium</v>
      </c>
    </row>
    <row r="1090" spans="1:11" x14ac:dyDescent="0.3">
      <c r="A1090">
        <v>54</v>
      </c>
      <c r="B1090" s="1" t="s">
        <v>8</v>
      </c>
      <c r="C1090">
        <v>36.19</v>
      </c>
      <c r="D1090">
        <v>2</v>
      </c>
      <c r="E1090" t="s">
        <v>10</v>
      </c>
      <c r="F1090" t="s">
        <v>11</v>
      </c>
      <c r="G1090" s="2">
        <v>21472.478800000001</v>
      </c>
      <c r="H1090" t="str" cm="1">
        <f t="array" ref="H1090">_xlfn.IFS(A1090&lt;=30, "Youth", A1090&lt;=50, "Adult", A1090&gt;50, "Older")</f>
        <v>Older</v>
      </c>
      <c r="I1090" t="str" cm="1">
        <f t="array" ref="I1090">_xlfn.IFS(A1090&lt;=25,"18-25",A1090&lt;=35,"26-35",A1090&lt;=45,"36-45",A1090&lt;=60,"46-60",A1090&gt;60,"60+")</f>
        <v>46-60</v>
      </c>
      <c r="J1090" t="str" cm="1">
        <f t="array" ref="J1090">_xlfn.IFS(C1090&lt;18.5,"Underweight",C1090&lt;25,"Normal",C1090&lt;30,"Overweight",C1090&gt;=30,"Obese")</f>
        <v>Obese</v>
      </c>
      <c r="K1090" t="str" cm="1">
        <f t="array" ref="K1090">_xlfn.IFS(G1090&lt;10000, "Low", G1090&lt;=25000, "Medium", G1090&gt;25000, "High")</f>
        <v>Medium</v>
      </c>
    </row>
    <row r="1091" spans="1:11" x14ac:dyDescent="0.3">
      <c r="A1091">
        <v>54</v>
      </c>
      <c r="B1091" s="1" t="s">
        <v>8</v>
      </c>
      <c r="C1091">
        <v>36.19</v>
      </c>
      <c r="D1091">
        <v>2</v>
      </c>
      <c r="E1091" t="s">
        <v>9</v>
      </c>
      <c r="F1091" t="s">
        <v>12</v>
      </c>
      <c r="G1091" s="2">
        <v>21595.382290000001</v>
      </c>
      <c r="H1091" t="str" cm="1">
        <f t="array" ref="H1091">_xlfn.IFS(A1091&lt;=30, "Youth", A1091&lt;=50, "Adult", A1091&gt;50, "Older")</f>
        <v>Older</v>
      </c>
      <c r="I1091" t="str" cm="1">
        <f t="array" ref="I1091">_xlfn.IFS(A1091&lt;=25,"18-25",A1091&lt;=35,"26-35",A1091&lt;=45,"36-45",A1091&lt;=60,"46-60",A1091&gt;60,"60+")</f>
        <v>46-60</v>
      </c>
      <c r="J1091" t="str" cm="1">
        <f t="array" ref="J1091">_xlfn.IFS(C1091&lt;18.5,"Underweight",C1091&lt;25,"Normal",C1091&lt;30,"Overweight",C1091&gt;=30,"Obese")</f>
        <v>Obese</v>
      </c>
      <c r="K1091" t="str" cm="1">
        <f t="array" ref="K1091">_xlfn.IFS(G1091&lt;10000, "Low", G1091&lt;=25000, "Medium", G1091&gt;25000, "High")</f>
        <v>Medium</v>
      </c>
    </row>
    <row r="1092" spans="1:11" x14ac:dyDescent="0.3">
      <c r="A1092">
        <v>54</v>
      </c>
      <c r="B1092" s="1" t="s">
        <v>7</v>
      </c>
      <c r="C1092">
        <v>36.19</v>
      </c>
      <c r="D1092">
        <v>2</v>
      </c>
      <c r="E1092" t="s">
        <v>10</v>
      </c>
      <c r="F1092" t="s">
        <v>14</v>
      </c>
      <c r="G1092" s="2">
        <v>21659.930100000001</v>
      </c>
      <c r="H1092" t="str" cm="1">
        <f t="array" ref="H1092">_xlfn.IFS(A1092&lt;=30, "Youth", A1092&lt;=50, "Adult", A1092&gt;50, "Older")</f>
        <v>Older</v>
      </c>
      <c r="I1092" t="str" cm="1">
        <f t="array" ref="I1092">_xlfn.IFS(A1092&lt;=25,"18-25",A1092&lt;=35,"26-35",A1092&lt;=45,"36-45",A1092&lt;=60,"46-60",A1092&gt;60,"60+")</f>
        <v>46-60</v>
      </c>
      <c r="J1092" t="str" cm="1">
        <f t="array" ref="J1092">_xlfn.IFS(C1092&lt;18.5,"Underweight",C1092&lt;25,"Normal",C1092&lt;30,"Overweight",C1092&gt;=30,"Obese")</f>
        <v>Obese</v>
      </c>
      <c r="K1092" t="str" cm="1">
        <f t="array" ref="K1092">_xlfn.IFS(G1092&lt;10000, "Low", G1092&lt;=25000, "Medium", G1092&gt;25000, "High")</f>
        <v>Medium</v>
      </c>
    </row>
    <row r="1093" spans="1:11" x14ac:dyDescent="0.3">
      <c r="A1093">
        <v>54</v>
      </c>
      <c r="B1093" s="1" t="s">
        <v>8</v>
      </c>
      <c r="C1093">
        <v>36.195</v>
      </c>
      <c r="D1093">
        <v>2</v>
      </c>
      <c r="E1093" t="s">
        <v>10</v>
      </c>
      <c r="F1093" t="s">
        <v>11</v>
      </c>
      <c r="G1093" s="2">
        <v>21677.283449999999</v>
      </c>
      <c r="H1093" t="str" cm="1">
        <f t="array" ref="H1093">_xlfn.IFS(A1093&lt;=30, "Youth", A1093&lt;=50, "Adult", A1093&gt;50, "Older")</f>
        <v>Older</v>
      </c>
      <c r="I1093" t="str" cm="1">
        <f t="array" ref="I1093">_xlfn.IFS(A1093&lt;=25,"18-25",A1093&lt;=35,"26-35",A1093&lt;=45,"36-45",A1093&lt;=60,"46-60",A1093&gt;60,"60+")</f>
        <v>46-60</v>
      </c>
      <c r="J1093" t="str" cm="1">
        <f t="array" ref="J1093">_xlfn.IFS(C1093&lt;18.5,"Underweight",C1093&lt;25,"Normal",C1093&lt;30,"Overweight",C1093&gt;=30,"Obese")</f>
        <v>Obese</v>
      </c>
      <c r="K1093" t="str" cm="1">
        <f t="array" ref="K1093">_xlfn.IFS(G1093&lt;10000, "Low", G1093&lt;=25000, "Medium", G1093&gt;25000, "High")</f>
        <v>Medium</v>
      </c>
    </row>
    <row r="1094" spans="1:11" x14ac:dyDescent="0.3">
      <c r="A1094">
        <v>54</v>
      </c>
      <c r="B1094" s="1" t="s">
        <v>7</v>
      </c>
      <c r="C1094">
        <v>36.200000000000003</v>
      </c>
      <c r="D1094">
        <v>2</v>
      </c>
      <c r="E1094" t="s">
        <v>9</v>
      </c>
      <c r="F1094" t="s">
        <v>13</v>
      </c>
      <c r="G1094" s="2">
        <v>21771.3423</v>
      </c>
      <c r="H1094" t="str" cm="1">
        <f t="array" ref="H1094">_xlfn.IFS(A1094&lt;=30, "Youth", A1094&lt;=50, "Adult", A1094&gt;50, "Older")</f>
        <v>Older</v>
      </c>
      <c r="I1094" t="str" cm="1">
        <f t="array" ref="I1094">_xlfn.IFS(A1094&lt;=25,"18-25",A1094&lt;=35,"26-35",A1094&lt;=45,"36-45",A1094&lt;=60,"46-60",A1094&gt;60,"60+")</f>
        <v>46-60</v>
      </c>
      <c r="J1094" t="str" cm="1">
        <f t="array" ref="J1094">_xlfn.IFS(C1094&lt;18.5,"Underweight",C1094&lt;25,"Normal",C1094&lt;30,"Overweight",C1094&gt;=30,"Obese")</f>
        <v>Obese</v>
      </c>
      <c r="K1094" t="str" cm="1">
        <f t="array" ref="K1094">_xlfn.IFS(G1094&lt;10000, "Low", G1094&lt;=25000, "Medium", G1094&gt;25000, "High")</f>
        <v>Medium</v>
      </c>
    </row>
    <row r="1095" spans="1:11" x14ac:dyDescent="0.3">
      <c r="A1095">
        <v>54</v>
      </c>
      <c r="B1095" s="1" t="s">
        <v>7</v>
      </c>
      <c r="C1095">
        <v>36.200000000000003</v>
      </c>
      <c r="D1095">
        <v>2</v>
      </c>
      <c r="E1095" t="s">
        <v>10</v>
      </c>
      <c r="F1095" t="s">
        <v>11</v>
      </c>
      <c r="G1095" s="2">
        <v>21774.32215</v>
      </c>
      <c r="H1095" t="str" cm="1">
        <f t="array" ref="H1095">_xlfn.IFS(A1095&lt;=30, "Youth", A1095&lt;=50, "Adult", A1095&gt;50, "Older")</f>
        <v>Older</v>
      </c>
      <c r="I1095" t="str" cm="1">
        <f t="array" ref="I1095">_xlfn.IFS(A1095&lt;=25,"18-25",A1095&lt;=35,"26-35",A1095&lt;=45,"36-45",A1095&lt;=60,"46-60",A1095&gt;60,"60+")</f>
        <v>46-60</v>
      </c>
      <c r="J1095" t="str" cm="1">
        <f t="array" ref="J1095">_xlfn.IFS(C1095&lt;18.5,"Underweight",C1095&lt;25,"Normal",C1095&lt;30,"Overweight",C1095&gt;=30,"Obese")</f>
        <v>Obese</v>
      </c>
      <c r="K1095" t="str" cm="1">
        <f t="array" ref="K1095">_xlfn.IFS(G1095&lt;10000, "Low", G1095&lt;=25000, "Medium", G1095&gt;25000, "High")</f>
        <v>Medium</v>
      </c>
    </row>
    <row r="1096" spans="1:11" x14ac:dyDescent="0.3">
      <c r="A1096">
        <v>54</v>
      </c>
      <c r="B1096" s="1" t="s">
        <v>7</v>
      </c>
      <c r="C1096">
        <v>36.29</v>
      </c>
      <c r="D1096">
        <v>2</v>
      </c>
      <c r="E1096" t="s">
        <v>10</v>
      </c>
      <c r="F1096" t="s">
        <v>14</v>
      </c>
      <c r="G1096" s="2">
        <v>21797.000400000001</v>
      </c>
      <c r="H1096" t="str" cm="1">
        <f t="array" ref="H1096">_xlfn.IFS(A1096&lt;=30, "Youth", A1096&lt;=50, "Adult", A1096&gt;50, "Older")</f>
        <v>Older</v>
      </c>
      <c r="I1096" t="str" cm="1">
        <f t="array" ref="I1096">_xlfn.IFS(A1096&lt;=25,"18-25",A1096&lt;=35,"26-35",A1096&lt;=45,"36-45",A1096&lt;=60,"46-60",A1096&gt;60,"60+")</f>
        <v>46-60</v>
      </c>
      <c r="J1096" t="str" cm="1">
        <f t="array" ref="J1096">_xlfn.IFS(C1096&lt;18.5,"Underweight",C1096&lt;25,"Normal",C1096&lt;30,"Overweight",C1096&gt;=30,"Obese")</f>
        <v>Obese</v>
      </c>
      <c r="K1096" t="str" cm="1">
        <f t="array" ref="K1096">_xlfn.IFS(G1096&lt;10000, "Low", G1096&lt;=25000, "Medium", G1096&gt;25000, "High")</f>
        <v>Medium</v>
      </c>
    </row>
    <row r="1097" spans="1:11" x14ac:dyDescent="0.3">
      <c r="A1097">
        <v>55</v>
      </c>
      <c r="B1097" s="1" t="s">
        <v>7</v>
      </c>
      <c r="C1097">
        <v>36.299999999999997</v>
      </c>
      <c r="D1097">
        <v>2</v>
      </c>
      <c r="E1097" t="s">
        <v>9</v>
      </c>
      <c r="F1097" t="s">
        <v>14</v>
      </c>
      <c r="G1097" s="2">
        <v>21880.82</v>
      </c>
      <c r="H1097" t="str" cm="1">
        <f t="array" ref="H1097">_xlfn.IFS(A1097&lt;=30, "Youth", A1097&lt;=50, "Adult", A1097&gt;50, "Older")</f>
        <v>Older</v>
      </c>
      <c r="I1097" t="str" cm="1">
        <f t="array" ref="I1097">_xlfn.IFS(A1097&lt;=25,"18-25",A1097&lt;=35,"26-35",A1097&lt;=45,"36-45",A1097&lt;=60,"46-60",A1097&gt;60,"60+")</f>
        <v>46-60</v>
      </c>
      <c r="J1097" t="str" cm="1">
        <f t="array" ref="J1097">_xlfn.IFS(C1097&lt;18.5,"Underweight",C1097&lt;25,"Normal",C1097&lt;30,"Overweight",C1097&gt;=30,"Obese")</f>
        <v>Obese</v>
      </c>
      <c r="K1097" t="str" cm="1">
        <f t="array" ref="K1097">_xlfn.IFS(G1097&lt;10000, "Low", G1097&lt;=25000, "Medium", G1097&gt;25000, "High")</f>
        <v>Medium</v>
      </c>
    </row>
    <row r="1098" spans="1:11" x14ac:dyDescent="0.3">
      <c r="A1098">
        <v>55</v>
      </c>
      <c r="B1098" s="1" t="s">
        <v>8</v>
      </c>
      <c r="C1098">
        <v>36.299999999999997</v>
      </c>
      <c r="D1098">
        <v>2</v>
      </c>
      <c r="E1098" t="s">
        <v>10</v>
      </c>
      <c r="F1098" t="s">
        <v>12</v>
      </c>
      <c r="G1098" s="2">
        <v>21978.676899999999</v>
      </c>
      <c r="H1098" t="str" cm="1">
        <f t="array" ref="H1098">_xlfn.IFS(A1098&lt;=30, "Youth", A1098&lt;=50, "Adult", A1098&gt;50, "Older")</f>
        <v>Older</v>
      </c>
      <c r="I1098" t="str" cm="1">
        <f t="array" ref="I1098">_xlfn.IFS(A1098&lt;=25,"18-25",A1098&lt;=35,"26-35",A1098&lt;=45,"36-45",A1098&lt;=60,"46-60",A1098&gt;60,"60+")</f>
        <v>46-60</v>
      </c>
      <c r="J1098" t="str" cm="1">
        <f t="array" ref="J1098">_xlfn.IFS(C1098&lt;18.5,"Underweight",C1098&lt;25,"Normal",C1098&lt;30,"Overweight",C1098&gt;=30,"Obese")</f>
        <v>Obese</v>
      </c>
      <c r="K1098" t="str" cm="1">
        <f t="array" ref="K1098">_xlfn.IFS(G1098&lt;10000, "Low", G1098&lt;=25000, "Medium", G1098&gt;25000, "High")</f>
        <v>Medium</v>
      </c>
    </row>
    <row r="1099" spans="1:11" x14ac:dyDescent="0.3">
      <c r="A1099">
        <v>55</v>
      </c>
      <c r="B1099" s="1" t="s">
        <v>7</v>
      </c>
      <c r="C1099">
        <v>36.299999999999997</v>
      </c>
      <c r="D1099">
        <v>2</v>
      </c>
      <c r="E1099" t="s">
        <v>10</v>
      </c>
      <c r="F1099" t="s">
        <v>14</v>
      </c>
      <c r="G1099" s="2">
        <v>21984.47061</v>
      </c>
      <c r="H1099" t="str" cm="1">
        <f t="array" ref="H1099">_xlfn.IFS(A1099&lt;=30, "Youth", A1099&lt;=50, "Adult", A1099&gt;50, "Older")</f>
        <v>Older</v>
      </c>
      <c r="I1099" t="str" cm="1">
        <f t="array" ref="I1099">_xlfn.IFS(A1099&lt;=25,"18-25",A1099&lt;=35,"26-35",A1099&lt;=45,"36-45",A1099&lt;=60,"46-60",A1099&gt;60,"60+")</f>
        <v>46-60</v>
      </c>
      <c r="J1099" t="str" cm="1">
        <f t="array" ref="J1099">_xlfn.IFS(C1099&lt;18.5,"Underweight",C1099&lt;25,"Normal",C1099&lt;30,"Overweight",C1099&gt;=30,"Obese")</f>
        <v>Obese</v>
      </c>
      <c r="K1099" t="str" cm="1">
        <f t="array" ref="K1099">_xlfn.IFS(G1099&lt;10000, "Low", G1099&lt;=25000, "Medium", G1099&gt;25000, "High")</f>
        <v>Medium</v>
      </c>
    </row>
    <row r="1100" spans="1:11" x14ac:dyDescent="0.3">
      <c r="A1100">
        <v>55</v>
      </c>
      <c r="B1100" s="1" t="s">
        <v>7</v>
      </c>
      <c r="C1100">
        <v>36.299999999999997</v>
      </c>
      <c r="D1100">
        <v>2</v>
      </c>
      <c r="E1100" t="s">
        <v>10</v>
      </c>
      <c r="F1100" t="s">
        <v>12</v>
      </c>
      <c r="G1100" s="2">
        <v>22144.031999999999</v>
      </c>
      <c r="H1100" t="str" cm="1">
        <f t="array" ref="H1100">_xlfn.IFS(A1100&lt;=30, "Youth", A1100&lt;=50, "Adult", A1100&gt;50, "Older")</f>
        <v>Older</v>
      </c>
      <c r="I1100" t="str" cm="1">
        <f t="array" ref="I1100">_xlfn.IFS(A1100&lt;=25,"18-25",A1100&lt;=35,"26-35",A1100&lt;=45,"36-45",A1100&lt;=60,"46-60",A1100&gt;60,"60+")</f>
        <v>46-60</v>
      </c>
      <c r="J1100" t="str" cm="1">
        <f t="array" ref="J1100">_xlfn.IFS(C1100&lt;18.5,"Underweight",C1100&lt;25,"Normal",C1100&lt;30,"Overweight",C1100&gt;=30,"Obese")</f>
        <v>Obese</v>
      </c>
      <c r="K1100" t="str" cm="1">
        <f t="array" ref="K1100">_xlfn.IFS(G1100&lt;10000, "Low", G1100&lt;=25000, "Medium", G1100&gt;25000, "High")</f>
        <v>Medium</v>
      </c>
    </row>
    <row r="1101" spans="1:11" x14ac:dyDescent="0.3">
      <c r="A1101">
        <v>55</v>
      </c>
      <c r="B1101" s="1" t="s">
        <v>7</v>
      </c>
      <c r="C1101">
        <v>36.384999999999998</v>
      </c>
      <c r="D1101">
        <v>2</v>
      </c>
      <c r="E1101" t="s">
        <v>9</v>
      </c>
      <c r="F1101" t="s">
        <v>14</v>
      </c>
      <c r="G1101" s="2">
        <v>22192.437109999999</v>
      </c>
      <c r="H1101" t="str" cm="1">
        <f t="array" ref="H1101">_xlfn.IFS(A1101&lt;=30, "Youth", A1101&lt;=50, "Adult", A1101&gt;50, "Older")</f>
        <v>Older</v>
      </c>
      <c r="I1101" t="str" cm="1">
        <f t="array" ref="I1101">_xlfn.IFS(A1101&lt;=25,"18-25",A1101&lt;=35,"26-35",A1101&lt;=45,"36-45",A1101&lt;=60,"46-60",A1101&gt;60,"60+")</f>
        <v>46-60</v>
      </c>
      <c r="J1101" t="str" cm="1">
        <f t="array" ref="J1101">_xlfn.IFS(C1101&lt;18.5,"Underweight",C1101&lt;25,"Normal",C1101&lt;30,"Overweight",C1101&gt;=30,"Obese")</f>
        <v>Obese</v>
      </c>
      <c r="K1101" t="str" cm="1">
        <f t="array" ref="K1101">_xlfn.IFS(G1101&lt;10000, "Low", G1101&lt;=25000, "Medium", G1101&gt;25000, "High")</f>
        <v>Medium</v>
      </c>
    </row>
    <row r="1102" spans="1:11" x14ac:dyDescent="0.3">
      <c r="A1102">
        <v>55</v>
      </c>
      <c r="B1102" s="1" t="s">
        <v>8</v>
      </c>
      <c r="C1102">
        <v>36.384999999999998</v>
      </c>
      <c r="D1102">
        <v>2</v>
      </c>
      <c r="E1102" t="s">
        <v>10</v>
      </c>
      <c r="F1102" t="s">
        <v>11</v>
      </c>
      <c r="G1102" s="2">
        <v>22218.1149</v>
      </c>
      <c r="H1102" t="str" cm="1">
        <f t="array" ref="H1102">_xlfn.IFS(A1102&lt;=30, "Youth", A1102&lt;=50, "Adult", A1102&gt;50, "Older")</f>
        <v>Older</v>
      </c>
      <c r="I1102" t="str" cm="1">
        <f t="array" ref="I1102">_xlfn.IFS(A1102&lt;=25,"18-25",A1102&lt;=35,"26-35",A1102&lt;=45,"36-45",A1102&lt;=60,"46-60",A1102&gt;60,"60+")</f>
        <v>46-60</v>
      </c>
      <c r="J1102" t="str" cm="1">
        <f t="array" ref="J1102">_xlfn.IFS(C1102&lt;18.5,"Underweight",C1102&lt;25,"Normal",C1102&lt;30,"Overweight",C1102&gt;=30,"Obese")</f>
        <v>Obese</v>
      </c>
      <c r="K1102" t="str" cm="1">
        <f t="array" ref="K1102">_xlfn.IFS(G1102&lt;10000, "Low", G1102&lt;=25000, "Medium", G1102&gt;25000, "High")</f>
        <v>Medium</v>
      </c>
    </row>
    <row r="1103" spans="1:11" x14ac:dyDescent="0.3">
      <c r="A1103">
        <v>55</v>
      </c>
      <c r="B1103" s="1" t="s">
        <v>8</v>
      </c>
      <c r="C1103">
        <v>36.4</v>
      </c>
      <c r="D1103">
        <v>2</v>
      </c>
      <c r="E1103" t="s">
        <v>10</v>
      </c>
      <c r="F1103" t="s">
        <v>12</v>
      </c>
      <c r="G1103" s="2">
        <v>22331.566800000001</v>
      </c>
      <c r="H1103" t="str" cm="1">
        <f t="array" ref="H1103">_xlfn.IFS(A1103&lt;=30, "Youth", A1103&lt;=50, "Adult", A1103&gt;50, "Older")</f>
        <v>Older</v>
      </c>
      <c r="I1103" t="str" cm="1">
        <f t="array" ref="I1103">_xlfn.IFS(A1103&lt;=25,"18-25",A1103&lt;=35,"26-35",A1103&lt;=45,"36-45",A1103&lt;=60,"46-60",A1103&gt;60,"60+")</f>
        <v>46-60</v>
      </c>
      <c r="J1103" t="str" cm="1">
        <f t="array" ref="J1103">_xlfn.IFS(C1103&lt;18.5,"Underweight",C1103&lt;25,"Normal",C1103&lt;30,"Overweight",C1103&gt;=30,"Obese")</f>
        <v>Obese</v>
      </c>
      <c r="K1103" t="str" cm="1">
        <f t="array" ref="K1103">_xlfn.IFS(G1103&lt;10000, "Low", G1103&lt;=25000, "Medium", G1103&gt;25000, "High")</f>
        <v>Medium</v>
      </c>
    </row>
    <row r="1104" spans="1:11" x14ac:dyDescent="0.3">
      <c r="A1104">
        <v>55</v>
      </c>
      <c r="B1104" s="1" t="s">
        <v>8</v>
      </c>
      <c r="C1104">
        <v>36.479999999999997</v>
      </c>
      <c r="D1104">
        <v>2</v>
      </c>
      <c r="E1104" t="s">
        <v>10</v>
      </c>
      <c r="F1104" t="s">
        <v>12</v>
      </c>
      <c r="G1104" s="2">
        <v>22395.74424</v>
      </c>
      <c r="H1104" t="str" cm="1">
        <f t="array" ref="H1104">_xlfn.IFS(A1104&lt;=30, "Youth", A1104&lt;=50, "Adult", A1104&gt;50, "Older")</f>
        <v>Older</v>
      </c>
      <c r="I1104" t="str" cm="1">
        <f t="array" ref="I1104">_xlfn.IFS(A1104&lt;=25,"18-25",A1104&lt;=35,"26-35",A1104&lt;=45,"36-45",A1104&lt;=60,"46-60",A1104&gt;60,"60+")</f>
        <v>46-60</v>
      </c>
      <c r="J1104" t="str" cm="1">
        <f t="array" ref="J1104">_xlfn.IFS(C1104&lt;18.5,"Underweight",C1104&lt;25,"Normal",C1104&lt;30,"Overweight",C1104&gt;=30,"Obese")</f>
        <v>Obese</v>
      </c>
      <c r="K1104" t="str" cm="1">
        <f t="array" ref="K1104">_xlfn.IFS(G1104&lt;10000, "Low", G1104&lt;=25000, "Medium", G1104&gt;25000, "High")</f>
        <v>Medium</v>
      </c>
    </row>
    <row r="1105" spans="1:11" x14ac:dyDescent="0.3">
      <c r="A1105">
        <v>55</v>
      </c>
      <c r="B1105" s="1" t="s">
        <v>8</v>
      </c>
      <c r="C1105">
        <v>36.479999999999997</v>
      </c>
      <c r="D1105">
        <v>2</v>
      </c>
      <c r="E1105" t="s">
        <v>10</v>
      </c>
      <c r="F1105" t="s">
        <v>11</v>
      </c>
      <c r="G1105" s="2">
        <v>22412.648499999999</v>
      </c>
      <c r="H1105" t="str" cm="1">
        <f t="array" ref="H1105">_xlfn.IFS(A1105&lt;=30, "Youth", A1105&lt;=50, "Adult", A1105&gt;50, "Older")</f>
        <v>Older</v>
      </c>
      <c r="I1105" t="str" cm="1">
        <f t="array" ref="I1105">_xlfn.IFS(A1105&lt;=25,"18-25",A1105&lt;=35,"26-35",A1105&lt;=45,"36-45",A1105&lt;=60,"46-60",A1105&gt;60,"60+")</f>
        <v>46-60</v>
      </c>
      <c r="J1105" t="str" cm="1">
        <f t="array" ref="J1105">_xlfn.IFS(C1105&lt;18.5,"Underweight",C1105&lt;25,"Normal",C1105&lt;30,"Overweight",C1105&gt;=30,"Obese")</f>
        <v>Obese</v>
      </c>
      <c r="K1105" t="str" cm="1">
        <f t="array" ref="K1105">_xlfn.IFS(G1105&lt;10000, "Low", G1105&lt;=25000, "Medium", G1105&gt;25000, "High")</f>
        <v>Medium</v>
      </c>
    </row>
    <row r="1106" spans="1:11" x14ac:dyDescent="0.3">
      <c r="A1106">
        <v>55</v>
      </c>
      <c r="B1106" s="1" t="s">
        <v>7</v>
      </c>
      <c r="C1106">
        <v>36.479999999999997</v>
      </c>
      <c r="D1106">
        <v>2</v>
      </c>
      <c r="E1106" t="s">
        <v>10</v>
      </c>
      <c r="F1106" t="s">
        <v>12</v>
      </c>
      <c r="G1106" s="2">
        <v>22462.043750000001</v>
      </c>
      <c r="H1106" t="str" cm="1">
        <f t="array" ref="H1106">_xlfn.IFS(A1106&lt;=30, "Youth", A1106&lt;=50, "Adult", A1106&gt;50, "Older")</f>
        <v>Older</v>
      </c>
      <c r="I1106" t="str" cm="1">
        <f t="array" ref="I1106">_xlfn.IFS(A1106&lt;=25,"18-25",A1106&lt;=35,"26-35",A1106&lt;=45,"36-45",A1106&lt;=60,"46-60",A1106&gt;60,"60+")</f>
        <v>46-60</v>
      </c>
      <c r="J1106" t="str" cm="1">
        <f t="array" ref="J1106">_xlfn.IFS(C1106&lt;18.5,"Underweight",C1106&lt;25,"Normal",C1106&lt;30,"Overweight",C1106&gt;=30,"Obese")</f>
        <v>Obese</v>
      </c>
      <c r="K1106" t="str" cm="1">
        <f t="array" ref="K1106">_xlfn.IFS(G1106&lt;10000, "Low", G1106&lt;=25000, "Medium", G1106&gt;25000, "High")</f>
        <v>Medium</v>
      </c>
    </row>
    <row r="1107" spans="1:11" x14ac:dyDescent="0.3">
      <c r="A1107">
        <v>55</v>
      </c>
      <c r="B1107" s="1" t="s">
        <v>7</v>
      </c>
      <c r="C1107">
        <v>36.520000000000003</v>
      </c>
      <c r="D1107">
        <v>2</v>
      </c>
      <c r="E1107" t="s">
        <v>10</v>
      </c>
      <c r="F1107" t="s">
        <v>13</v>
      </c>
      <c r="G1107" s="2">
        <v>22478.6</v>
      </c>
      <c r="H1107" t="str" cm="1">
        <f t="array" ref="H1107">_xlfn.IFS(A1107&lt;=30, "Youth", A1107&lt;=50, "Adult", A1107&gt;50, "Older")</f>
        <v>Older</v>
      </c>
      <c r="I1107" t="str" cm="1">
        <f t="array" ref="I1107">_xlfn.IFS(A1107&lt;=25,"18-25",A1107&lt;=35,"26-35",A1107&lt;=45,"36-45",A1107&lt;=60,"46-60",A1107&gt;60,"60+")</f>
        <v>46-60</v>
      </c>
      <c r="J1107" t="str" cm="1">
        <f t="array" ref="J1107">_xlfn.IFS(C1107&lt;18.5,"Underweight",C1107&lt;25,"Normal",C1107&lt;30,"Overweight",C1107&gt;=30,"Obese")</f>
        <v>Obese</v>
      </c>
      <c r="K1107" t="str" cm="1">
        <f t="array" ref="K1107">_xlfn.IFS(G1107&lt;10000, "Low", G1107&lt;=25000, "Medium", G1107&gt;25000, "High")</f>
        <v>Medium</v>
      </c>
    </row>
    <row r="1108" spans="1:11" x14ac:dyDescent="0.3">
      <c r="A1108">
        <v>55</v>
      </c>
      <c r="B1108" s="1" t="s">
        <v>7</v>
      </c>
      <c r="C1108">
        <v>36.575000000000003</v>
      </c>
      <c r="D1108">
        <v>2</v>
      </c>
      <c r="E1108" t="s">
        <v>10</v>
      </c>
      <c r="F1108" t="s">
        <v>13</v>
      </c>
      <c r="G1108" s="2">
        <v>22493.659640000002</v>
      </c>
      <c r="H1108" t="str" cm="1">
        <f t="array" ref="H1108">_xlfn.IFS(A1108&lt;=30, "Youth", A1108&lt;=50, "Adult", A1108&gt;50, "Older")</f>
        <v>Older</v>
      </c>
      <c r="I1108" t="str" cm="1">
        <f t="array" ref="I1108">_xlfn.IFS(A1108&lt;=25,"18-25",A1108&lt;=35,"26-35",A1108&lt;=45,"36-45",A1108&lt;=60,"46-60",A1108&gt;60,"60+")</f>
        <v>46-60</v>
      </c>
      <c r="J1108" t="str" cm="1">
        <f t="array" ref="J1108">_xlfn.IFS(C1108&lt;18.5,"Underweight",C1108&lt;25,"Normal",C1108&lt;30,"Overweight",C1108&gt;=30,"Obese")</f>
        <v>Obese</v>
      </c>
      <c r="K1108" t="str" cm="1">
        <f t="array" ref="K1108">_xlfn.IFS(G1108&lt;10000, "Low", G1108&lt;=25000, "Medium", G1108&gt;25000, "High")</f>
        <v>Medium</v>
      </c>
    </row>
    <row r="1109" spans="1:11" x14ac:dyDescent="0.3">
      <c r="A1109">
        <v>55</v>
      </c>
      <c r="B1109" s="1" t="s">
        <v>8</v>
      </c>
      <c r="C1109">
        <v>36.575000000000003</v>
      </c>
      <c r="D1109">
        <v>2</v>
      </c>
      <c r="E1109" t="s">
        <v>10</v>
      </c>
      <c r="F1109" t="s">
        <v>11</v>
      </c>
      <c r="G1109" s="2">
        <v>23045.566159999998</v>
      </c>
      <c r="H1109" t="str" cm="1">
        <f t="array" ref="H1109">_xlfn.IFS(A1109&lt;=30, "Youth", A1109&lt;=50, "Adult", A1109&gt;50, "Older")</f>
        <v>Older</v>
      </c>
      <c r="I1109" t="str" cm="1">
        <f t="array" ref="I1109">_xlfn.IFS(A1109&lt;=25,"18-25",A1109&lt;=35,"26-35",A1109&lt;=45,"36-45",A1109&lt;=60,"46-60",A1109&gt;60,"60+")</f>
        <v>46-60</v>
      </c>
      <c r="J1109" t="str" cm="1">
        <f t="array" ref="J1109">_xlfn.IFS(C1109&lt;18.5,"Underweight",C1109&lt;25,"Normal",C1109&lt;30,"Overweight",C1109&gt;=30,"Obese")</f>
        <v>Obese</v>
      </c>
      <c r="K1109" t="str" cm="1">
        <f t="array" ref="K1109">_xlfn.IFS(G1109&lt;10000, "Low", G1109&lt;=25000, "Medium", G1109&gt;25000, "High")</f>
        <v>Medium</v>
      </c>
    </row>
    <row r="1110" spans="1:11" x14ac:dyDescent="0.3">
      <c r="A1110">
        <v>55</v>
      </c>
      <c r="B1110" s="1" t="s">
        <v>8</v>
      </c>
      <c r="C1110">
        <v>36.6</v>
      </c>
      <c r="D1110">
        <v>2</v>
      </c>
      <c r="E1110" t="s">
        <v>10</v>
      </c>
      <c r="F1110" t="s">
        <v>12</v>
      </c>
      <c r="G1110" s="2">
        <v>23065.420699999999</v>
      </c>
      <c r="H1110" t="str" cm="1">
        <f t="array" ref="H1110">_xlfn.IFS(A1110&lt;=30, "Youth", A1110&lt;=50, "Adult", A1110&gt;50, "Older")</f>
        <v>Older</v>
      </c>
      <c r="I1110" t="str" cm="1">
        <f t="array" ref="I1110">_xlfn.IFS(A1110&lt;=25,"18-25",A1110&lt;=35,"26-35",A1110&lt;=45,"36-45",A1110&lt;=60,"46-60",A1110&gt;60,"60+")</f>
        <v>46-60</v>
      </c>
      <c r="J1110" t="str" cm="1">
        <f t="array" ref="J1110">_xlfn.IFS(C1110&lt;18.5,"Underweight",C1110&lt;25,"Normal",C1110&lt;30,"Overweight",C1110&gt;=30,"Obese")</f>
        <v>Obese</v>
      </c>
      <c r="K1110" t="str" cm="1">
        <f t="array" ref="K1110">_xlfn.IFS(G1110&lt;10000, "Low", G1110&lt;=25000, "Medium", G1110&gt;25000, "High")</f>
        <v>Medium</v>
      </c>
    </row>
    <row r="1111" spans="1:11" x14ac:dyDescent="0.3">
      <c r="A1111">
        <v>55</v>
      </c>
      <c r="B1111" s="1" t="s">
        <v>7</v>
      </c>
      <c r="C1111">
        <v>36.630000000000003</v>
      </c>
      <c r="D1111">
        <v>2</v>
      </c>
      <c r="E1111" t="s">
        <v>10</v>
      </c>
      <c r="F1111" t="s">
        <v>14</v>
      </c>
      <c r="G1111" s="2">
        <v>23082.955330000001</v>
      </c>
      <c r="H1111" t="str" cm="1">
        <f t="array" ref="H1111">_xlfn.IFS(A1111&lt;=30, "Youth", A1111&lt;=50, "Adult", A1111&gt;50, "Older")</f>
        <v>Older</v>
      </c>
      <c r="I1111" t="str" cm="1">
        <f t="array" ref="I1111">_xlfn.IFS(A1111&lt;=25,"18-25",A1111&lt;=35,"26-35",A1111&lt;=45,"36-45",A1111&lt;=60,"46-60",A1111&gt;60,"60+")</f>
        <v>46-60</v>
      </c>
      <c r="J1111" t="str" cm="1">
        <f t="array" ref="J1111">_xlfn.IFS(C1111&lt;18.5,"Underweight",C1111&lt;25,"Normal",C1111&lt;30,"Overweight",C1111&gt;=30,"Obese")</f>
        <v>Obese</v>
      </c>
      <c r="K1111" t="str" cm="1">
        <f t="array" ref="K1111">_xlfn.IFS(G1111&lt;10000, "Low", G1111&lt;=25000, "Medium", G1111&gt;25000, "High")</f>
        <v>Medium</v>
      </c>
    </row>
    <row r="1112" spans="1:11" x14ac:dyDescent="0.3">
      <c r="A1112">
        <v>55</v>
      </c>
      <c r="B1112" s="1" t="s">
        <v>8</v>
      </c>
      <c r="C1112">
        <v>36.630000000000003</v>
      </c>
      <c r="D1112">
        <v>2</v>
      </c>
      <c r="E1112" t="s">
        <v>9</v>
      </c>
      <c r="F1112" t="s">
        <v>12</v>
      </c>
      <c r="G1112" s="2">
        <v>23241.47453</v>
      </c>
      <c r="H1112" t="str" cm="1">
        <f t="array" ref="H1112">_xlfn.IFS(A1112&lt;=30, "Youth", A1112&lt;=50, "Adult", A1112&gt;50, "Older")</f>
        <v>Older</v>
      </c>
      <c r="I1112" t="str" cm="1">
        <f t="array" ref="I1112">_xlfn.IFS(A1112&lt;=25,"18-25",A1112&lt;=35,"26-35",A1112&lt;=45,"36-45",A1112&lt;=60,"46-60",A1112&gt;60,"60+")</f>
        <v>46-60</v>
      </c>
      <c r="J1112" t="str" cm="1">
        <f t="array" ref="J1112">_xlfn.IFS(C1112&lt;18.5,"Underweight",C1112&lt;25,"Normal",C1112&lt;30,"Overweight",C1112&gt;=30,"Obese")</f>
        <v>Obese</v>
      </c>
      <c r="K1112" t="str" cm="1">
        <f t="array" ref="K1112">_xlfn.IFS(G1112&lt;10000, "Low", G1112&lt;=25000, "Medium", G1112&gt;25000, "High")</f>
        <v>Medium</v>
      </c>
    </row>
    <row r="1113" spans="1:11" x14ac:dyDescent="0.3">
      <c r="A1113">
        <v>55</v>
      </c>
      <c r="B1113" s="1" t="s">
        <v>7</v>
      </c>
      <c r="C1113">
        <v>36.630000000000003</v>
      </c>
      <c r="D1113">
        <v>2</v>
      </c>
      <c r="E1113" t="s">
        <v>9</v>
      </c>
      <c r="F1113" t="s">
        <v>12</v>
      </c>
      <c r="G1113" s="2">
        <v>23244.790199999999</v>
      </c>
      <c r="H1113" t="str" cm="1">
        <f t="array" ref="H1113">_xlfn.IFS(A1113&lt;=30, "Youth", A1113&lt;=50, "Adult", A1113&gt;50, "Older")</f>
        <v>Older</v>
      </c>
      <c r="I1113" t="str" cm="1">
        <f t="array" ref="I1113">_xlfn.IFS(A1113&lt;=25,"18-25",A1113&lt;=35,"26-35",A1113&lt;=45,"36-45",A1113&lt;=60,"46-60",A1113&gt;60,"60+")</f>
        <v>46-60</v>
      </c>
      <c r="J1113" t="str" cm="1">
        <f t="array" ref="J1113">_xlfn.IFS(C1113&lt;18.5,"Underweight",C1113&lt;25,"Normal",C1113&lt;30,"Overweight",C1113&gt;=30,"Obese")</f>
        <v>Obese</v>
      </c>
      <c r="K1113" t="str" cm="1">
        <f t="array" ref="K1113">_xlfn.IFS(G1113&lt;10000, "Low", G1113&lt;=25000, "Medium", G1113&gt;25000, "High")</f>
        <v>Medium</v>
      </c>
    </row>
    <row r="1114" spans="1:11" x14ac:dyDescent="0.3">
      <c r="A1114">
        <v>55</v>
      </c>
      <c r="B1114" s="1" t="s">
        <v>7</v>
      </c>
      <c r="C1114">
        <v>36.67</v>
      </c>
      <c r="D1114">
        <v>2</v>
      </c>
      <c r="E1114" t="s">
        <v>10</v>
      </c>
      <c r="F1114" t="s">
        <v>13</v>
      </c>
      <c r="G1114" s="2">
        <v>23288.928400000001</v>
      </c>
      <c r="H1114" t="str" cm="1">
        <f t="array" ref="H1114">_xlfn.IFS(A1114&lt;=30, "Youth", A1114&lt;=50, "Adult", A1114&gt;50, "Older")</f>
        <v>Older</v>
      </c>
      <c r="I1114" t="str" cm="1">
        <f t="array" ref="I1114">_xlfn.IFS(A1114&lt;=25,"18-25",A1114&lt;=35,"26-35",A1114&lt;=45,"36-45",A1114&lt;=60,"46-60",A1114&gt;60,"60+")</f>
        <v>46-60</v>
      </c>
      <c r="J1114" t="str" cm="1">
        <f t="array" ref="J1114">_xlfn.IFS(C1114&lt;18.5,"Underweight",C1114&lt;25,"Normal",C1114&lt;30,"Overweight",C1114&gt;=30,"Obese")</f>
        <v>Obese</v>
      </c>
      <c r="K1114" t="str" cm="1">
        <f t="array" ref="K1114">_xlfn.IFS(G1114&lt;10000, "Low", G1114&lt;=25000, "Medium", G1114&gt;25000, "High")</f>
        <v>Medium</v>
      </c>
    </row>
    <row r="1115" spans="1:11" x14ac:dyDescent="0.3">
      <c r="A1115">
        <v>55</v>
      </c>
      <c r="B1115" s="1" t="s">
        <v>8</v>
      </c>
      <c r="C1115">
        <v>36.67</v>
      </c>
      <c r="D1115">
        <v>2</v>
      </c>
      <c r="E1115" t="s">
        <v>10</v>
      </c>
      <c r="F1115" t="s">
        <v>14</v>
      </c>
      <c r="G1115" s="2">
        <v>23306.546999999999</v>
      </c>
      <c r="H1115" t="str" cm="1">
        <f t="array" ref="H1115">_xlfn.IFS(A1115&lt;=30, "Youth", A1115&lt;=50, "Adult", A1115&gt;50, "Older")</f>
        <v>Older</v>
      </c>
      <c r="I1115" t="str" cm="1">
        <f t="array" ref="I1115">_xlfn.IFS(A1115&lt;=25,"18-25",A1115&lt;=35,"26-35",A1115&lt;=45,"36-45",A1115&lt;=60,"46-60",A1115&gt;60,"60+")</f>
        <v>46-60</v>
      </c>
      <c r="J1115" t="str" cm="1">
        <f t="array" ref="J1115">_xlfn.IFS(C1115&lt;18.5,"Underweight",C1115&lt;25,"Normal",C1115&lt;30,"Overweight",C1115&gt;=30,"Obese")</f>
        <v>Obese</v>
      </c>
      <c r="K1115" t="str" cm="1">
        <f t="array" ref="K1115">_xlfn.IFS(G1115&lt;10000, "Low", G1115&lt;=25000, "Medium", G1115&gt;25000, "High")</f>
        <v>Medium</v>
      </c>
    </row>
    <row r="1116" spans="1:11" x14ac:dyDescent="0.3">
      <c r="A1116">
        <v>55</v>
      </c>
      <c r="B1116" s="1" t="s">
        <v>8</v>
      </c>
      <c r="C1116">
        <v>36.67</v>
      </c>
      <c r="D1116">
        <v>2</v>
      </c>
      <c r="E1116" t="s">
        <v>10</v>
      </c>
      <c r="F1116" t="s">
        <v>12</v>
      </c>
      <c r="G1116" s="2">
        <v>23401.30575</v>
      </c>
      <c r="H1116" t="str" cm="1">
        <f t="array" ref="H1116">_xlfn.IFS(A1116&lt;=30, "Youth", A1116&lt;=50, "Adult", A1116&gt;50, "Older")</f>
        <v>Older</v>
      </c>
      <c r="I1116" t="str" cm="1">
        <f t="array" ref="I1116">_xlfn.IFS(A1116&lt;=25,"18-25",A1116&lt;=35,"26-35",A1116&lt;=45,"36-45",A1116&lt;=60,"46-60",A1116&gt;60,"60+")</f>
        <v>46-60</v>
      </c>
      <c r="J1116" t="str" cm="1">
        <f t="array" ref="J1116">_xlfn.IFS(C1116&lt;18.5,"Underweight",C1116&lt;25,"Normal",C1116&lt;30,"Overweight",C1116&gt;=30,"Obese")</f>
        <v>Obese</v>
      </c>
      <c r="K1116" t="str" cm="1">
        <f t="array" ref="K1116">_xlfn.IFS(G1116&lt;10000, "Low", G1116&lt;=25000, "Medium", G1116&gt;25000, "High")</f>
        <v>Medium</v>
      </c>
    </row>
    <row r="1117" spans="1:11" x14ac:dyDescent="0.3">
      <c r="A1117">
        <v>55</v>
      </c>
      <c r="B1117" s="1" t="s">
        <v>8</v>
      </c>
      <c r="C1117">
        <v>36.67</v>
      </c>
      <c r="D1117">
        <v>2</v>
      </c>
      <c r="E1117" t="s">
        <v>10</v>
      </c>
      <c r="F1117" t="s">
        <v>14</v>
      </c>
      <c r="G1117" s="2">
        <v>23563.016179999999</v>
      </c>
      <c r="H1117" t="str" cm="1">
        <f t="array" ref="H1117">_xlfn.IFS(A1117&lt;=30, "Youth", A1117&lt;=50, "Adult", A1117&gt;50, "Older")</f>
        <v>Older</v>
      </c>
      <c r="I1117" t="str" cm="1">
        <f t="array" ref="I1117">_xlfn.IFS(A1117&lt;=25,"18-25",A1117&lt;=35,"26-35",A1117&lt;=45,"36-45",A1117&lt;=60,"46-60",A1117&gt;60,"60+")</f>
        <v>46-60</v>
      </c>
      <c r="J1117" t="str" cm="1">
        <f t="array" ref="J1117">_xlfn.IFS(C1117&lt;18.5,"Underweight",C1117&lt;25,"Normal",C1117&lt;30,"Overweight",C1117&gt;=30,"Obese")</f>
        <v>Obese</v>
      </c>
      <c r="K1117" t="str" cm="1">
        <f t="array" ref="K1117">_xlfn.IFS(G1117&lt;10000, "Low", G1117&lt;=25000, "Medium", G1117&gt;25000, "High")</f>
        <v>Medium</v>
      </c>
    </row>
    <row r="1118" spans="1:11" x14ac:dyDescent="0.3">
      <c r="A1118">
        <v>55</v>
      </c>
      <c r="B1118" s="1" t="s">
        <v>8</v>
      </c>
      <c r="C1118">
        <v>36.700000000000003</v>
      </c>
      <c r="D1118">
        <v>2</v>
      </c>
      <c r="E1118" t="s">
        <v>9</v>
      </c>
      <c r="F1118" t="s">
        <v>12</v>
      </c>
      <c r="G1118" s="2">
        <v>23568.272000000001</v>
      </c>
      <c r="H1118" t="str" cm="1">
        <f t="array" ref="H1118">_xlfn.IFS(A1118&lt;=30, "Youth", A1118&lt;=50, "Adult", A1118&gt;50, "Older")</f>
        <v>Older</v>
      </c>
      <c r="I1118" t="str" cm="1">
        <f t="array" ref="I1118">_xlfn.IFS(A1118&lt;=25,"18-25",A1118&lt;=35,"26-35",A1118&lt;=45,"36-45",A1118&lt;=60,"46-60",A1118&gt;60,"60+")</f>
        <v>46-60</v>
      </c>
      <c r="J1118" t="str" cm="1">
        <f t="array" ref="J1118">_xlfn.IFS(C1118&lt;18.5,"Underweight",C1118&lt;25,"Normal",C1118&lt;30,"Overweight",C1118&gt;=30,"Obese")</f>
        <v>Obese</v>
      </c>
      <c r="K1118" t="str" cm="1">
        <f t="array" ref="K1118">_xlfn.IFS(G1118&lt;10000, "Low", G1118&lt;=25000, "Medium", G1118&gt;25000, "High")</f>
        <v>Medium</v>
      </c>
    </row>
    <row r="1119" spans="1:11" x14ac:dyDescent="0.3">
      <c r="A1119">
        <v>55</v>
      </c>
      <c r="B1119" s="1" t="s">
        <v>8</v>
      </c>
      <c r="C1119">
        <v>36.765000000000001</v>
      </c>
      <c r="D1119">
        <v>2</v>
      </c>
      <c r="E1119" t="s">
        <v>9</v>
      </c>
      <c r="F1119" t="s">
        <v>12</v>
      </c>
      <c r="G1119" s="2">
        <v>23807.240600000001</v>
      </c>
      <c r="H1119" t="str" cm="1">
        <f t="array" ref="H1119">_xlfn.IFS(A1119&lt;=30, "Youth", A1119&lt;=50, "Adult", A1119&gt;50, "Older")</f>
        <v>Older</v>
      </c>
      <c r="I1119" t="str" cm="1">
        <f t="array" ref="I1119">_xlfn.IFS(A1119&lt;=25,"18-25",A1119&lt;=35,"26-35",A1119&lt;=45,"36-45",A1119&lt;=60,"46-60",A1119&gt;60,"60+")</f>
        <v>46-60</v>
      </c>
      <c r="J1119" t="str" cm="1">
        <f t="array" ref="J1119">_xlfn.IFS(C1119&lt;18.5,"Underweight",C1119&lt;25,"Normal",C1119&lt;30,"Overweight",C1119&gt;=30,"Obese")</f>
        <v>Obese</v>
      </c>
      <c r="K1119" t="str" cm="1">
        <f t="array" ref="K1119">_xlfn.IFS(G1119&lt;10000, "Low", G1119&lt;=25000, "Medium", G1119&gt;25000, "High")</f>
        <v>Medium</v>
      </c>
    </row>
    <row r="1120" spans="1:11" x14ac:dyDescent="0.3">
      <c r="A1120">
        <v>55</v>
      </c>
      <c r="B1120" s="1" t="s">
        <v>7</v>
      </c>
      <c r="C1120">
        <v>36.765000000000001</v>
      </c>
      <c r="D1120">
        <v>2</v>
      </c>
      <c r="E1120" t="s">
        <v>10</v>
      </c>
      <c r="F1120" t="s">
        <v>13</v>
      </c>
      <c r="G1120" s="2">
        <v>23887.662700000001</v>
      </c>
      <c r="H1120" t="str" cm="1">
        <f t="array" ref="H1120">_xlfn.IFS(A1120&lt;=30, "Youth", A1120&lt;=50, "Adult", A1120&gt;50, "Older")</f>
        <v>Older</v>
      </c>
      <c r="I1120" t="str" cm="1">
        <f t="array" ref="I1120">_xlfn.IFS(A1120&lt;=25,"18-25",A1120&lt;=35,"26-35",A1120&lt;=45,"36-45",A1120&lt;=60,"46-60",A1120&gt;60,"60+")</f>
        <v>46-60</v>
      </c>
      <c r="J1120" t="str" cm="1">
        <f t="array" ref="J1120">_xlfn.IFS(C1120&lt;18.5,"Underweight",C1120&lt;25,"Normal",C1120&lt;30,"Overweight",C1120&gt;=30,"Obese")</f>
        <v>Obese</v>
      </c>
      <c r="K1120" t="str" cm="1">
        <f t="array" ref="K1120">_xlfn.IFS(G1120&lt;10000, "Low", G1120&lt;=25000, "Medium", G1120&gt;25000, "High")</f>
        <v>Medium</v>
      </c>
    </row>
    <row r="1121" spans="1:11" x14ac:dyDescent="0.3">
      <c r="A1121">
        <v>55</v>
      </c>
      <c r="B1121" s="1" t="s">
        <v>7</v>
      </c>
      <c r="C1121">
        <v>36.765000000000001</v>
      </c>
      <c r="D1121">
        <v>2</v>
      </c>
      <c r="E1121" t="s">
        <v>9</v>
      </c>
      <c r="F1121" t="s">
        <v>11</v>
      </c>
      <c r="G1121" s="2">
        <v>23967.38305</v>
      </c>
      <c r="H1121" t="str" cm="1">
        <f t="array" ref="H1121">_xlfn.IFS(A1121&lt;=30, "Youth", A1121&lt;=50, "Adult", A1121&gt;50, "Older")</f>
        <v>Older</v>
      </c>
      <c r="I1121" t="str" cm="1">
        <f t="array" ref="I1121">_xlfn.IFS(A1121&lt;=25,"18-25",A1121&lt;=35,"26-35",A1121&lt;=45,"36-45",A1121&lt;=60,"46-60",A1121&gt;60,"60+")</f>
        <v>46-60</v>
      </c>
      <c r="J1121" t="str" cm="1">
        <f t="array" ref="J1121">_xlfn.IFS(C1121&lt;18.5,"Underweight",C1121&lt;25,"Normal",C1121&lt;30,"Overweight",C1121&gt;=30,"Obese")</f>
        <v>Obese</v>
      </c>
      <c r="K1121" t="str" cm="1">
        <f t="array" ref="K1121">_xlfn.IFS(G1121&lt;10000, "Low", G1121&lt;=25000, "Medium", G1121&gt;25000, "High")</f>
        <v>Medium</v>
      </c>
    </row>
    <row r="1122" spans="1:11" x14ac:dyDescent="0.3">
      <c r="A1122">
        <v>55</v>
      </c>
      <c r="B1122" s="1" t="s">
        <v>8</v>
      </c>
      <c r="C1122">
        <v>36.85</v>
      </c>
      <c r="D1122">
        <v>2</v>
      </c>
      <c r="E1122" t="s">
        <v>10</v>
      </c>
      <c r="F1122" t="s">
        <v>12</v>
      </c>
      <c r="G1122" s="2">
        <v>24059.680189999999</v>
      </c>
      <c r="H1122" t="str" cm="1">
        <f t="array" ref="H1122">_xlfn.IFS(A1122&lt;=30, "Youth", A1122&lt;=50, "Adult", A1122&gt;50, "Older")</f>
        <v>Older</v>
      </c>
      <c r="I1122" t="str" cm="1">
        <f t="array" ref="I1122">_xlfn.IFS(A1122&lt;=25,"18-25",A1122&lt;=35,"26-35",A1122&lt;=45,"36-45",A1122&lt;=60,"46-60",A1122&gt;60,"60+")</f>
        <v>46-60</v>
      </c>
      <c r="J1122" t="str" cm="1">
        <f t="array" ref="J1122">_xlfn.IFS(C1122&lt;18.5,"Underweight",C1122&lt;25,"Normal",C1122&lt;30,"Overweight",C1122&gt;=30,"Obese")</f>
        <v>Obese</v>
      </c>
      <c r="K1122" t="str" cm="1">
        <f t="array" ref="K1122">_xlfn.IFS(G1122&lt;10000, "Low", G1122&lt;=25000, "Medium", G1122&gt;25000, "High")</f>
        <v>Medium</v>
      </c>
    </row>
    <row r="1123" spans="1:11" x14ac:dyDescent="0.3">
      <c r="A1123">
        <v>56</v>
      </c>
      <c r="B1123" s="1" t="s">
        <v>7</v>
      </c>
      <c r="C1123">
        <v>36.85</v>
      </c>
      <c r="D1123">
        <v>2</v>
      </c>
      <c r="E1123" t="s">
        <v>9</v>
      </c>
      <c r="F1123" t="s">
        <v>13</v>
      </c>
      <c r="G1123" s="2">
        <v>24106.912550000001</v>
      </c>
      <c r="H1123" t="str" cm="1">
        <f t="array" ref="H1123">_xlfn.IFS(A1123&lt;=30, "Youth", A1123&lt;=50, "Adult", A1123&gt;50, "Older")</f>
        <v>Older</v>
      </c>
      <c r="I1123" t="str" cm="1">
        <f t="array" ref="I1123">_xlfn.IFS(A1123&lt;=25,"18-25",A1123&lt;=35,"26-35",A1123&lt;=45,"36-45",A1123&lt;=60,"46-60",A1123&gt;60,"60+")</f>
        <v>46-60</v>
      </c>
      <c r="J1123" t="str" cm="1">
        <f t="array" ref="J1123">_xlfn.IFS(C1123&lt;18.5,"Underweight",C1123&lt;25,"Normal",C1123&lt;30,"Overweight",C1123&gt;=30,"Obese")</f>
        <v>Obese</v>
      </c>
      <c r="K1123" t="str" cm="1">
        <f t="array" ref="K1123">_xlfn.IFS(G1123&lt;10000, "Low", G1123&lt;=25000, "Medium", G1123&gt;25000, "High")</f>
        <v>Medium</v>
      </c>
    </row>
    <row r="1124" spans="1:11" x14ac:dyDescent="0.3">
      <c r="A1124">
        <v>56</v>
      </c>
      <c r="B1124" s="1" t="s">
        <v>7</v>
      </c>
      <c r="C1124">
        <v>36.85</v>
      </c>
      <c r="D1124">
        <v>2</v>
      </c>
      <c r="E1124" t="s">
        <v>10</v>
      </c>
      <c r="F1124" t="s">
        <v>14</v>
      </c>
      <c r="G1124" s="2">
        <v>24180.933499999999</v>
      </c>
      <c r="H1124" t="str" cm="1">
        <f t="array" ref="H1124">_xlfn.IFS(A1124&lt;=30, "Youth", A1124&lt;=50, "Adult", A1124&gt;50, "Older")</f>
        <v>Older</v>
      </c>
      <c r="I1124" t="str" cm="1">
        <f t="array" ref="I1124">_xlfn.IFS(A1124&lt;=25,"18-25",A1124&lt;=35,"26-35",A1124&lt;=45,"36-45",A1124&lt;=60,"46-60",A1124&gt;60,"60+")</f>
        <v>46-60</v>
      </c>
      <c r="J1124" t="str" cm="1">
        <f t="array" ref="J1124">_xlfn.IFS(C1124&lt;18.5,"Underweight",C1124&lt;25,"Normal",C1124&lt;30,"Overweight",C1124&gt;=30,"Obese")</f>
        <v>Obese</v>
      </c>
      <c r="K1124" t="str" cm="1">
        <f t="array" ref="K1124">_xlfn.IFS(G1124&lt;10000, "Low", G1124&lt;=25000, "Medium", G1124&gt;25000, "High")</f>
        <v>Medium</v>
      </c>
    </row>
    <row r="1125" spans="1:11" x14ac:dyDescent="0.3">
      <c r="A1125">
        <v>56</v>
      </c>
      <c r="B1125" s="1" t="s">
        <v>7</v>
      </c>
      <c r="C1125">
        <v>36.85</v>
      </c>
      <c r="D1125">
        <v>2</v>
      </c>
      <c r="E1125" t="s">
        <v>9</v>
      </c>
      <c r="F1125" t="s">
        <v>14</v>
      </c>
      <c r="G1125" s="2">
        <v>24227.337240000001</v>
      </c>
      <c r="H1125" t="str" cm="1">
        <f t="array" ref="H1125">_xlfn.IFS(A1125&lt;=30, "Youth", A1125&lt;=50, "Adult", A1125&gt;50, "Older")</f>
        <v>Older</v>
      </c>
      <c r="I1125" t="str" cm="1">
        <f t="array" ref="I1125">_xlfn.IFS(A1125&lt;=25,"18-25",A1125&lt;=35,"26-35",A1125&lt;=45,"36-45",A1125&lt;=60,"46-60",A1125&gt;60,"60+")</f>
        <v>46-60</v>
      </c>
      <c r="J1125" t="str" cm="1">
        <f t="array" ref="J1125">_xlfn.IFS(C1125&lt;18.5,"Underweight",C1125&lt;25,"Normal",C1125&lt;30,"Overweight",C1125&gt;=30,"Obese")</f>
        <v>Obese</v>
      </c>
      <c r="K1125" t="str" cm="1">
        <f t="array" ref="K1125">_xlfn.IFS(G1125&lt;10000, "Low", G1125&lt;=25000, "Medium", G1125&gt;25000, "High")</f>
        <v>Medium</v>
      </c>
    </row>
    <row r="1126" spans="1:11" x14ac:dyDescent="0.3">
      <c r="A1126">
        <v>56</v>
      </c>
      <c r="B1126" s="1" t="s">
        <v>7</v>
      </c>
      <c r="C1126">
        <v>36.85</v>
      </c>
      <c r="D1126">
        <v>2</v>
      </c>
      <c r="E1126" t="s">
        <v>10</v>
      </c>
      <c r="F1126" t="s">
        <v>13</v>
      </c>
      <c r="G1126" s="2">
        <v>24393.6224</v>
      </c>
      <c r="H1126" t="str" cm="1">
        <f t="array" ref="H1126">_xlfn.IFS(A1126&lt;=30, "Youth", A1126&lt;=50, "Adult", A1126&gt;50, "Older")</f>
        <v>Older</v>
      </c>
      <c r="I1126" t="str" cm="1">
        <f t="array" ref="I1126">_xlfn.IFS(A1126&lt;=25,"18-25",A1126&lt;=35,"26-35",A1126&lt;=45,"36-45",A1126&lt;=60,"46-60",A1126&gt;60,"60+")</f>
        <v>46-60</v>
      </c>
      <c r="J1126" t="str" cm="1">
        <f t="array" ref="J1126">_xlfn.IFS(C1126&lt;18.5,"Underweight",C1126&lt;25,"Normal",C1126&lt;30,"Overweight",C1126&gt;=30,"Obese")</f>
        <v>Obese</v>
      </c>
      <c r="K1126" t="str" cm="1">
        <f t="array" ref="K1126">_xlfn.IFS(G1126&lt;10000, "Low", G1126&lt;=25000, "Medium", G1126&gt;25000, "High")</f>
        <v>Medium</v>
      </c>
    </row>
    <row r="1127" spans="1:11" x14ac:dyDescent="0.3">
      <c r="A1127">
        <v>56</v>
      </c>
      <c r="B1127" s="1" t="s">
        <v>8</v>
      </c>
      <c r="C1127">
        <v>36.86</v>
      </c>
      <c r="D1127">
        <v>2</v>
      </c>
      <c r="E1127" t="s">
        <v>10</v>
      </c>
      <c r="F1127" t="s">
        <v>11</v>
      </c>
      <c r="G1127" s="2">
        <v>24476.478510000001</v>
      </c>
      <c r="H1127" t="str" cm="1">
        <f t="array" ref="H1127">_xlfn.IFS(A1127&lt;=30, "Youth", A1127&lt;=50, "Adult", A1127&gt;50, "Older")</f>
        <v>Older</v>
      </c>
      <c r="I1127" t="str" cm="1">
        <f t="array" ref="I1127">_xlfn.IFS(A1127&lt;=25,"18-25",A1127&lt;=35,"26-35",A1127&lt;=45,"36-45",A1127&lt;=60,"46-60",A1127&gt;60,"60+")</f>
        <v>46-60</v>
      </c>
      <c r="J1127" t="str" cm="1">
        <f t="array" ref="J1127">_xlfn.IFS(C1127&lt;18.5,"Underweight",C1127&lt;25,"Normal",C1127&lt;30,"Overweight",C1127&gt;=30,"Obese")</f>
        <v>Obese</v>
      </c>
      <c r="K1127" t="str" cm="1">
        <f t="array" ref="K1127">_xlfn.IFS(G1127&lt;10000, "Low", G1127&lt;=25000, "Medium", G1127&gt;25000, "High")</f>
        <v>Medium</v>
      </c>
    </row>
    <row r="1128" spans="1:11" x14ac:dyDescent="0.3">
      <c r="A1128">
        <v>56</v>
      </c>
      <c r="B1128" s="1" t="s">
        <v>7</v>
      </c>
      <c r="C1128">
        <v>36.86</v>
      </c>
      <c r="D1128">
        <v>2</v>
      </c>
      <c r="E1128" t="s">
        <v>10</v>
      </c>
      <c r="F1128" t="s">
        <v>12</v>
      </c>
      <c r="G1128" s="2">
        <v>24513.091260000001</v>
      </c>
      <c r="H1128" t="str" cm="1">
        <f t="array" ref="H1128">_xlfn.IFS(A1128&lt;=30, "Youth", A1128&lt;=50, "Adult", A1128&gt;50, "Older")</f>
        <v>Older</v>
      </c>
      <c r="I1128" t="str" cm="1">
        <f t="array" ref="I1128">_xlfn.IFS(A1128&lt;=25,"18-25",A1128&lt;=35,"26-35",A1128&lt;=45,"36-45",A1128&lt;=60,"46-60",A1128&gt;60,"60+")</f>
        <v>46-60</v>
      </c>
      <c r="J1128" t="str" cm="1">
        <f t="array" ref="J1128">_xlfn.IFS(C1128&lt;18.5,"Underweight",C1128&lt;25,"Normal",C1128&lt;30,"Overweight",C1128&gt;=30,"Obese")</f>
        <v>Obese</v>
      </c>
      <c r="K1128" t="str" cm="1">
        <f t="array" ref="K1128">_xlfn.IFS(G1128&lt;10000, "Low", G1128&lt;=25000, "Medium", G1128&gt;25000, "High")</f>
        <v>Medium</v>
      </c>
    </row>
    <row r="1129" spans="1:11" x14ac:dyDescent="0.3">
      <c r="A1129">
        <v>56</v>
      </c>
      <c r="B1129" s="1" t="s">
        <v>8</v>
      </c>
      <c r="C1129">
        <v>36.86</v>
      </c>
      <c r="D1129">
        <v>2</v>
      </c>
      <c r="E1129" t="s">
        <v>10</v>
      </c>
      <c r="F1129" t="s">
        <v>11</v>
      </c>
      <c r="G1129" s="2">
        <v>24520.263999999999</v>
      </c>
      <c r="H1129" t="str" cm="1">
        <f t="array" ref="H1129">_xlfn.IFS(A1129&lt;=30, "Youth", A1129&lt;=50, "Adult", A1129&gt;50, "Older")</f>
        <v>Older</v>
      </c>
      <c r="I1129" t="str" cm="1">
        <f t="array" ref="I1129">_xlfn.IFS(A1129&lt;=25,"18-25",A1129&lt;=35,"26-35",A1129&lt;=45,"36-45",A1129&lt;=60,"46-60",A1129&gt;60,"60+")</f>
        <v>46-60</v>
      </c>
      <c r="J1129" t="str" cm="1">
        <f t="array" ref="J1129">_xlfn.IFS(C1129&lt;18.5,"Underweight",C1129&lt;25,"Normal",C1129&lt;30,"Overweight",C1129&gt;=30,"Obese")</f>
        <v>Obese</v>
      </c>
      <c r="K1129" t="str" cm="1">
        <f t="array" ref="K1129">_xlfn.IFS(G1129&lt;10000, "Low", G1129&lt;=25000, "Medium", G1129&gt;25000, "High")</f>
        <v>Medium</v>
      </c>
    </row>
    <row r="1130" spans="1:11" x14ac:dyDescent="0.3">
      <c r="A1130">
        <v>56</v>
      </c>
      <c r="B1130" s="1" t="s">
        <v>7</v>
      </c>
      <c r="C1130">
        <v>36.954999999999998</v>
      </c>
      <c r="D1130">
        <v>2</v>
      </c>
      <c r="E1130" t="s">
        <v>10</v>
      </c>
      <c r="F1130" t="s">
        <v>11</v>
      </c>
      <c r="G1130" s="2">
        <v>24535.698550000001</v>
      </c>
      <c r="H1130" t="str" cm="1">
        <f t="array" ref="H1130">_xlfn.IFS(A1130&lt;=30, "Youth", A1130&lt;=50, "Adult", A1130&gt;50, "Older")</f>
        <v>Older</v>
      </c>
      <c r="I1130" t="str" cm="1">
        <f t="array" ref="I1130">_xlfn.IFS(A1130&lt;=25,"18-25",A1130&lt;=35,"26-35",A1130&lt;=45,"36-45",A1130&lt;=60,"46-60",A1130&gt;60,"60+")</f>
        <v>46-60</v>
      </c>
      <c r="J1130" t="str" cm="1">
        <f t="array" ref="J1130">_xlfn.IFS(C1130&lt;18.5,"Underweight",C1130&lt;25,"Normal",C1130&lt;30,"Overweight",C1130&gt;=30,"Obese")</f>
        <v>Obese</v>
      </c>
      <c r="K1130" t="str" cm="1">
        <f t="array" ref="K1130">_xlfn.IFS(G1130&lt;10000, "Low", G1130&lt;=25000, "Medium", G1130&gt;25000, "High")</f>
        <v>Medium</v>
      </c>
    </row>
    <row r="1131" spans="1:11" x14ac:dyDescent="0.3">
      <c r="A1131">
        <v>56</v>
      </c>
      <c r="B1131" s="1" t="s">
        <v>7</v>
      </c>
      <c r="C1131">
        <v>36.954999999999998</v>
      </c>
      <c r="D1131">
        <v>2</v>
      </c>
      <c r="E1131" t="s">
        <v>10</v>
      </c>
      <c r="F1131" t="s">
        <v>12</v>
      </c>
      <c r="G1131" s="2">
        <v>24603.04837</v>
      </c>
      <c r="H1131" t="str" cm="1">
        <f t="array" ref="H1131">_xlfn.IFS(A1131&lt;=30, "Youth", A1131&lt;=50, "Adult", A1131&gt;50, "Older")</f>
        <v>Older</v>
      </c>
      <c r="I1131" t="str" cm="1">
        <f t="array" ref="I1131">_xlfn.IFS(A1131&lt;=25,"18-25",A1131&lt;=35,"26-35",A1131&lt;=45,"36-45",A1131&lt;=60,"46-60",A1131&gt;60,"60+")</f>
        <v>46-60</v>
      </c>
      <c r="J1131" t="str" cm="1">
        <f t="array" ref="J1131">_xlfn.IFS(C1131&lt;18.5,"Underweight",C1131&lt;25,"Normal",C1131&lt;30,"Overweight",C1131&gt;=30,"Obese")</f>
        <v>Obese</v>
      </c>
      <c r="K1131" t="str" cm="1">
        <f t="array" ref="K1131">_xlfn.IFS(G1131&lt;10000, "Low", G1131&lt;=25000, "Medium", G1131&gt;25000, "High")</f>
        <v>Medium</v>
      </c>
    </row>
    <row r="1132" spans="1:11" x14ac:dyDescent="0.3">
      <c r="A1132">
        <v>56</v>
      </c>
      <c r="B1132" s="1" t="s">
        <v>8</v>
      </c>
      <c r="C1132">
        <v>36.954999999999998</v>
      </c>
      <c r="D1132">
        <v>2</v>
      </c>
      <c r="E1132" t="s">
        <v>10</v>
      </c>
      <c r="F1132" t="s">
        <v>11</v>
      </c>
      <c r="G1132" s="2">
        <v>24667.419000000002</v>
      </c>
      <c r="H1132" t="str" cm="1">
        <f t="array" ref="H1132">_xlfn.IFS(A1132&lt;=30, "Youth", A1132&lt;=50, "Adult", A1132&gt;50, "Older")</f>
        <v>Older</v>
      </c>
      <c r="I1132" t="str" cm="1">
        <f t="array" ref="I1132">_xlfn.IFS(A1132&lt;=25,"18-25",A1132&lt;=35,"26-35",A1132&lt;=45,"36-45",A1132&lt;=60,"46-60",A1132&gt;60,"60+")</f>
        <v>46-60</v>
      </c>
      <c r="J1132" t="str" cm="1">
        <f t="array" ref="J1132">_xlfn.IFS(C1132&lt;18.5,"Underweight",C1132&lt;25,"Normal",C1132&lt;30,"Overweight",C1132&gt;=30,"Obese")</f>
        <v>Obese</v>
      </c>
      <c r="K1132" t="str" cm="1">
        <f t="array" ref="K1132">_xlfn.IFS(G1132&lt;10000, "Low", G1132&lt;=25000, "Medium", G1132&gt;25000, "High")</f>
        <v>Medium</v>
      </c>
    </row>
    <row r="1133" spans="1:11" x14ac:dyDescent="0.3">
      <c r="A1133">
        <v>56</v>
      </c>
      <c r="B1133" s="1" t="s">
        <v>8</v>
      </c>
      <c r="C1133">
        <v>36.954999999999998</v>
      </c>
      <c r="D1133">
        <v>2</v>
      </c>
      <c r="E1133" t="s">
        <v>10</v>
      </c>
      <c r="F1133" t="s">
        <v>14</v>
      </c>
      <c r="G1133" s="2">
        <v>24671.663339999999</v>
      </c>
      <c r="H1133" t="str" cm="1">
        <f t="array" ref="H1133">_xlfn.IFS(A1133&lt;=30, "Youth", A1133&lt;=50, "Adult", A1133&gt;50, "Older")</f>
        <v>Older</v>
      </c>
      <c r="I1133" t="str" cm="1">
        <f t="array" ref="I1133">_xlfn.IFS(A1133&lt;=25,"18-25",A1133&lt;=35,"26-35",A1133&lt;=45,"36-45",A1133&lt;=60,"46-60",A1133&gt;60,"60+")</f>
        <v>46-60</v>
      </c>
      <c r="J1133" t="str" cm="1">
        <f t="array" ref="J1133">_xlfn.IFS(C1133&lt;18.5,"Underweight",C1133&lt;25,"Normal",C1133&lt;30,"Overweight",C1133&gt;=30,"Obese")</f>
        <v>Obese</v>
      </c>
      <c r="K1133" t="str" cm="1">
        <f t="array" ref="K1133">_xlfn.IFS(G1133&lt;10000, "Low", G1133&lt;=25000, "Medium", G1133&gt;25000, "High")</f>
        <v>Medium</v>
      </c>
    </row>
    <row r="1134" spans="1:11" x14ac:dyDescent="0.3">
      <c r="A1134">
        <v>56</v>
      </c>
      <c r="B1134" s="1" t="s">
        <v>7</v>
      </c>
      <c r="C1134">
        <v>36.96</v>
      </c>
      <c r="D1134">
        <v>2</v>
      </c>
      <c r="E1134" t="s">
        <v>10</v>
      </c>
      <c r="F1134" t="s">
        <v>13</v>
      </c>
      <c r="G1134" s="2">
        <v>24869.836800000001</v>
      </c>
      <c r="H1134" t="str" cm="1">
        <f t="array" ref="H1134">_xlfn.IFS(A1134&lt;=30, "Youth", A1134&lt;=50, "Adult", A1134&gt;50, "Older")</f>
        <v>Older</v>
      </c>
      <c r="I1134" t="str" cm="1">
        <f t="array" ref="I1134">_xlfn.IFS(A1134&lt;=25,"18-25",A1134&lt;=35,"26-35",A1134&lt;=45,"36-45",A1134&lt;=60,"46-60",A1134&gt;60,"60+")</f>
        <v>46-60</v>
      </c>
      <c r="J1134" t="str" cm="1">
        <f t="array" ref="J1134">_xlfn.IFS(C1134&lt;18.5,"Underweight",C1134&lt;25,"Normal",C1134&lt;30,"Overweight",C1134&gt;=30,"Obese")</f>
        <v>Obese</v>
      </c>
      <c r="K1134" t="str" cm="1">
        <f t="array" ref="K1134">_xlfn.IFS(G1134&lt;10000, "Low", G1134&lt;=25000, "Medium", G1134&gt;25000, "High")</f>
        <v>Medium</v>
      </c>
    </row>
    <row r="1135" spans="1:11" x14ac:dyDescent="0.3">
      <c r="A1135">
        <v>56</v>
      </c>
      <c r="B1135" s="1" t="s">
        <v>8</v>
      </c>
      <c r="C1135">
        <v>37</v>
      </c>
      <c r="D1135">
        <v>2</v>
      </c>
      <c r="E1135" t="s">
        <v>10</v>
      </c>
      <c r="F1135" t="s">
        <v>13</v>
      </c>
      <c r="G1135" s="2">
        <v>24873.384900000001</v>
      </c>
      <c r="H1135" t="str" cm="1">
        <f t="array" ref="H1135">_xlfn.IFS(A1135&lt;=30, "Youth", A1135&lt;=50, "Adult", A1135&gt;50, "Older")</f>
        <v>Older</v>
      </c>
      <c r="I1135" t="str" cm="1">
        <f t="array" ref="I1135">_xlfn.IFS(A1135&lt;=25,"18-25",A1135&lt;=35,"26-35",A1135&lt;=45,"36-45",A1135&lt;=60,"46-60",A1135&gt;60,"60+")</f>
        <v>46-60</v>
      </c>
      <c r="J1135" t="str" cm="1">
        <f t="array" ref="J1135">_xlfn.IFS(C1135&lt;18.5,"Underweight",C1135&lt;25,"Normal",C1135&lt;30,"Overweight",C1135&gt;=30,"Obese")</f>
        <v>Obese</v>
      </c>
      <c r="K1135" t="str" cm="1">
        <f t="array" ref="K1135">_xlfn.IFS(G1135&lt;10000, "Low", G1135&lt;=25000, "Medium", G1135&gt;25000, "High")</f>
        <v>Medium</v>
      </c>
    </row>
    <row r="1136" spans="1:11" x14ac:dyDescent="0.3">
      <c r="A1136">
        <v>56</v>
      </c>
      <c r="B1136" s="1" t="s">
        <v>7</v>
      </c>
      <c r="C1136">
        <v>37</v>
      </c>
      <c r="D1136">
        <v>2</v>
      </c>
      <c r="E1136" t="s">
        <v>10</v>
      </c>
      <c r="F1136" t="s">
        <v>13</v>
      </c>
      <c r="G1136" s="2">
        <v>24915.046259999999</v>
      </c>
      <c r="H1136" t="str" cm="1">
        <f t="array" ref="H1136">_xlfn.IFS(A1136&lt;=30, "Youth", A1136&lt;=50, "Adult", A1136&gt;50, "Older")</f>
        <v>Older</v>
      </c>
      <c r="I1136" t="str" cm="1">
        <f t="array" ref="I1136">_xlfn.IFS(A1136&lt;=25,"18-25",A1136&lt;=35,"26-35",A1136&lt;=45,"36-45",A1136&lt;=60,"46-60",A1136&gt;60,"60+")</f>
        <v>46-60</v>
      </c>
      <c r="J1136" t="str" cm="1">
        <f t="array" ref="J1136">_xlfn.IFS(C1136&lt;18.5,"Underweight",C1136&lt;25,"Normal",C1136&lt;30,"Overweight",C1136&gt;=30,"Obese")</f>
        <v>Obese</v>
      </c>
      <c r="K1136" t="str" cm="1">
        <f t="array" ref="K1136">_xlfn.IFS(G1136&lt;10000, "Low", G1136&lt;=25000, "Medium", G1136&gt;25000, "High")</f>
        <v>Medium</v>
      </c>
    </row>
    <row r="1137" spans="1:11" x14ac:dyDescent="0.3">
      <c r="A1137">
        <v>56</v>
      </c>
      <c r="B1137" s="1" t="s">
        <v>7</v>
      </c>
      <c r="C1137">
        <v>37.049999999999997</v>
      </c>
      <c r="D1137">
        <v>2</v>
      </c>
      <c r="E1137" t="s">
        <v>10</v>
      </c>
      <c r="F1137" t="s">
        <v>11</v>
      </c>
      <c r="G1137" s="2">
        <v>24915.220850000002</v>
      </c>
      <c r="H1137" t="str" cm="1">
        <f t="array" ref="H1137">_xlfn.IFS(A1137&lt;=30, "Youth", A1137&lt;=50, "Adult", A1137&gt;50, "Older")</f>
        <v>Older</v>
      </c>
      <c r="I1137" t="str" cm="1">
        <f t="array" ref="I1137">_xlfn.IFS(A1137&lt;=25,"18-25",A1137&lt;=35,"26-35",A1137&lt;=45,"36-45",A1137&lt;=60,"46-60",A1137&gt;60,"60+")</f>
        <v>46-60</v>
      </c>
      <c r="J1137" t="str" cm="1">
        <f t="array" ref="J1137">_xlfn.IFS(C1137&lt;18.5,"Underweight",C1137&lt;25,"Normal",C1137&lt;30,"Overweight",C1137&gt;=30,"Obese")</f>
        <v>Obese</v>
      </c>
      <c r="K1137" t="str" cm="1">
        <f t="array" ref="K1137">_xlfn.IFS(G1137&lt;10000, "Low", G1137&lt;=25000, "Medium", G1137&gt;25000, "High")</f>
        <v>Medium</v>
      </c>
    </row>
    <row r="1138" spans="1:11" x14ac:dyDescent="0.3">
      <c r="A1138">
        <v>56</v>
      </c>
      <c r="B1138" s="1" t="s">
        <v>7</v>
      </c>
      <c r="C1138">
        <v>37.049999999999997</v>
      </c>
      <c r="D1138">
        <v>2</v>
      </c>
      <c r="E1138" t="s">
        <v>10</v>
      </c>
      <c r="F1138" t="s">
        <v>13</v>
      </c>
      <c r="G1138" s="2">
        <v>25081.76784</v>
      </c>
      <c r="H1138" t="str" cm="1">
        <f t="array" ref="H1138">_xlfn.IFS(A1138&lt;=30, "Youth", A1138&lt;=50, "Adult", A1138&gt;50, "Older")</f>
        <v>Older</v>
      </c>
      <c r="I1138" t="str" cm="1">
        <f t="array" ref="I1138">_xlfn.IFS(A1138&lt;=25,"18-25",A1138&lt;=35,"26-35",A1138&lt;=45,"36-45",A1138&lt;=60,"46-60",A1138&gt;60,"60+")</f>
        <v>46-60</v>
      </c>
      <c r="J1138" t="str" cm="1">
        <f t="array" ref="J1138">_xlfn.IFS(C1138&lt;18.5,"Underweight",C1138&lt;25,"Normal",C1138&lt;30,"Overweight",C1138&gt;=30,"Obese")</f>
        <v>Obese</v>
      </c>
      <c r="K1138" t="str" cm="1">
        <f t="array" ref="K1138">_xlfn.IFS(G1138&lt;10000, "Low", G1138&lt;=25000, "Medium", G1138&gt;25000, "High")</f>
        <v>High</v>
      </c>
    </row>
    <row r="1139" spans="1:11" x14ac:dyDescent="0.3">
      <c r="A1139">
        <v>56</v>
      </c>
      <c r="B1139" s="1" t="s">
        <v>8</v>
      </c>
      <c r="C1139">
        <v>37.049999999999997</v>
      </c>
      <c r="D1139">
        <v>3</v>
      </c>
      <c r="E1139" t="s">
        <v>10</v>
      </c>
      <c r="F1139" t="s">
        <v>12</v>
      </c>
      <c r="G1139" s="2">
        <v>25309.489000000001</v>
      </c>
      <c r="H1139" t="str" cm="1">
        <f t="array" ref="H1139">_xlfn.IFS(A1139&lt;=30, "Youth", A1139&lt;=50, "Adult", A1139&gt;50, "Older")</f>
        <v>Older</v>
      </c>
      <c r="I1139" t="str" cm="1">
        <f t="array" ref="I1139">_xlfn.IFS(A1139&lt;=25,"18-25",A1139&lt;=35,"26-35",A1139&lt;=45,"36-45",A1139&lt;=60,"46-60",A1139&gt;60,"60+")</f>
        <v>46-60</v>
      </c>
      <c r="J1139" t="str" cm="1">
        <f t="array" ref="J1139">_xlfn.IFS(C1139&lt;18.5,"Underweight",C1139&lt;25,"Normal",C1139&lt;30,"Overweight",C1139&gt;=30,"Obese")</f>
        <v>Obese</v>
      </c>
      <c r="K1139" t="str" cm="1">
        <f t="array" ref="K1139">_xlfn.IFS(G1139&lt;10000, "Low", G1139&lt;=25000, "Medium", G1139&gt;25000, "High")</f>
        <v>High</v>
      </c>
    </row>
    <row r="1140" spans="1:11" x14ac:dyDescent="0.3">
      <c r="A1140">
        <v>56</v>
      </c>
      <c r="B1140" s="1" t="s">
        <v>7</v>
      </c>
      <c r="C1140">
        <v>37.07</v>
      </c>
      <c r="D1140">
        <v>3</v>
      </c>
      <c r="E1140" t="s">
        <v>9</v>
      </c>
      <c r="F1140" t="s">
        <v>13</v>
      </c>
      <c r="G1140" s="2">
        <v>25333.332839999999</v>
      </c>
      <c r="H1140" t="str" cm="1">
        <f t="array" ref="H1140">_xlfn.IFS(A1140&lt;=30, "Youth", A1140&lt;=50, "Adult", A1140&gt;50, "Older")</f>
        <v>Older</v>
      </c>
      <c r="I1140" t="str" cm="1">
        <f t="array" ref="I1140">_xlfn.IFS(A1140&lt;=25,"18-25",A1140&lt;=35,"26-35",A1140&lt;=45,"36-45",A1140&lt;=60,"46-60",A1140&gt;60,"60+")</f>
        <v>46-60</v>
      </c>
      <c r="J1140" t="str" cm="1">
        <f t="array" ref="J1140">_xlfn.IFS(C1140&lt;18.5,"Underweight",C1140&lt;25,"Normal",C1140&lt;30,"Overweight",C1140&gt;=30,"Obese")</f>
        <v>Obese</v>
      </c>
      <c r="K1140" t="str" cm="1">
        <f t="array" ref="K1140">_xlfn.IFS(G1140&lt;10000, "Low", G1140&lt;=25000, "Medium", G1140&gt;25000, "High")</f>
        <v>High</v>
      </c>
    </row>
    <row r="1141" spans="1:11" x14ac:dyDescent="0.3">
      <c r="A1141">
        <v>56</v>
      </c>
      <c r="B1141" s="1" t="s">
        <v>8</v>
      </c>
      <c r="C1141">
        <v>37.07</v>
      </c>
      <c r="D1141">
        <v>3</v>
      </c>
      <c r="E1141" t="s">
        <v>10</v>
      </c>
      <c r="F1141" t="s">
        <v>12</v>
      </c>
      <c r="G1141" s="2">
        <v>25382.296999999999</v>
      </c>
      <c r="H1141" t="str" cm="1">
        <f t="array" ref="H1141">_xlfn.IFS(A1141&lt;=30, "Youth", A1141&lt;=50, "Adult", A1141&gt;50, "Older")</f>
        <v>Older</v>
      </c>
      <c r="I1141" t="str" cm="1">
        <f t="array" ref="I1141">_xlfn.IFS(A1141&lt;=25,"18-25",A1141&lt;=35,"26-35",A1141&lt;=45,"36-45",A1141&lt;=60,"46-60",A1141&gt;60,"60+")</f>
        <v>46-60</v>
      </c>
      <c r="J1141" t="str" cm="1">
        <f t="array" ref="J1141">_xlfn.IFS(C1141&lt;18.5,"Underweight",C1141&lt;25,"Normal",C1141&lt;30,"Overweight",C1141&gt;=30,"Obese")</f>
        <v>Obese</v>
      </c>
      <c r="K1141" t="str" cm="1">
        <f t="array" ref="K1141">_xlfn.IFS(G1141&lt;10000, "Low", G1141&lt;=25000, "Medium", G1141&gt;25000, "High")</f>
        <v>High</v>
      </c>
    </row>
    <row r="1142" spans="1:11" x14ac:dyDescent="0.3">
      <c r="A1142">
        <v>56</v>
      </c>
      <c r="B1142" s="1" t="s">
        <v>7</v>
      </c>
      <c r="C1142">
        <v>37.07</v>
      </c>
      <c r="D1142">
        <v>3</v>
      </c>
      <c r="E1142" t="s">
        <v>10</v>
      </c>
      <c r="F1142" t="s">
        <v>11</v>
      </c>
      <c r="G1142" s="2">
        <v>25517.11363</v>
      </c>
      <c r="H1142" t="str" cm="1">
        <f t="array" ref="H1142">_xlfn.IFS(A1142&lt;=30, "Youth", A1142&lt;=50, "Adult", A1142&gt;50, "Older")</f>
        <v>Older</v>
      </c>
      <c r="I1142" t="str" cm="1">
        <f t="array" ref="I1142">_xlfn.IFS(A1142&lt;=25,"18-25",A1142&lt;=35,"26-35",A1142&lt;=45,"36-45",A1142&lt;=60,"46-60",A1142&gt;60,"60+")</f>
        <v>46-60</v>
      </c>
      <c r="J1142" t="str" cm="1">
        <f t="array" ref="J1142">_xlfn.IFS(C1142&lt;18.5,"Underweight",C1142&lt;25,"Normal",C1142&lt;30,"Overweight",C1142&gt;=30,"Obese")</f>
        <v>Obese</v>
      </c>
      <c r="K1142" t="str" cm="1">
        <f t="array" ref="K1142">_xlfn.IFS(G1142&lt;10000, "Low", G1142&lt;=25000, "Medium", G1142&gt;25000, "High")</f>
        <v>High</v>
      </c>
    </row>
    <row r="1143" spans="1:11" x14ac:dyDescent="0.3">
      <c r="A1143">
        <v>56</v>
      </c>
      <c r="B1143" s="1" t="s">
        <v>7</v>
      </c>
      <c r="C1143">
        <v>37.1</v>
      </c>
      <c r="D1143">
        <v>3</v>
      </c>
      <c r="E1143" t="s">
        <v>10</v>
      </c>
      <c r="F1143" t="s">
        <v>12</v>
      </c>
      <c r="G1143" s="2">
        <v>25656.575260000001</v>
      </c>
      <c r="H1143" t="str" cm="1">
        <f t="array" ref="H1143">_xlfn.IFS(A1143&lt;=30, "Youth", A1143&lt;=50, "Adult", A1143&gt;50, "Older")</f>
        <v>Older</v>
      </c>
      <c r="I1143" t="str" cm="1">
        <f t="array" ref="I1143">_xlfn.IFS(A1143&lt;=25,"18-25",A1143&lt;=35,"26-35",A1143&lt;=45,"36-45",A1143&lt;=60,"46-60",A1143&gt;60,"60+")</f>
        <v>46-60</v>
      </c>
      <c r="J1143" t="str" cm="1">
        <f t="array" ref="J1143">_xlfn.IFS(C1143&lt;18.5,"Underweight",C1143&lt;25,"Normal",C1143&lt;30,"Overweight",C1143&gt;=30,"Obese")</f>
        <v>Obese</v>
      </c>
      <c r="K1143" t="str" cm="1">
        <f t="array" ref="K1143">_xlfn.IFS(G1143&lt;10000, "Low", G1143&lt;=25000, "Medium", G1143&gt;25000, "High")</f>
        <v>High</v>
      </c>
    </row>
    <row r="1144" spans="1:11" x14ac:dyDescent="0.3">
      <c r="A1144">
        <v>56</v>
      </c>
      <c r="B1144" s="1" t="s">
        <v>8</v>
      </c>
      <c r="C1144">
        <v>37.1</v>
      </c>
      <c r="D1144">
        <v>3</v>
      </c>
      <c r="E1144" t="s">
        <v>10</v>
      </c>
      <c r="F1144" t="s">
        <v>12</v>
      </c>
      <c r="G1144" s="2">
        <v>25678.778450000002</v>
      </c>
      <c r="H1144" t="str" cm="1">
        <f t="array" ref="H1144">_xlfn.IFS(A1144&lt;=30, "Youth", A1144&lt;=50, "Adult", A1144&gt;50, "Older")</f>
        <v>Older</v>
      </c>
      <c r="I1144" t="str" cm="1">
        <f t="array" ref="I1144">_xlfn.IFS(A1144&lt;=25,"18-25",A1144&lt;=35,"26-35",A1144&lt;=45,"36-45",A1144&lt;=60,"46-60",A1144&gt;60,"60+")</f>
        <v>46-60</v>
      </c>
      <c r="J1144" t="str" cm="1">
        <f t="array" ref="J1144">_xlfn.IFS(C1144&lt;18.5,"Underweight",C1144&lt;25,"Normal",C1144&lt;30,"Overweight",C1144&gt;=30,"Obese")</f>
        <v>Obese</v>
      </c>
      <c r="K1144" t="str" cm="1">
        <f t="array" ref="K1144">_xlfn.IFS(G1144&lt;10000, "Low", G1144&lt;=25000, "Medium", G1144&gt;25000, "High")</f>
        <v>High</v>
      </c>
    </row>
    <row r="1145" spans="1:11" x14ac:dyDescent="0.3">
      <c r="A1145">
        <v>56</v>
      </c>
      <c r="B1145" s="1" t="s">
        <v>8</v>
      </c>
      <c r="C1145">
        <v>37.1</v>
      </c>
      <c r="D1145">
        <v>3</v>
      </c>
      <c r="E1145" t="s">
        <v>10</v>
      </c>
      <c r="F1145" t="s">
        <v>11</v>
      </c>
      <c r="G1145" s="2">
        <v>25992.821039999999</v>
      </c>
      <c r="H1145" t="str" cm="1">
        <f t="array" ref="H1145">_xlfn.IFS(A1145&lt;=30, "Youth", A1145&lt;=50, "Adult", A1145&gt;50, "Older")</f>
        <v>Older</v>
      </c>
      <c r="I1145" t="str" cm="1">
        <f t="array" ref="I1145">_xlfn.IFS(A1145&lt;=25,"18-25",A1145&lt;=35,"26-35",A1145&lt;=45,"36-45",A1145&lt;=60,"46-60",A1145&gt;60,"60+")</f>
        <v>46-60</v>
      </c>
      <c r="J1145" t="str" cm="1">
        <f t="array" ref="J1145">_xlfn.IFS(C1145&lt;18.5,"Underweight",C1145&lt;25,"Normal",C1145&lt;30,"Overweight",C1145&gt;=30,"Obese")</f>
        <v>Obese</v>
      </c>
      <c r="K1145" t="str" cm="1">
        <f t="array" ref="K1145">_xlfn.IFS(G1145&lt;10000, "Low", G1145&lt;=25000, "Medium", G1145&gt;25000, "High")</f>
        <v>High</v>
      </c>
    </row>
    <row r="1146" spans="1:11" x14ac:dyDescent="0.3">
      <c r="A1146">
        <v>56</v>
      </c>
      <c r="B1146" s="1" t="s">
        <v>8</v>
      </c>
      <c r="C1146">
        <v>37.1</v>
      </c>
      <c r="D1146">
        <v>3</v>
      </c>
      <c r="E1146" t="s">
        <v>10</v>
      </c>
      <c r="F1146" t="s">
        <v>13</v>
      </c>
      <c r="G1146" s="2">
        <v>26018.950519999999</v>
      </c>
      <c r="H1146" t="str" cm="1">
        <f t="array" ref="H1146">_xlfn.IFS(A1146&lt;=30, "Youth", A1146&lt;=50, "Adult", A1146&gt;50, "Older")</f>
        <v>Older</v>
      </c>
      <c r="I1146" t="str" cm="1">
        <f t="array" ref="I1146">_xlfn.IFS(A1146&lt;=25,"18-25",A1146&lt;=35,"26-35",A1146&lt;=45,"36-45",A1146&lt;=60,"46-60",A1146&gt;60,"60+")</f>
        <v>46-60</v>
      </c>
      <c r="J1146" t="str" cm="1">
        <f t="array" ref="J1146">_xlfn.IFS(C1146&lt;18.5,"Underweight",C1146&lt;25,"Normal",C1146&lt;30,"Overweight",C1146&gt;=30,"Obese")</f>
        <v>Obese</v>
      </c>
      <c r="K1146" t="str" cm="1">
        <f t="array" ref="K1146">_xlfn.IFS(G1146&lt;10000, "Low", G1146&lt;=25000, "Medium", G1146&gt;25000, "High")</f>
        <v>High</v>
      </c>
    </row>
    <row r="1147" spans="1:11" x14ac:dyDescent="0.3">
      <c r="A1147">
        <v>56</v>
      </c>
      <c r="B1147" s="1" t="s">
        <v>8</v>
      </c>
      <c r="C1147">
        <v>37.1</v>
      </c>
      <c r="D1147">
        <v>3</v>
      </c>
      <c r="E1147" t="s">
        <v>9</v>
      </c>
      <c r="F1147" t="s">
        <v>11</v>
      </c>
      <c r="G1147" s="2">
        <v>26109.32905</v>
      </c>
      <c r="H1147" t="str" cm="1">
        <f t="array" ref="H1147">_xlfn.IFS(A1147&lt;=30, "Youth", A1147&lt;=50, "Adult", A1147&gt;50, "Older")</f>
        <v>Older</v>
      </c>
      <c r="I1147" t="str" cm="1">
        <f t="array" ref="I1147">_xlfn.IFS(A1147&lt;=25,"18-25",A1147&lt;=35,"26-35",A1147&lt;=45,"36-45",A1147&lt;=60,"46-60",A1147&gt;60,"60+")</f>
        <v>46-60</v>
      </c>
      <c r="J1147" t="str" cm="1">
        <f t="array" ref="J1147">_xlfn.IFS(C1147&lt;18.5,"Underweight",C1147&lt;25,"Normal",C1147&lt;30,"Overweight",C1147&gt;=30,"Obese")</f>
        <v>Obese</v>
      </c>
      <c r="K1147" t="str" cm="1">
        <f t="array" ref="K1147">_xlfn.IFS(G1147&lt;10000, "Low", G1147&lt;=25000, "Medium", G1147&gt;25000, "High")</f>
        <v>High</v>
      </c>
    </row>
    <row r="1148" spans="1:11" x14ac:dyDescent="0.3">
      <c r="A1148">
        <v>56</v>
      </c>
      <c r="B1148" s="1" t="s">
        <v>7</v>
      </c>
      <c r="C1148">
        <v>37.1</v>
      </c>
      <c r="D1148">
        <v>3</v>
      </c>
      <c r="E1148" t="s">
        <v>10</v>
      </c>
      <c r="F1148" t="s">
        <v>13</v>
      </c>
      <c r="G1148" s="2">
        <v>26125.674770000001</v>
      </c>
      <c r="H1148" t="str" cm="1">
        <f t="array" ref="H1148">_xlfn.IFS(A1148&lt;=30, "Youth", A1148&lt;=50, "Adult", A1148&gt;50, "Older")</f>
        <v>Older</v>
      </c>
      <c r="I1148" t="str" cm="1">
        <f t="array" ref="I1148">_xlfn.IFS(A1148&lt;=25,"18-25",A1148&lt;=35,"26-35",A1148&lt;=45,"36-45",A1148&lt;=60,"46-60",A1148&gt;60,"60+")</f>
        <v>46-60</v>
      </c>
      <c r="J1148" t="str" cm="1">
        <f t="array" ref="J1148">_xlfn.IFS(C1148&lt;18.5,"Underweight",C1148&lt;25,"Normal",C1148&lt;30,"Overweight",C1148&gt;=30,"Obese")</f>
        <v>Obese</v>
      </c>
      <c r="K1148" t="str" cm="1">
        <f t="array" ref="K1148">_xlfn.IFS(G1148&lt;10000, "Low", G1148&lt;=25000, "Medium", G1148&gt;25000, "High")</f>
        <v>High</v>
      </c>
    </row>
    <row r="1149" spans="1:11" x14ac:dyDescent="0.3">
      <c r="A1149">
        <v>57</v>
      </c>
      <c r="B1149" s="1" t="s">
        <v>8</v>
      </c>
      <c r="C1149">
        <v>37.145000000000003</v>
      </c>
      <c r="D1149">
        <v>3</v>
      </c>
      <c r="E1149" t="s">
        <v>10</v>
      </c>
      <c r="F1149" t="s">
        <v>11</v>
      </c>
      <c r="G1149" s="2">
        <v>26140.3603</v>
      </c>
      <c r="H1149" t="str" cm="1">
        <f t="array" ref="H1149">_xlfn.IFS(A1149&lt;=30, "Youth", A1149&lt;=50, "Adult", A1149&gt;50, "Older")</f>
        <v>Older</v>
      </c>
      <c r="I1149" t="str" cm="1">
        <f t="array" ref="I1149">_xlfn.IFS(A1149&lt;=25,"18-25",A1149&lt;=35,"26-35",A1149&lt;=45,"36-45",A1149&lt;=60,"46-60",A1149&gt;60,"60+")</f>
        <v>46-60</v>
      </c>
      <c r="J1149" t="str" cm="1">
        <f t="array" ref="J1149">_xlfn.IFS(C1149&lt;18.5,"Underweight",C1149&lt;25,"Normal",C1149&lt;30,"Overweight",C1149&gt;=30,"Obese")</f>
        <v>Obese</v>
      </c>
      <c r="K1149" t="str" cm="1">
        <f t="array" ref="K1149">_xlfn.IFS(G1149&lt;10000, "Low", G1149&lt;=25000, "Medium", G1149&gt;25000, "High")</f>
        <v>High</v>
      </c>
    </row>
    <row r="1150" spans="1:11" x14ac:dyDescent="0.3">
      <c r="A1150">
        <v>57</v>
      </c>
      <c r="B1150" s="1" t="s">
        <v>8</v>
      </c>
      <c r="C1150">
        <v>37.18</v>
      </c>
      <c r="D1150">
        <v>3</v>
      </c>
      <c r="E1150" t="s">
        <v>10</v>
      </c>
      <c r="F1150" t="s">
        <v>11</v>
      </c>
      <c r="G1150" s="2">
        <v>26236.579969999999</v>
      </c>
      <c r="H1150" t="str" cm="1">
        <f t="array" ref="H1150">_xlfn.IFS(A1150&lt;=30, "Youth", A1150&lt;=50, "Adult", A1150&gt;50, "Older")</f>
        <v>Older</v>
      </c>
      <c r="I1150" t="str" cm="1">
        <f t="array" ref="I1150">_xlfn.IFS(A1150&lt;=25,"18-25",A1150&lt;=35,"26-35",A1150&lt;=45,"36-45",A1150&lt;=60,"46-60",A1150&gt;60,"60+")</f>
        <v>46-60</v>
      </c>
      <c r="J1150" t="str" cm="1">
        <f t="array" ref="J1150">_xlfn.IFS(C1150&lt;18.5,"Underweight",C1150&lt;25,"Normal",C1150&lt;30,"Overweight",C1150&gt;=30,"Obese")</f>
        <v>Obese</v>
      </c>
      <c r="K1150" t="str" cm="1">
        <f t="array" ref="K1150">_xlfn.IFS(G1150&lt;10000, "Low", G1150&lt;=25000, "Medium", G1150&gt;25000, "High")</f>
        <v>High</v>
      </c>
    </row>
    <row r="1151" spans="1:11" x14ac:dyDescent="0.3">
      <c r="A1151">
        <v>57</v>
      </c>
      <c r="B1151" s="1" t="s">
        <v>7</v>
      </c>
      <c r="C1151">
        <v>37.18</v>
      </c>
      <c r="D1151">
        <v>3</v>
      </c>
      <c r="E1151" t="s">
        <v>10</v>
      </c>
      <c r="F1151" t="s">
        <v>14</v>
      </c>
      <c r="G1151" s="2">
        <v>26392.260289999998</v>
      </c>
      <c r="H1151" t="str" cm="1">
        <f t="array" ref="H1151">_xlfn.IFS(A1151&lt;=30, "Youth", A1151&lt;=50, "Adult", A1151&gt;50, "Older")</f>
        <v>Older</v>
      </c>
      <c r="I1151" t="str" cm="1">
        <f t="array" ref="I1151">_xlfn.IFS(A1151&lt;=25,"18-25",A1151&lt;=35,"26-35",A1151&lt;=45,"36-45",A1151&lt;=60,"46-60",A1151&gt;60,"60+")</f>
        <v>46-60</v>
      </c>
      <c r="J1151" t="str" cm="1">
        <f t="array" ref="J1151">_xlfn.IFS(C1151&lt;18.5,"Underweight",C1151&lt;25,"Normal",C1151&lt;30,"Overweight",C1151&gt;=30,"Obese")</f>
        <v>Obese</v>
      </c>
      <c r="K1151" t="str" cm="1">
        <f t="array" ref="K1151">_xlfn.IFS(G1151&lt;10000, "Low", G1151&lt;=25000, "Medium", G1151&gt;25000, "High")</f>
        <v>High</v>
      </c>
    </row>
    <row r="1152" spans="1:11" x14ac:dyDescent="0.3">
      <c r="A1152">
        <v>57</v>
      </c>
      <c r="B1152" s="1" t="s">
        <v>7</v>
      </c>
      <c r="C1152">
        <v>37.29</v>
      </c>
      <c r="D1152">
        <v>3</v>
      </c>
      <c r="E1152" t="s">
        <v>10</v>
      </c>
      <c r="F1152" t="s">
        <v>13</v>
      </c>
      <c r="G1152" s="2">
        <v>26467.09737</v>
      </c>
      <c r="H1152" t="str" cm="1">
        <f t="array" ref="H1152">_xlfn.IFS(A1152&lt;=30, "Youth", A1152&lt;=50, "Adult", A1152&gt;50, "Older")</f>
        <v>Older</v>
      </c>
      <c r="I1152" t="str" cm="1">
        <f t="array" ref="I1152">_xlfn.IFS(A1152&lt;=25,"18-25",A1152&lt;=35,"26-35",A1152&lt;=45,"36-45",A1152&lt;=60,"46-60",A1152&gt;60,"60+")</f>
        <v>46-60</v>
      </c>
      <c r="J1152" t="str" cm="1">
        <f t="array" ref="J1152">_xlfn.IFS(C1152&lt;18.5,"Underweight",C1152&lt;25,"Normal",C1152&lt;30,"Overweight",C1152&gt;=30,"Obese")</f>
        <v>Obese</v>
      </c>
      <c r="K1152" t="str" cm="1">
        <f t="array" ref="K1152">_xlfn.IFS(G1152&lt;10000, "Low", G1152&lt;=25000, "Medium", G1152&gt;25000, "High")</f>
        <v>High</v>
      </c>
    </row>
    <row r="1153" spans="1:11" x14ac:dyDescent="0.3">
      <c r="A1153">
        <v>57</v>
      </c>
      <c r="B1153" s="1" t="s">
        <v>7</v>
      </c>
      <c r="C1153">
        <v>37.29</v>
      </c>
      <c r="D1153">
        <v>3</v>
      </c>
      <c r="E1153" t="s">
        <v>9</v>
      </c>
      <c r="F1153" t="s">
        <v>12</v>
      </c>
      <c r="G1153" s="2">
        <v>26926.5144</v>
      </c>
      <c r="H1153" t="str" cm="1">
        <f t="array" ref="H1153">_xlfn.IFS(A1153&lt;=30, "Youth", A1153&lt;=50, "Adult", A1153&gt;50, "Older")</f>
        <v>Older</v>
      </c>
      <c r="I1153" t="str" cm="1">
        <f t="array" ref="I1153">_xlfn.IFS(A1153&lt;=25,"18-25",A1153&lt;=35,"26-35",A1153&lt;=45,"36-45",A1153&lt;=60,"46-60",A1153&gt;60,"60+")</f>
        <v>46-60</v>
      </c>
      <c r="J1153" t="str" cm="1">
        <f t="array" ref="J1153">_xlfn.IFS(C1153&lt;18.5,"Underweight",C1153&lt;25,"Normal",C1153&lt;30,"Overweight",C1153&gt;=30,"Obese")</f>
        <v>Obese</v>
      </c>
      <c r="K1153" t="str" cm="1">
        <f t="array" ref="K1153">_xlfn.IFS(G1153&lt;10000, "Low", G1153&lt;=25000, "Medium", G1153&gt;25000, "High")</f>
        <v>High</v>
      </c>
    </row>
    <row r="1154" spans="1:11" x14ac:dyDescent="0.3">
      <c r="A1154">
        <v>57</v>
      </c>
      <c r="B1154" s="1" t="s">
        <v>7</v>
      </c>
      <c r="C1154">
        <v>37.29</v>
      </c>
      <c r="D1154">
        <v>3</v>
      </c>
      <c r="E1154" t="s">
        <v>10</v>
      </c>
      <c r="F1154" t="s">
        <v>13</v>
      </c>
      <c r="G1154" s="2">
        <v>27000.98473</v>
      </c>
      <c r="H1154" t="str" cm="1">
        <f t="array" ref="H1154">_xlfn.IFS(A1154&lt;=30, "Youth", A1154&lt;=50, "Adult", A1154&gt;50, "Older")</f>
        <v>Older</v>
      </c>
      <c r="I1154" t="str" cm="1">
        <f t="array" ref="I1154">_xlfn.IFS(A1154&lt;=25,"18-25",A1154&lt;=35,"26-35",A1154&lt;=45,"36-45",A1154&lt;=60,"46-60",A1154&gt;60,"60+")</f>
        <v>46-60</v>
      </c>
      <c r="J1154" t="str" cm="1">
        <f t="array" ref="J1154">_xlfn.IFS(C1154&lt;18.5,"Underweight",C1154&lt;25,"Normal",C1154&lt;30,"Overweight",C1154&gt;=30,"Obese")</f>
        <v>Obese</v>
      </c>
      <c r="K1154" t="str" cm="1">
        <f t="array" ref="K1154">_xlfn.IFS(G1154&lt;10000, "Low", G1154&lt;=25000, "Medium", G1154&gt;25000, "High")</f>
        <v>High</v>
      </c>
    </row>
    <row r="1155" spans="1:11" x14ac:dyDescent="0.3">
      <c r="A1155">
        <v>57</v>
      </c>
      <c r="B1155" s="1" t="s">
        <v>7</v>
      </c>
      <c r="C1155">
        <v>37.29</v>
      </c>
      <c r="D1155">
        <v>3</v>
      </c>
      <c r="E1155" t="s">
        <v>10</v>
      </c>
      <c r="F1155" t="s">
        <v>13</v>
      </c>
      <c r="G1155" s="2">
        <v>27037.914100000002</v>
      </c>
      <c r="H1155" t="str" cm="1">
        <f t="array" ref="H1155">_xlfn.IFS(A1155&lt;=30, "Youth", A1155&lt;=50, "Adult", A1155&gt;50, "Older")</f>
        <v>Older</v>
      </c>
      <c r="I1155" t="str" cm="1">
        <f t="array" ref="I1155">_xlfn.IFS(A1155&lt;=25,"18-25",A1155&lt;=35,"26-35",A1155&lt;=45,"36-45",A1155&lt;=60,"46-60",A1155&gt;60,"60+")</f>
        <v>46-60</v>
      </c>
      <c r="J1155" t="str" cm="1">
        <f t="array" ref="J1155">_xlfn.IFS(C1155&lt;18.5,"Underweight",C1155&lt;25,"Normal",C1155&lt;30,"Overweight",C1155&gt;=30,"Obese")</f>
        <v>Obese</v>
      </c>
      <c r="K1155" t="str" cm="1">
        <f t="array" ref="K1155">_xlfn.IFS(G1155&lt;10000, "Low", G1155&lt;=25000, "Medium", G1155&gt;25000, "High")</f>
        <v>High</v>
      </c>
    </row>
    <row r="1156" spans="1:11" x14ac:dyDescent="0.3">
      <c r="A1156">
        <v>57</v>
      </c>
      <c r="B1156" s="1" t="s">
        <v>7</v>
      </c>
      <c r="C1156">
        <v>37.299999999999997</v>
      </c>
      <c r="D1156">
        <v>3</v>
      </c>
      <c r="E1156" t="s">
        <v>10</v>
      </c>
      <c r="F1156" t="s">
        <v>14</v>
      </c>
      <c r="G1156" s="2">
        <v>27117.993780000001</v>
      </c>
      <c r="H1156" t="str" cm="1">
        <f t="array" ref="H1156">_xlfn.IFS(A1156&lt;=30, "Youth", A1156&lt;=50, "Adult", A1156&gt;50, "Older")</f>
        <v>Older</v>
      </c>
      <c r="I1156" t="str" cm="1">
        <f t="array" ref="I1156">_xlfn.IFS(A1156&lt;=25,"18-25",A1156&lt;=35,"26-35",A1156&lt;=45,"36-45",A1156&lt;=60,"46-60",A1156&gt;60,"60+")</f>
        <v>46-60</v>
      </c>
      <c r="J1156" t="str" cm="1">
        <f t="array" ref="J1156">_xlfn.IFS(C1156&lt;18.5,"Underweight",C1156&lt;25,"Normal",C1156&lt;30,"Overweight",C1156&gt;=30,"Obese")</f>
        <v>Obese</v>
      </c>
      <c r="K1156" t="str" cm="1">
        <f t="array" ref="K1156">_xlfn.IFS(G1156&lt;10000, "Low", G1156&lt;=25000, "Medium", G1156&gt;25000, "High")</f>
        <v>High</v>
      </c>
    </row>
    <row r="1157" spans="1:11" x14ac:dyDescent="0.3">
      <c r="A1157">
        <v>57</v>
      </c>
      <c r="B1157" s="1" t="s">
        <v>8</v>
      </c>
      <c r="C1157">
        <v>37.335000000000001</v>
      </c>
      <c r="D1157">
        <v>3</v>
      </c>
      <c r="E1157" t="s">
        <v>9</v>
      </c>
      <c r="F1157" t="s">
        <v>12</v>
      </c>
      <c r="G1157" s="2">
        <v>27218.437249999999</v>
      </c>
      <c r="H1157" t="str" cm="1">
        <f t="array" ref="H1157">_xlfn.IFS(A1157&lt;=30, "Youth", A1157&lt;=50, "Adult", A1157&gt;50, "Older")</f>
        <v>Older</v>
      </c>
      <c r="I1157" t="str" cm="1">
        <f t="array" ref="I1157">_xlfn.IFS(A1157&lt;=25,"18-25",A1157&lt;=35,"26-35",A1157&lt;=45,"36-45",A1157&lt;=60,"46-60",A1157&gt;60,"60+")</f>
        <v>46-60</v>
      </c>
      <c r="J1157" t="str" cm="1">
        <f t="array" ref="J1157">_xlfn.IFS(C1157&lt;18.5,"Underweight",C1157&lt;25,"Normal",C1157&lt;30,"Overweight",C1157&gt;=30,"Obese")</f>
        <v>Obese</v>
      </c>
      <c r="K1157" t="str" cm="1">
        <f t="array" ref="K1157">_xlfn.IFS(G1157&lt;10000, "Low", G1157&lt;=25000, "Medium", G1157&gt;25000, "High")</f>
        <v>High</v>
      </c>
    </row>
    <row r="1158" spans="1:11" x14ac:dyDescent="0.3">
      <c r="A1158">
        <v>57</v>
      </c>
      <c r="B1158" s="1" t="s">
        <v>7</v>
      </c>
      <c r="C1158">
        <v>37.335000000000001</v>
      </c>
      <c r="D1158">
        <v>3</v>
      </c>
      <c r="E1158" t="s">
        <v>10</v>
      </c>
      <c r="F1158" t="s">
        <v>13</v>
      </c>
      <c r="G1158" s="2">
        <v>27322.73386</v>
      </c>
      <c r="H1158" t="str" cm="1">
        <f t="array" ref="H1158">_xlfn.IFS(A1158&lt;=30, "Youth", A1158&lt;=50, "Adult", A1158&gt;50, "Older")</f>
        <v>Older</v>
      </c>
      <c r="I1158" t="str" cm="1">
        <f t="array" ref="I1158">_xlfn.IFS(A1158&lt;=25,"18-25",A1158&lt;=35,"26-35",A1158&lt;=45,"36-45",A1158&lt;=60,"46-60",A1158&gt;60,"60+")</f>
        <v>46-60</v>
      </c>
      <c r="J1158" t="str" cm="1">
        <f t="array" ref="J1158">_xlfn.IFS(C1158&lt;18.5,"Underweight",C1158&lt;25,"Normal",C1158&lt;30,"Overweight",C1158&gt;=30,"Obese")</f>
        <v>Obese</v>
      </c>
      <c r="K1158" t="str" cm="1">
        <f t="array" ref="K1158">_xlfn.IFS(G1158&lt;10000, "Low", G1158&lt;=25000, "Medium", G1158&gt;25000, "High")</f>
        <v>High</v>
      </c>
    </row>
    <row r="1159" spans="1:11" x14ac:dyDescent="0.3">
      <c r="A1159">
        <v>57</v>
      </c>
      <c r="B1159" s="1" t="s">
        <v>7</v>
      </c>
      <c r="C1159">
        <v>37.4</v>
      </c>
      <c r="D1159">
        <v>3</v>
      </c>
      <c r="E1159" t="s">
        <v>10</v>
      </c>
      <c r="F1159" t="s">
        <v>14</v>
      </c>
      <c r="G1159" s="2">
        <v>27346.04207</v>
      </c>
      <c r="H1159" t="str" cm="1">
        <f t="array" ref="H1159">_xlfn.IFS(A1159&lt;=30, "Youth", A1159&lt;=50, "Adult", A1159&gt;50, "Older")</f>
        <v>Older</v>
      </c>
      <c r="I1159" t="str" cm="1">
        <f t="array" ref="I1159">_xlfn.IFS(A1159&lt;=25,"18-25",A1159&lt;=35,"26-35",A1159&lt;=45,"36-45",A1159&lt;=60,"46-60",A1159&gt;60,"60+")</f>
        <v>46-60</v>
      </c>
      <c r="J1159" t="str" cm="1">
        <f t="array" ref="J1159">_xlfn.IFS(C1159&lt;18.5,"Underweight",C1159&lt;25,"Normal",C1159&lt;30,"Overweight",C1159&gt;=30,"Obese")</f>
        <v>Obese</v>
      </c>
      <c r="K1159" t="str" cm="1">
        <f t="array" ref="K1159">_xlfn.IFS(G1159&lt;10000, "Low", G1159&lt;=25000, "Medium", G1159&gt;25000, "High")</f>
        <v>High</v>
      </c>
    </row>
    <row r="1160" spans="1:11" x14ac:dyDescent="0.3">
      <c r="A1160">
        <v>57</v>
      </c>
      <c r="B1160" s="1" t="s">
        <v>7</v>
      </c>
      <c r="C1160">
        <v>37.4</v>
      </c>
      <c r="D1160">
        <v>3</v>
      </c>
      <c r="E1160" t="s">
        <v>10</v>
      </c>
      <c r="F1160" t="s">
        <v>11</v>
      </c>
      <c r="G1160" s="2">
        <v>27375.904780000001</v>
      </c>
      <c r="H1160" t="str" cm="1">
        <f t="array" ref="H1160">_xlfn.IFS(A1160&lt;=30, "Youth", A1160&lt;=50, "Adult", A1160&gt;50, "Older")</f>
        <v>Older</v>
      </c>
      <c r="I1160" t="str" cm="1">
        <f t="array" ref="I1160">_xlfn.IFS(A1160&lt;=25,"18-25",A1160&lt;=35,"26-35",A1160&lt;=45,"36-45",A1160&lt;=60,"46-60",A1160&gt;60,"60+")</f>
        <v>46-60</v>
      </c>
      <c r="J1160" t="str" cm="1">
        <f t="array" ref="J1160">_xlfn.IFS(C1160&lt;18.5,"Underweight",C1160&lt;25,"Normal",C1160&lt;30,"Overweight",C1160&gt;=30,"Obese")</f>
        <v>Obese</v>
      </c>
      <c r="K1160" t="str" cm="1">
        <f t="array" ref="K1160">_xlfn.IFS(G1160&lt;10000, "Low", G1160&lt;=25000, "Medium", G1160&gt;25000, "High")</f>
        <v>High</v>
      </c>
    </row>
    <row r="1161" spans="1:11" x14ac:dyDescent="0.3">
      <c r="A1161">
        <v>57</v>
      </c>
      <c r="B1161" s="1" t="s">
        <v>7</v>
      </c>
      <c r="C1161">
        <v>37.4</v>
      </c>
      <c r="D1161">
        <v>3</v>
      </c>
      <c r="E1161" t="s">
        <v>10</v>
      </c>
      <c r="F1161" t="s">
        <v>13</v>
      </c>
      <c r="G1161" s="2">
        <v>27533.912899999999</v>
      </c>
      <c r="H1161" t="str" cm="1">
        <f t="array" ref="H1161">_xlfn.IFS(A1161&lt;=30, "Youth", A1161&lt;=50, "Adult", A1161&gt;50, "Older")</f>
        <v>Older</v>
      </c>
      <c r="I1161" t="str" cm="1">
        <f t="array" ref="I1161">_xlfn.IFS(A1161&lt;=25,"18-25",A1161&lt;=35,"26-35",A1161&lt;=45,"36-45",A1161&lt;=60,"46-60",A1161&gt;60,"60+")</f>
        <v>46-60</v>
      </c>
      <c r="J1161" t="str" cm="1">
        <f t="array" ref="J1161">_xlfn.IFS(C1161&lt;18.5,"Underweight",C1161&lt;25,"Normal",C1161&lt;30,"Overweight",C1161&gt;=30,"Obese")</f>
        <v>Obese</v>
      </c>
      <c r="K1161" t="str" cm="1">
        <f t="array" ref="K1161">_xlfn.IFS(G1161&lt;10000, "Low", G1161&lt;=25000, "Medium", G1161&gt;25000, "High")</f>
        <v>High</v>
      </c>
    </row>
    <row r="1162" spans="1:11" x14ac:dyDescent="0.3">
      <c r="A1162">
        <v>57</v>
      </c>
      <c r="B1162" s="1" t="s">
        <v>8</v>
      </c>
      <c r="C1162">
        <v>37.43</v>
      </c>
      <c r="D1162">
        <v>3</v>
      </c>
      <c r="E1162" t="s">
        <v>10</v>
      </c>
      <c r="F1162" t="s">
        <v>12</v>
      </c>
      <c r="G1162" s="2">
        <v>27724.28875</v>
      </c>
      <c r="H1162" t="str" cm="1">
        <f t="array" ref="H1162">_xlfn.IFS(A1162&lt;=30, "Youth", A1162&lt;=50, "Adult", A1162&gt;50, "Older")</f>
        <v>Older</v>
      </c>
      <c r="I1162" t="str" cm="1">
        <f t="array" ref="I1162">_xlfn.IFS(A1162&lt;=25,"18-25",A1162&lt;=35,"26-35",A1162&lt;=45,"36-45",A1162&lt;=60,"46-60",A1162&gt;60,"60+")</f>
        <v>46-60</v>
      </c>
      <c r="J1162" t="str" cm="1">
        <f t="array" ref="J1162">_xlfn.IFS(C1162&lt;18.5,"Underweight",C1162&lt;25,"Normal",C1162&lt;30,"Overweight",C1162&gt;=30,"Obese")</f>
        <v>Obese</v>
      </c>
      <c r="K1162" t="str" cm="1">
        <f t="array" ref="K1162">_xlfn.IFS(G1162&lt;10000, "Low", G1162&lt;=25000, "Medium", G1162&gt;25000, "High")</f>
        <v>High</v>
      </c>
    </row>
    <row r="1163" spans="1:11" x14ac:dyDescent="0.3">
      <c r="A1163">
        <v>57</v>
      </c>
      <c r="B1163" s="1" t="s">
        <v>8</v>
      </c>
      <c r="C1163">
        <v>37.43</v>
      </c>
      <c r="D1163">
        <v>3</v>
      </c>
      <c r="E1163" t="s">
        <v>10</v>
      </c>
      <c r="F1163" t="s">
        <v>12</v>
      </c>
      <c r="G1163" s="2">
        <v>27808.7251</v>
      </c>
      <c r="H1163" t="str" cm="1">
        <f t="array" ref="H1163">_xlfn.IFS(A1163&lt;=30, "Youth", A1163&lt;=50, "Adult", A1163&gt;50, "Older")</f>
        <v>Older</v>
      </c>
      <c r="I1163" t="str" cm="1">
        <f t="array" ref="I1163">_xlfn.IFS(A1163&lt;=25,"18-25",A1163&lt;=35,"26-35",A1163&lt;=45,"36-45",A1163&lt;=60,"46-60",A1163&gt;60,"60+")</f>
        <v>46-60</v>
      </c>
      <c r="J1163" t="str" cm="1">
        <f t="array" ref="J1163">_xlfn.IFS(C1163&lt;18.5,"Underweight",C1163&lt;25,"Normal",C1163&lt;30,"Overweight",C1163&gt;=30,"Obese")</f>
        <v>Obese</v>
      </c>
      <c r="K1163" t="str" cm="1">
        <f t="array" ref="K1163">_xlfn.IFS(G1163&lt;10000, "Low", G1163&lt;=25000, "Medium", G1163&gt;25000, "High")</f>
        <v>High</v>
      </c>
    </row>
    <row r="1164" spans="1:11" x14ac:dyDescent="0.3">
      <c r="A1164">
        <v>57</v>
      </c>
      <c r="B1164" s="1" t="s">
        <v>7</v>
      </c>
      <c r="C1164">
        <v>37.43</v>
      </c>
      <c r="D1164">
        <v>3</v>
      </c>
      <c r="E1164" t="s">
        <v>10</v>
      </c>
      <c r="F1164" t="s">
        <v>14</v>
      </c>
      <c r="G1164" s="2">
        <v>27941.28758</v>
      </c>
      <c r="H1164" t="str" cm="1">
        <f t="array" ref="H1164">_xlfn.IFS(A1164&lt;=30, "Youth", A1164&lt;=50, "Adult", A1164&gt;50, "Older")</f>
        <v>Older</v>
      </c>
      <c r="I1164" t="str" cm="1">
        <f t="array" ref="I1164">_xlfn.IFS(A1164&lt;=25,"18-25",A1164&lt;=35,"26-35",A1164&lt;=45,"36-45",A1164&lt;=60,"46-60",A1164&gt;60,"60+")</f>
        <v>46-60</v>
      </c>
      <c r="J1164" t="str" cm="1">
        <f t="array" ref="J1164">_xlfn.IFS(C1164&lt;18.5,"Underweight",C1164&lt;25,"Normal",C1164&lt;30,"Overweight",C1164&gt;=30,"Obese")</f>
        <v>Obese</v>
      </c>
      <c r="K1164" t="str" cm="1">
        <f t="array" ref="K1164">_xlfn.IFS(G1164&lt;10000, "Low", G1164&lt;=25000, "Medium", G1164&gt;25000, "High")</f>
        <v>High</v>
      </c>
    </row>
    <row r="1165" spans="1:11" x14ac:dyDescent="0.3">
      <c r="A1165">
        <v>57</v>
      </c>
      <c r="B1165" s="1" t="s">
        <v>7</v>
      </c>
      <c r="C1165">
        <v>37.51</v>
      </c>
      <c r="D1165">
        <v>3</v>
      </c>
      <c r="E1165" t="s">
        <v>10</v>
      </c>
      <c r="F1165" t="s">
        <v>13</v>
      </c>
      <c r="G1165" s="2">
        <v>28101.333050000001</v>
      </c>
      <c r="H1165" t="str" cm="1">
        <f t="array" ref="H1165">_xlfn.IFS(A1165&lt;=30, "Youth", A1165&lt;=50, "Adult", A1165&gt;50, "Older")</f>
        <v>Older</v>
      </c>
      <c r="I1165" t="str" cm="1">
        <f t="array" ref="I1165">_xlfn.IFS(A1165&lt;=25,"18-25",A1165&lt;=35,"26-35",A1165&lt;=45,"36-45",A1165&lt;=60,"46-60",A1165&gt;60,"60+")</f>
        <v>46-60</v>
      </c>
      <c r="J1165" t="str" cm="1">
        <f t="array" ref="J1165">_xlfn.IFS(C1165&lt;18.5,"Underweight",C1165&lt;25,"Normal",C1165&lt;30,"Overweight",C1165&gt;=30,"Obese")</f>
        <v>Obese</v>
      </c>
      <c r="K1165" t="str" cm="1">
        <f t="array" ref="K1165">_xlfn.IFS(G1165&lt;10000, "Low", G1165&lt;=25000, "Medium", G1165&gt;25000, "High")</f>
        <v>High</v>
      </c>
    </row>
    <row r="1166" spans="1:11" x14ac:dyDescent="0.3">
      <c r="A1166">
        <v>57</v>
      </c>
      <c r="B1166" s="1" t="s">
        <v>7</v>
      </c>
      <c r="C1166">
        <v>37.51</v>
      </c>
      <c r="D1166">
        <v>3</v>
      </c>
      <c r="E1166" t="s">
        <v>10</v>
      </c>
      <c r="F1166" t="s">
        <v>14</v>
      </c>
      <c r="G1166" s="2">
        <v>28287.897659999999</v>
      </c>
      <c r="H1166" t="str" cm="1">
        <f t="array" ref="H1166">_xlfn.IFS(A1166&lt;=30, "Youth", A1166&lt;=50, "Adult", A1166&gt;50, "Older")</f>
        <v>Older</v>
      </c>
      <c r="I1166" t="str" cm="1">
        <f t="array" ref="I1166">_xlfn.IFS(A1166&lt;=25,"18-25",A1166&lt;=35,"26-35",A1166&lt;=45,"36-45",A1166&lt;=60,"46-60",A1166&gt;60,"60+")</f>
        <v>46-60</v>
      </c>
      <c r="J1166" t="str" cm="1">
        <f t="array" ref="J1166">_xlfn.IFS(C1166&lt;18.5,"Underweight",C1166&lt;25,"Normal",C1166&lt;30,"Overweight",C1166&gt;=30,"Obese")</f>
        <v>Obese</v>
      </c>
      <c r="K1166" t="str" cm="1">
        <f t="array" ref="K1166">_xlfn.IFS(G1166&lt;10000, "Low", G1166&lt;=25000, "Medium", G1166&gt;25000, "High")</f>
        <v>High</v>
      </c>
    </row>
    <row r="1167" spans="1:11" x14ac:dyDescent="0.3">
      <c r="A1167">
        <v>57</v>
      </c>
      <c r="B1167" s="1" t="s">
        <v>8</v>
      </c>
      <c r="C1167">
        <v>37.524999999999999</v>
      </c>
      <c r="D1167">
        <v>3</v>
      </c>
      <c r="E1167" t="s">
        <v>10</v>
      </c>
      <c r="F1167" t="s">
        <v>12</v>
      </c>
      <c r="G1167" s="2">
        <v>28340.188849999999</v>
      </c>
      <c r="H1167" t="str" cm="1">
        <f t="array" ref="H1167">_xlfn.IFS(A1167&lt;=30, "Youth", A1167&lt;=50, "Adult", A1167&gt;50, "Older")</f>
        <v>Older</v>
      </c>
      <c r="I1167" t="str" cm="1">
        <f t="array" ref="I1167">_xlfn.IFS(A1167&lt;=25,"18-25",A1167&lt;=35,"26-35",A1167&lt;=45,"36-45",A1167&lt;=60,"46-60",A1167&gt;60,"60+")</f>
        <v>46-60</v>
      </c>
      <c r="J1167" t="str" cm="1">
        <f t="array" ref="J1167">_xlfn.IFS(C1167&lt;18.5,"Underweight",C1167&lt;25,"Normal",C1167&lt;30,"Overweight",C1167&gt;=30,"Obese")</f>
        <v>Obese</v>
      </c>
      <c r="K1167" t="str" cm="1">
        <f t="array" ref="K1167">_xlfn.IFS(G1167&lt;10000, "Low", G1167&lt;=25000, "Medium", G1167&gt;25000, "High")</f>
        <v>High</v>
      </c>
    </row>
    <row r="1168" spans="1:11" x14ac:dyDescent="0.3">
      <c r="A1168">
        <v>57</v>
      </c>
      <c r="B1168" s="1" t="s">
        <v>7</v>
      </c>
      <c r="C1168">
        <v>37.619999999999997</v>
      </c>
      <c r="D1168">
        <v>3</v>
      </c>
      <c r="E1168" t="s">
        <v>10</v>
      </c>
      <c r="F1168" t="s">
        <v>11</v>
      </c>
      <c r="G1168" s="2">
        <v>28468.919010000001</v>
      </c>
      <c r="H1168" t="str" cm="1">
        <f t="array" ref="H1168">_xlfn.IFS(A1168&lt;=30, "Youth", A1168&lt;=50, "Adult", A1168&gt;50, "Older")</f>
        <v>Older</v>
      </c>
      <c r="I1168" t="str" cm="1">
        <f t="array" ref="I1168">_xlfn.IFS(A1168&lt;=25,"18-25",A1168&lt;=35,"26-35",A1168&lt;=45,"36-45",A1168&lt;=60,"46-60",A1168&gt;60,"60+")</f>
        <v>46-60</v>
      </c>
      <c r="J1168" t="str" cm="1">
        <f t="array" ref="J1168">_xlfn.IFS(C1168&lt;18.5,"Underweight",C1168&lt;25,"Normal",C1168&lt;30,"Overweight",C1168&gt;=30,"Obese")</f>
        <v>Obese</v>
      </c>
      <c r="K1168" t="str" cm="1">
        <f t="array" ref="K1168">_xlfn.IFS(G1168&lt;10000, "Low", G1168&lt;=25000, "Medium", G1168&gt;25000, "High")</f>
        <v>High</v>
      </c>
    </row>
    <row r="1169" spans="1:11" x14ac:dyDescent="0.3">
      <c r="A1169">
        <v>57</v>
      </c>
      <c r="B1169" s="1" t="s">
        <v>8</v>
      </c>
      <c r="C1169">
        <v>37.619999999999997</v>
      </c>
      <c r="D1169">
        <v>3</v>
      </c>
      <c r="E1169" t="s">
        <v>10</v>
      </c>
      <c r="F1169" t="s">
        <v>11</v>
      </c>
      <c r="G1169" s="2">
        <v>28476.734990000001</v>
      </c>
      <c r="H1169" t="str" cm="1">
        <f t="array" ref="H1169">_xlfn.IFS(A1169&lt;=30, "Youth", A1169&lt;=50, "Adult", A1169&gt;50, "Older")</f>
        <v>Older</v>
      </c>
      <c r="I1169" t="str" cm="1">
        <f t="array" ref="I1169">_xlfn.IFS(A1169&lt;=25,"18-25",A1169&lt;=35,"26-35",A1169&lt;=45,"36-45",A1169&lt;=60,"46-60",A1169&gt;60,"60+")</f>
        <v>46-60</v>
      </c>
      <c r="J1169" t="str" cm="1">
        <f t="array" ref="J1169">_xlfn.IFS(C1169&lt;18.5,"Underweight",C1169&lt;25,"Normal",C1169&lt;30,"Overweight",C1169&gt;=30,"Obese")</f>
        <v>Obese</v>
      </c>
      <c r="K1169" t="str" cm="1">
        <f t="array" ref="K1169">_xlfn.IFS(G1169&lt;10000, "Low", G1169&lt;=25000, "Medium", G1169&gt;25000, "High")</f>
        <v>High</v>
      </c>
    </row>
    <row r="1170" spans="1:11" x14ac:dyDescent="0.3">
      <c r="A1170">
        <v>57</v>
      </c>
      <c r="B1170" s="1" t="s">
        <v>7</v>
      </c>
      <c r="C1170">
        <v>37.700000000000003</v>
      </c>
      <c r="D1170">
        <v>3</v>
      </c>
      <c r="E1170" t="s">
        <v>10</v>
      </c>
      <c r="F1170" t="s">
        <v>13</v>
      </c>
      <c r="G1170" s="2">
        <v>28868.6639</v>
      </c>
      <c r="H1170" t="str" cm="1">
        <f t="array" ref="H1170">_xlfn.IFS(A1170&lt;=30, "Youth", A1170&lt;=50, "Adult", A1170&gt;50, "Older")</f>
        <v>Older</v>
      </c>
      <c r="I1170" t="str" cm="1">
        <f t="array" ref="I1170">_xlfn.IFS(A1170&lt;=25,"18-25",A1170&lt;=35,"26-35",A1170&lt;=45,"36-45",A1170&lt;=60,"46-60",A1170&gt;60,"60+")</f>
        <v>46-60</v>
      </c>
      <c r="J1170" t="str" cm="1">
        <f t="array" ref="J1170">_xlfn.IFS(C1170&lt;18.5,"Underweight",C1170&lt;25,"Normal",C1170&lt;30,"Overweight",C1170&gt;=30,"Obese")</f>
        <v>Obese</v>
      </c>
      <c r="K1170" t="str" cm="1">
        <f t="array" ref="K1170">_xlfn.IFS(G1170&lt;10000, "Low", G1170&lt;=25000, "Medium", G1170&gt;25000, "High")</f>
        <v>High</v>
      </c>
    </row>
    <row r="1171" spans="1:11" x14ac:dyDescent="0.3">
      <c r="A1171">
        <v>57</v>
      </c>
      <c r="B1171" s="1" t="s">
        <v>8</v>
      </c>
      <c r="C1171">
        <v>37.715000000000003</v>
      </c>
      <c r="D1171">
        <v>3</v>
      </c>
      <c r="E1171" t="s">
        <v>9</v>
      </c>
      <c r="F1171" t="s">
        <v>14</v>
      </c>
      <c r="G1171" s="2">
        <v>28923.136920000001</v>
      </c>
      <c r="H1171" t="str" cm="1">
        <f t="array" ref="H1171">_xlfn.IFS(A1171&lt;=30, "Youth", A1171&lt;=50, "Adult", A1171&gt;50, "Older")</f>
        <v>Older</v>
      </c>
      <c r="I1171" t="str" cm="1">
        <f t="array" ref="I1171">_xlfn.IFS(A1171&lt;=25,"18-25",A1171&lt;=35,"26-35",A1171&lt;=45,"36-45",A1171&lt;=60,"46-60",A1171&gt;60,"60+")</f>
        <v>46-60</v>
      </c>
      <c r="J1171" t="str" cm="1">
        <f t="array" ref="J1171">_xlfn.IFS(C1171&lt;18.5,"Underweight",C1171&lt;25,"Normal",C1171&lt;30,"Overweight",C1171&gt;=30,"Obese")</f>
        <v>Obese</v>
      </c>
      <c r="K1171" t="str" cm="1">
        <f t="array" ref="K1171">_xlfn.IFS(G1171&lt;10000, "Low", G1171&lt;=25000, "Medium", G1171&gt;25000, "High")</f>
        <v>High</v>
      </c>
    </row>
    <row r="1172" spans="1:11" x14ac:dyDescent="0.3">
      <c r="A1172">
        <v>57</v>
      </c>
      <c r="B1172" s="1" t="s">
        <v>7</v>
      </c>
      <c r="C1172">
        <v>37.729999999999997</v>
      </c>
      <c r="D1172">
        <v>3</v>
      </c>
      <c r="E1172" t="s">
        <v>9</v>
      </c>
      <c r="F1172" t="s">
        <v>11</v>
      </c>
      <c r="G1172" s="2">
        <v>28950.4692</v>
      </c>
      <c r="H1172" t="str" cm="1">
        <f t="array" ref="H1172">_xlfn.IFS(A1172&lt;=30, "Youth", A1172&lt;=50, "Adult", A1172&gt;50, "Older")</f>
        <v>Older</v>
      </c>
      <c r="I1172" t="str" cm="1">
        <f t="array" ref="I1172">_xlfn.IFS(A1172&lt;=25,"18-25",A1172&lt;=35,"26-35",A1172&lt;=45,"36-45",A1172&lt;=60,"46-60",A1172&gt;60,"60+")</f>
        <v>46-60</v>
      </c>
      <c r="J1172" t="str" cm="1">
        <f t="array" ref="J1172">_xlfn.IFS(C1172&lt;18.5,"Underweight",C1172&lt;25,"Normal",C1172&lt;30,"Overweight",C1172&gt;=30,"Obese")</f>
        <v>Obese</v>
      </c>
      <c r="K1172" t="str" cm="1">
        <f t="array" ref="K1172">_xlfn.IFS(G1172&lt;10000, "Low", G1172&lt;=25000, "Medium", G1172&gt;25000, "High")</f>
        <v>High</v>
      </c>
    </row>
    <row r="1173" spans="1:11" x14ac:dyDescent="0.3">
      <c r="A1173">
        <v>57</v>
      </c>
      <c r="B1173" s="1" t="s">
        <v>7</v>
      </c>
      <c r="C1173">
        <v>37.729999999999997</v>
      </c>
      <c r="D1173">
        <v>3</v>
      </c>
      <c r="E1173" t="s">
        <v>10</v>
      </c>
      <c r="F1173" t="s">
        <v>12</v>
      </c>
      <c r="G1173" s="2">
        <v>29141.3603</v>
      </c>
      <c r="H1173" t="str" cm="1">
        <f t="array" ref="H1173">_xlfn.IFS(A1173&lt;=30, "Youth", A1173&lt;=50, "Adult", A1173&gt;50, "Older")</f>
        <v>Older</v>
      </c>
      <c r="I1173" t="str" cm="1">
        <f t="array" ref="I1173">_xlfn.IFS(A1173&lt;=25,"18-25",A1173&lt;=35,"26-35",A1173&lt;=45,"36-45",A1173&lt;=60,"46-60",A1173&gt;60,"60+")</f>
        <v>46-60</v>
      </c>
      <c r="J1173" t="str" cm="1">
        <f t="array" ref="J1173">_xlfn.IFS(C1173&lt;18.5,"Underweight",C1173&lt;25,"Normal",C1173&lt;30,"Overweight",C1173&gt;=30,"Obese")</f>
        <v>Obese</v>
      </c>
      <c r="K1173" t="str" cm="1">
        <f t="array" ref="K1173">_xlfn.IFS(G1173&lt;10000, "Low", G1173&lt;=25000, "Medium", G1173&gt;25000, "High")</f>
        <v>High</v>
      </c>
    </row>
    <row r="1174" spans="1:11" x14ac:dyDescent="0.3">
      <c r="A1174">
        <v>57</v>
      </c>
      <c r="B1174" s="1" t="s">
        <v>8</v>
      </c>
      <c r="C1174">
        <v>37.799999999999997</v>
      </c>
      <c r="D1174">
        <v>3</v>
      </c>
      <c r="E1174" t="s">
        <v>10</v>
      </c>
      <c r="F1174" t="s">
        <v>13</v>
      </c>
      <c r="G1174" s="2">
        <v>29186.482360000002</v>
      </c>
      <c r="H1174" t="str" cm="1">
        <f t="array" ref="H1174">_xlfn.IFS(A1174&lt;=30, "Youth", A1174&lt;=50, "Adult", A1174&gt;50, "Older")</f>
        <v>Older</v>
      </c>
      <c r="I1174" t="str" cm="1">
        <f t="array" ref="I1174">_xlfn.IFS(A1174&lt;=25,"18-25",A1174&lt;=35,"26-35",A1174&lt;=45,"36-45",A1174&lt;=60,"46-60",A1174&gt;60,"60+")</f>
        <v>46-60</v>
      </c>
      <c r="J1174" t="str" cm="1">
        <f t="array" ref="J1174">_xlfn.IFS(C1174&lt;18.5,"Underweight",C1174&lt;25,"Normal",C1174&lt;30,"Overweight",C1174&gt;=30,"Obese")</f>
        <v>Obese</v>
      </c>
      <c r="K1174" t="str" cm="1">
        <f t="array" ref="K1174">_xlfn.IFS(G1174&lt;10000, "Low", G1174&lt;=25000, "Medium", G1174&gt;25000, "High")</f>
        <v>High</v>
      </c>
    </row>
    <row r="1175" spans="1:11" x14ac:dyDescent="0.3">
      <c r="A1175">
        <v>58</v>
      </c>
      <c r="B1175" s="1" t="s">
        <v>8</v>
      </c>
      <c r="C1175">
        <v>37.9</v>
      </c>
      <c r="D1175">
        <v>3</v>
      </c>
      <c r="E1175" t="s">
        <v>10</v>
      </c>
      <c r="F1175" t="s">
        <v>13</v>
      </c>
      <c r="G1175" s="2">
        <v>29330.98315</v>
      </c>
      <c r="H1175" t="str" cm="1">
        <f t="array" ref="H1175">_xlfn.IFS(A1175&lt;=30, "Youth", A1175&lt;=50, "Adult", A1175&gt;50, "Older")</f>
        <v>Older</v>
      </c>
      <c r="I1175" t="str" cm="1">
        <f t="array" ref="I1175">_xlfn.IFS(A1175&lt;=25,"18-25",A1175&lt;=35,"26-35",A1175&lt;=45,"36-45",A1175&lt;=60,"46-60",A1175&gt;60,"60+")</f>
        <v>46-60</v>
      </c>
      <c r="J1175" t="str" cm="1">
        <f t="array" ref="J1175">_xlfn.IFS(C1175&lt;18.5,"Underweight",C1175&lt;25,"Normal",C1175&lt;30,"Overweight",C1175&gt;=30,"Obese")</f>
        <v>Obese</v>
      </c>
      <c r="K1175" t="str" cm="1">
        <f t="array" ref="K1175">_xlfn.IFS(G1175&lt;10000, "Low", G1175&lt;=25000, "Medium", G1175&gt;25000, "High")</f>
        <v>High</v>
      </c>
    </row>
    <row r="1176" spans="1:11" x14ac:dyDescent="0.3">
      <c r="A1176">
        <v>58</v>
      </c>
      <c r="B1176" s="1" t="s">
        <v>7</v>
      </c>
      <c r="C1176">
        <v>37.905000000000001</v>
      </c>
      <c r="D1176">
        <v>3</v>
      </c>
      <c r="E1176" t="s">
        <v>10</v>
      </c>
      <c r="F1176" t="s">
        <v>11</v>
      </c>
      <c r="G1176" s="2">
        <v>29523.1656</v>
      </c>
      <c r="H1176" t="str" cm="1">
        <f t="array" ref="H1176">_xlfn.IFS(A1176&lt;=30, "Youth", A1176&lt;=50, "Adult", A1176&gt;50, "Older")</f>
        <v>Older</v>
      </c>
      <c r="I1176" t="str" cm="1">
        <f t="array" ref="I1176">_xlfn.IFS(A1176&lt;=25,"18-25",A1176&lt;=35,"26-35",A1176&lt;=45,"36-45",A1176&lt;=60,"46-60",A1176&gt;60,"60+")</f>
        <v>46-60</v>
      </c>
      <c r="J1176" t="str" cm="1">
        <f t="array" ref="J1176">_xlfn.IFS(C1176&lt;18.5,"Underweight",C1176&lt;25,"Normal",C1176&lt;30,"Overweight",C1176&gt;=30,"Obese")</f>
        <v>Obese</v>
      </c>
      <c r="K1176" t="str" cm="1">
        <f t="array" ref="K1176">_xlfn.IFS(G1176&lt;10000, "Low", G1176&lt;=25000, "Medium", G1176&gt;25000, "High")</f>
        <v>High</v>
      </c>
    </row>
    <row r="1177" spans="1:11" x14ac:dyDescent="0.3">
      <c r="A1177">
        <v>58</v>
      </c>
      <c r="B1177" s="1" t="s">
        <v>7</v>
      </c>
      <c r="C1177">
        <v>38</v>
      </c>
      <c r="D1177">
        <v>3</v>
      </c>
      <c r="E1177" t="s">
        <v>9</v>
      </c>
      <c r="F1177" t="s">
        <v>13</v>
      </c>
      <c r="G1177" s="2">
        <v>30063.580549999999</v>
      </c>
      <c r="H1177" t="str" cm="1">
        <f t="array" ref="H1177">_xlfn.IFS(A1177&lt;=30, "Youth", A1177&lt;=50, "Adult", A1177&gt;50, "Older")</f>
        <v>Older</v>
      </c>
      <c r="I1177" t="str" cm="1">
        <f t="array" ref="I1177">_xlfn.IFS(A1177&lt;=25,"18-25",A1177&lt;=35,"26-35",A1177&lt;=45,"36-45",A1177&lt;=60,"46-60",A1177&gt;60,"60+")</f>
        <v>46-60</v>
      </c>
      <c r="J1177" t="str" cm="1">
        <f t="array" ref="J1177">_xlfn.IFS(C1177&lt;18.5,"Underweight",C1177&lt;25,"Normal",C1177&lt;30,"Overweight",C1177&gt;=30,"Obese")</f>
        <v>Obese</v>
      </c>
      <c r="K1177" t="str" cm="1">
        <f t="array" ref="K1177">_xlfn.IFS(G1177&lt;10000, "Low", G1177&lt;=25000, "Medium", G1177&gt;25000, "High")</f>
        <v>High</v>
      </c>
    </row>
    <row r="1178" spans="1:11" x14ac:dyDescent="0.3">
      <c r="A1178">
        <v>58</v>
      </c>
      <c r="B1178" s="1" t="s">
        <v>7</v>
      </c>
      <c r="C1178">
        <v>38</v>
      </c>
      <c r="D1178">
        <v>3</v>
      </c>
      <c r="E1178" t="s">
        <v>10</v>
      </c>
      <c r="F1178" t="s">
        <v>11</v>
      </c>
      <c r="G1178" s="2">
        <v>30166.618170000002</v>
      </c>
      <c r="H1178" t="str" cm="1">
        <f t="array" ref="H1178">_xlfn.IFS(A1178&lt;=30, "Youth", A1178&lt;=50, "Adult", A1178&gt;50, "Older")</f>
        <v>Older</v>
      </c>
      <c r="I1178" t="str" cm="1">
        <f t="array" ref="I1178">_xlfn.IFS(A1178&lt;=25,"18-25",A1178&lt;=35,"26-35",A1178&lt;=45,"36-45",A1178&lt;=60,"46-60",A1178&gt;60,"60+")</f>
        <v>46-60</v>
      </c>
      <c r="J1178" t="str" cm="1">
        <f t="array" ref="J1178">_xlfn.IFS(C1178&lt;18.5,"Underweight",C1178&lt;25,"Normal",C1178&lt;30,"Overweight",C1178&gt;=30,"Obese")</f>
        <v>Obese</v>
      </c>
      <c r="K1178" t="str" cm="1">
        <f t="array" ref="K1178">_xlfn.IFS(G1178&lt;10000, "Low", G1178&lt;=25000, "Medium", G1178&gt;25000, "High")</f>
        <v>High</v>
      </c>
    </row>
    <row r="1179" spans="1:11" x14ac:dyDescent="0.3">
      <c r="A1179">
        <v>58</v>
      </c>
      <c r="B1179" s="1" t="s">
        <v>7</v>
      </c>
      <c r="C1179">
        <v>38</v>
      </c>
      <c r="D1179">
        <v>3</v>
      </c>
      <c r="E1179" t="s">
        <v>10</v>
      </c>
      <c r="F1179" t="s">
        <v>14</v>
      </c>
      <c r="G1179" s="2">
        <v>30184.936699999998</v>
      </c>
      <c r="H1179" t="str" cm="1">
        <f t="array" ref="H1179">_xlfn.IFS(A1179&lt;=30, "Youth", A1179&lt;=50, "Adult", A1179&gt;50, "Older")</f>
        <v>Older</v>
      </c>
      <c r="I1179" t="str" cm="1">
        <f t="array" ref="I1179">_xlfn.IFS(A1179&lt;=25,"18-25",A1179&lt;=35,"26-35",A1179&lt;=45,"36-45",A1179&lt;=60,"46-60",A1179&gt;60,"60+")</f>
        <v>46-60</v>
      </c>
      <c r="J1179" t="str" cm="1">
        <f t="array" ref="J1179">_xlfn.IFS(C1179&lt;18.5,"Underweight",C1179&lt;25,"Normal",C1179&lt;30,"Overweight",C1179&gt;=30,"Obese")</f>
        <v>Obese</v>
      </c>
      <c r="K1179" t="str" cm="1">
        <f t="array" ref="K1179">_xlfn.IFS(G1179&lt;10000, "Low", G1179&lt;=25000, "Medium", G1179&gt;25000, "High")</f>
        <v>High</v>
      </c>
    </row>
    <row r="1180" spans="1:11" x14ac:dyDescent="0.3">
      <c r="A1180">
        <v>58</v>
      </c>
      <c r="B1180" s="1" t="s">
        <v>8</v>
      </c>
      <c r="C1180">
        <v>38.06</v>
      </c>
      <c r="D1180">
        <v>3</v>
      </c>
      <c r="E1180" t="s">
        <v>9</v>
      </c>
      <c r="F1180" t="s">
        <v>12</v>
      </c>
      <c r="G1180" s="2">
        <v>30259.995559999999</v>
      </c>
      <c r="H1180" t="str" cm="1">
        <f t="array" ref="H1180">_xlfn.IFS(A1180&lt;=30, "Youth", A1180&lt;=50, "Adult", A1180&gt;50, "Older")</f>
        <v>Older</v>
      </c>
      <c r="I1180" t="str" cm="1">
        <f t="array" ref="I1180">_xlfn.IFS(A1180&lt;=25,"18-25",A1180&lt;=35,"26-35",A1180&lt;=45,"36-45",A1180&lt;=60,"46-60",A1180&gt;60,"60+")</f>
        <v>46-60</v>
      </c>
      <c r="J1180" t="str" cm="1">
        <f t="array" ref="J1180">_xlfn.IFS(C1180&lt;18.5,"Underweight",C1180&lt;25,"Normal",C1180&lt;30,"Overweight",C1180&gt;=30,"Obese")</f>
        <v>Obese</v>
      </c>
      <c r="K1180" t="str" cm="1">
        <f t="array" ref="K1180">_xlfn.IFS(G1180&lt;10000, "Low", G1180&lt;=25000, "Medium", G1180&gt;25000, "High")</f>
        <v>High</v>
      </c>
    </row>
    <row r="1181" spans="1:11" x14ac:dyDescent="0.3">
      <c r="A1181">
        <v>58</v>
      </c>
      <c r="B1181" s="1" t="s">
        <v>7</v>
      </c>
      <c r="C1181">
        <v>38.06</v>
      </c>
      <c r="D1181">
        <v>3</v>
      </c>
      <c r="E1181" t="s">
        <v>10</v>
      </c>
      <c r="F1181" t="s">
        <v>14</v>
      </c>
      <c r="G1181" s="2">
        <v>30284.642940000002</v>
      </c>
      <c r="H1181" t="str" cm="1">
        <f t="array" ref="H1181">_xlfn.IFS(A1181&lt;=30, "Youth", A1181&lt;=50, "Adult", A1181&gt;50, "Older")</f>
        <v>Older</v>
      </c>
      <c r="I1181" t="str" cm="1">
        <f t="array" ref="I1181">_xlfn.IFS(A1181&lt;=25,"18-25",A1181&lt;=35,"26-35",A1181&lt;=45,"36-45",A1181&lt;=60,"46-60",A1181&gt;60,"60+")</f>
        <v>46-60</v>
      </c>
      <c r="J1181" t="str" cm="1">
        <f t="array" ref="J1181">_xlfn.IFS(C1181&lt;18.5,"Underweight",C1181&lt;25,"Normal",C1181&lt;30,"Overweight",C1181&gt;=30,"Obese")</f>
        <v>Obese</v>
      </c>
      <c r="K1181" t="str" cm="1">
        <f t="array" ref="K1181">_xlfn.IFS(G1181&lt;10000, "Low", G1181&lt;=25000, "Medium", G1181&gt;25000, "High")</f>
        <v>High</v>
      </c>
    </row>
    <row r="1182" spans="1:11" x14ac:dyDescent="0.3">
      <c r="A1182">
        <v>58</v>
      </c>
      <c r="B1182" s="1" t="s">
        <v>7</v>
      </c>
      <c r="C1182">
        <v>38.06</v>
      </c>
      <c r="D1182">
        <v>3</v>
      </c>
      <c r="E1182" t="s">
        <v>10</v>
      </c>
      <c r="F1182" t="s">
        <v>13</v>
      </c>
      <c r="G1182" s="2">
        <v>30942.191800000001</v>
      </c>
      <c r="H1182" t="str" cm="1">
        <f t="array" ref="H1182">_xlfn.IFS(A1182&lt;=30, "Youth", A1182&lt;=50, "Adult", A1182&gt;50, "Older")</f>
        <v>Older</v>
      </c>
      <c r="I1182" t="str" cm="1">
        <f t="array" ref="I1182">_xlfn.IFS(A1182&lt;=25,"18-25",A1182&lt;=35,"26-35",A1182&lt;=45,"36-45",A1182&lt;=60,"46-60",A1182&gt;60,"60+")</f>
        <v>46-60</v>
      </c>
      <c r="J1182" t="str" cm="1">
        <f t="array" ref="J1182">_xlfn.IFS(C1182&lt;18.5,"Underweight",C1182&lt;25,"Normal",C1182&lt;30,"Overweight",C1182&gt;=30,"Obese")</f>
        <v>Obese</v>
      </c>
      <c r="K1182" t="str" cm="1">
        <f t="array" ref="K1182">_xlfn.IFS(G1182&lt;10000, "Low", G1182&lt;=25000, "Medium", G1182&gt;25000, "High")</f>
        <v>High</v>
      </c>
    </row>
    <row r="1183" spans="1:11" x14ac:dyDescent="0.3">
      <c r="A1183">
        <v>58</v>
      </c>
      <c r="B1183" s="1" t="s">
        <v>7</v>
      </c>
      <c r="C1183">
        <v>38.06</v>
      </c>
      <c r="D1183">
        <v>3</v>
      </c>
      <c r="E1183" t="s">
        <v>10</v>
      </c>
      <c r="F1183" t="s">
        <v>11</v>
      </c>
      <c r="G1183" s="2">
        <v>31620.001059999999</v>
      </c>
      <c r="H1183" t="str" cm="1">
        <f t="array" ref="H1183">_xlfn.IFS(A1183&lt;=30, "Youth", A1183&lt;=50, "Adult", A1183&gt;50, "Older")</f>
        <v>Older</v>
      </c>
      <c r="I1183" t="str" cm="1">
        <f t="array" ref="I1183">_xlfn.IFS(A1183&lt;=25,"18-25",A1183&lt;=35,"26-35",A1183&lt;=45,"36-45",A1183&lt;=60,"46-60",A1183&gt;60,"60+")</f>
        <v>46-60</v>
      </c>
      <c r="J1183" t="str" cm="1">
        <f t="array" ref="J1183">_xlfn.IFS(C1183&lt;18.5,"Underweight",C1183&lt;25,"Normal",C1183&lt;30,"Overweight",C1183&gt;=30,"Obese")</f>
        <v>Obese</v>
      </c>
      <c r="K1183" t="str" cm="1">
        <f t="array" ref="K1183">_xlfn.IFS(G1183&lt;10000, "Low", G1183&lt;=25000, "Medium", G1183&gt;25000, "High")</f>
        <v>High</v>
      </c>
    </row>
    <row r="1184" spans="1:11" x14ac:dyDescent="0.3">
      <c r="A1184">
        <v>58</v>
      </c>
      <c r="B1184" s="1" t="s">
        <v>7</v>
      </c>
      <c r="C1184">
        <v>38.06</v>
      </c>
      <c r="D1184">
        <v>3</v>
      </c>
      <c r="E1184" t="s">
        <v>10</v>
      </c>
      <c r="F1184" t="s">
        <v>14</v>
      </c>
      <c r="G1184" s="2">
        <v>32108.662820000001</v>
      </c>
      <c r="H1184" t="str" cm="1">
        <f t="array" ref="H1184">_xlfn.IFS(A1184&lt;=30, "Youth", A1184&lt;=50, "Adult", A1184&gt;50, "Older")</f>
        <v>Older</v>
      </c>
      <c r="I1184" t="str" cm="1">
        <f t="array" ref="I1184">_xlfn.IFS(A1184&lt;=25,"18-25",A1184&lt;=35,"26-35",A1184&lt;=45,"36-45",A1184&lt;=60,"46-60",A1184&gt;60,"60+")</f>
        <v>46-60</v>
      </c>
      <c r="J1184" t="str" cm="1">
        <f t="array" ref="J1184">_xlfn.IFS(C1184&lt;18.5,"Underweight",C1184&lt;25,"Normal",C1184&lt;30,"Overweight",C1184&gt;=30,"Obese")</f>
        <v>Obese</v>
      </c>
      <c r="K1184" t="str" cm="1">
        <f t="array" ref="K1184">_xlfn.IFS(G1184&lt;10000, "Low", G1184&lt;=25000, "Medium", G1184&gt;25000, "High")</f>
        <v>High</v>
      </c>
    </row>
    <row r="1185" spans="1:11" x14ac:dyDescent="0.3">
      <c r="A1185">
        <v>58</v>
      </c>
      <c r="B1185" s="1" t="s">
        <v>7</v>
      </c>
      <c r="C1185">
        <v>38.06</v>
      </c>
      <c r="D1185">
        <v>3</v>
      </c>
      <c r="E1185" t="s">
        <v>9</v>
      </c>
      <c r="F1185" t="s">
        <v>12</v>
      </c>
      <c r="G1185" s="2">
        <v>32548.340499999998</v>
      </c>
      <c r="H1185" t="str" cm="1">
        <f t="array" ref="H1185">_xlfn.IFS(A1185&lt;=30, "Youth", A1185&lt;=50, "Adult", A1185&gt;50, "Older")</f>
        <v>Older</v>
      </c>
      <c r="I1185" t="str" cm="1">
        <f t="array" ref="I1185">_xlfn.IFS(A1185&lt;=25,"18-25",A1185&lt;=35,"26-35",A1185&lt;=45,"36-45",A1185&lt;=60,"46-60",A1185&gt;60,"60+")</f>
        <v>46-60</v>
      </c>
      <c r="J1185" t="str" cm="1">
        <f t="array" ref="J1185">_xlfn.IFS(C1185&lt;18.5,"Underweight",C1185&lt;25,"Normal",C1185&lt;30,"Overweight",C1185&gt;=30,"Obese")</f>
        <v>Obese</v>
      </c>
      <c r="K1185" t="str" cm="1">
        <f t="array" ref="K1185">_xlfn.IFS(G1185&lt;10000, "Low", G1185&lt;=25000, "Medium", G1185&gt;25000, "High")</f>
        <v>High</v>
      </c>
    </row>
    <row r="1186" spans="1:11" x14ac:dyDescent="0.3">
      <c r="A1186">
        <v>58</v>
      </c>
      <c r="B1186" s="1" t="s">
        <v>8</v>
      </c>
      <c r="C1186">
        <v>38.06</v>
      </c>
      <c r="D1186">
        <v>3</v>
      </c>
      <c r="E1186" t="s">
        <v>10</v>
      </c>
      <c r="F1186" t="s">
        <v>14</v>
      </c>
      <c r="G1186" s="2">
        <v>32734.186300000001</v>
      </c>
      <c r="H1186" t="str" cm="1">
        <f t="array" ref="H1186">_xlfn.IFS(A1186&lt;=30, "Youth", A1186&lt;=50, "Adult", A1186&gt;50, "Older")</f>
        <v>Older</v>
      </c>
      <c r="I1186" t="str" cm="1">
        <f t="array" ref="I1186">_xlfn.IFS(A1186&lt;=25,"18-25",A1186&lt;=35,"26-35",A1186&lt;=45,"36-45",A1186&lt;=60,"46-60",A1186&gt;60,"60+")</f>
        <v>46-60</v>
      </c>
      <c r="J1186" t="str" cm="1">
        <f t="array" ref="J1186">_xlfn.IFS(C1186&lt;18.5,"Underweight",C1186&lt;25,"Normal",C1186&lt;30,"Overweight",C1186&gt;=30,"Obese")</f>
        <v>Obese</v>
      </c>
      <c r="K1186" t="str" cm="1">
        <f t="array" ref="K1186">_xlfn.IFS(G1186&lt;10000, "Low", G1186&lt;=25000, "Medium", G1186&gt;25000, "High")</f>
        <v>High</v>
      </c>
    </row>
    <row r="1187" spans="1:11" x14ac:dyDescent="0.3">
      <c r="A1187">
        <v>58</v>
      </c>
      <c r="B1187" s="1" t="s">
        <v>8</v>
      </c>
      <c r="C1187">
        <v>38.094999999999999</v>
      </c>
      <c r="D1187">
        <v>3</v>
      </c>
      <c r="E1187" t="s">
        <v>9</v>
      </c>
      <c r="F1187" t="s">
        <v>13</v>
      </c>
      <c r="G1187" s="2">
        <v>32787.458590000002</v>
      </c>
      <c r="H1187" t="str" cm="1">
        <f t="array" ref="H1187">_xlfn.IFS(A1187&lt;=30, "Youth", A1187&lt;=50, "Adult", A1187&gt;50, "Older")</f>
        <v>Older</v>
      </c>
      <c r="I1187" t="str" cm="1">
        <f t="array" ref="I1187">_xlfn.IFS(A1187&lt;=25,"18-25",A1187&lt;=35,"26-35",A1187&lt;=45,"36-45",A1187&lt;=60,"46-60",A1187&gt;60,"60+")</f>
        <v>46-60</v>
      </c>
      <c r="J1187" t="str" cm="1">
        <f t="array" ref="J1187">_xlfn.IFS(C1187&lt;18.5,"Underweight",C1187&lt;25,"Normal",C1187&lt;30,"Overweight",C1187&gt;=30,"Obese")</f>
        <v>Obese</v>
      </c>
      <c r="K1187" t="str" cm="1">
        <f t="array" ref="K1187">_xlfn.IFS(G1187&lt;10000, "Low", G1187&lt;=25000, "Medium", G1187&gt;25000, "High")</f>
        <v>High</v>
      </c>
    </row>
    <row r="1188" spans="1:11" x14ac:dyDescent="0.3">
      <c r="A1188">
        <v>58</v>
      </c>
      <c r="B1188" s="1" t="s">
        <v>7</v>
      </c>
      <c r="C1188">
        <v>38.094999999999999</v>
      </c>
      <c r="D1188">
        <v>3</v>
      </c>
      <c r="E1188" t="s">
        <v>10</v>
      </c>
      <c r="F1188" t="s">
        <v>13</v>
      </c>
      <c r="G1188" s="2">
        <v>33307.550799999997</v>
      </c>
      <c r="H1188" t="str" cm="1">
        <f t="array" ref="H1188">_xlfn.IFS(A1188&lt;=30, "Youth", A1188&lt;=50, "Adult", A1188&gt;50, "Older")</f>
        <v>Older</v>
      </c>
      <c r="I1188" t="str" cm="1">
        <f t="array" ref="I1188">_xlfn.IFS(A1188&lt;=25,"18-25",A1188&lt;=35,"26-35",A1188&lt;=45,"36-45",A1188&lt;=60,"46-60",A1188&gt;60,"60+")</f>
        <v>46-60</v>
      </c>
      <c r="J1188" t="str" cm="1">
        <f t="array" ref="J1188">_xlfn.IFS(C1188&lt;18.5,"Underweight",C1188&lt;25,"Normal",C1188&lt;30,"Overweight",C1188&gt;=30,"Obese")</f>
        <v>Obese</v>
      </c>
      <c r="K1188" t="str" cm="1">
        <f t="array" ref="K1188">_xlfn.IFS(G1188&lt;10000, "Low", G1188&lt;=25000, "Medium", G1188&gt;25000, "High")</f>
        <v>High</v>
      </c>
    </row>
    <row r="1189" spans="1:11" x14ac:dyDescent="0.3">
      <c r="A1189">
        <v>58</v>
      </c>
      <c r="B1189" s="1" t="s">
        <v>7</v>
      </c>
      <c r="C1189">
        <v>38.094999999999999</v>
      </c>
      <c r="D1189">
        <v>3</v>
      </c>
      <c r="E1189" t="s">
        <v>9</v>
      </c>
      <c r="F1189" t="s">
        <v>14</v>
      </c>
      <c r="G1189" s="2">
        <v>33471.971890000001</v>
      </c>
      <c r="H1189" t="str" cm="1">
        <f t="array" ref="H1189">_xlfn.IFS(A1189&lt;=30, "Youth", A1189&lt;=50, "Adult", A1189&gt;50, "Older")</f>
        <v>Older</v>
      </c>
      <c r="I1189" t="str" cm="1">
        <f t="array" ref="I1189">_xlfn.IFS(A1189&lt;=25,"18-25",A1189&lt;=35,"26-35",A1189&lt;=45,"36-45",A1189&lt;=60,"46-60",A1189&gt;60,"60+")</f>
        <v>46-60</v>
      </c>
      <c r="J1189" t="str" cm="1">
        <f t="array" ref="J1189">_xlfn.IFS(C1189&lt;18.5,"Underweight",C1189&lt;25,"Normal",C1189&lt;30,"Overweight",C1189&gt;=30,"Obese")</f>
        <v>Obese</v>
      </c>
      <c r="K1189" t="str" cm="1">
        <f t="array" ref="K1189">_xlfn.IFS(G1189&lt;10000, "Low", G1189&lt;=25000, "Medium", G1189&gt;25000, "High")</f>
        <v>High</v>
      </c>
    </row>
    <row r="1190" spans="1:11" x14ac:dyDescent="0.3">
      <c r="A1190">
        <v>58</v>
      </c>
      <c r="B1190" s="1" t="s">
        <v>7</v>
      </c>
      <c r="C1190">
        <v>38.17</v>
      </c>
      <c r="D1190">
        <v>3</v>
      </c>
      <c r="E1190" t="s">
        <v>10</v>
      </c>
      <c r="F1190" t="s">
        <v>11</v>
      </c>
      <c r="G1190" s="2">
        <v>33475.817150000003</v>
      </c>
      <c r="H1190" t="str" cm="1">
        <f t="array" ref="H1190">_xlfn.IFS(A1190&lt;=30, "Youth", A1190&lt;=50, "Adult", A1190&gt;50, "Older")</f>
        <v>Older</v>
      </c>
      <c r="I1190" t="str" cm="1">
        <f t="array" ref="I1190">_xlfn.IFS(A1190&lt;=25,"18-25",A1190&lt;=35,"26-35",A1190&lt;=45,"36-45",A1190&lt;=60,"46-60",A1190&gt;60,"60+")</f>
        <v>46-60</v>
      </c>
      <c r="J1190" t="str" cm="1">
        <f t="array" ref="J1190">_xlfn.IFS(C1190&lt;18.5,"Underweight",C1190&lt;25,"Normal",C1190&lt;30,"Overweight",C1190&gt;=30,"Obese")</f>
        <v>Obese</v>
      </c>
      <c r="K1190" t="str" cm="1">
        <f t="array" ref="K1190">_xlfn.IFS(G1190&lt;10000, "Low", G1190&lt;=25000, "Medium", G1190&gt;25000, "High")</f>
        <v>High</v>
      </c>
    </row>
    <row r="1191" spans="1:11" x14ac:dyDescent="0.3">
      <c r="A1191">
        <v>58</v>
      </c>
      <c r="B1191" s="1" t="s">
        <v>7</v>
      </c>
      <c r="C1191">
        <v>38.17</v>
      </c>
      <c r="D1191">
        <v>3</v>
      </c>
      <c r="E1191" t="s">
        <v>10</v>
      </c>
      <c r="F1191" t="s">
        <v>13</v>
      </c>
      <c r="G1191" s="2">
        <v>33732.686699999998</v>
      </c>
      <c r="H1191" t="str" cm="1">
        <f t="array" ref="H1191">_xlfn.IFS(A1191&lt;=30, "Youth", A1191&lt;=50, "Adult", A1191&gt;50, "Older")</f>
        <v>Older</v>
      </c>
      <c r="I1191" t="str" cm="1">
        <f t="array" ref="I1191">_xlfn.IFS(A1191&lt;=25,"18-25",A1191&lt;=35,"26-35",A1191&lt;=45,"36-45",A1191&lt;=60,"46-60",A1191&gt;60,"60+")</f>
        <v>46-60</v>
      </c>
      <c r="J1191" t="str" cm="1">
        <f t="array" ref="J1191">_xlfn.IFS(C1191&lt;18.5,"Underweight",C1191&lt;25,"Normal",C1191&lt;30,"Overweight",C1191&gt;=30,"Obese")</f>
        <v>Obese</v>
      </c>
      <c r="K1191" t="str" cm="1">
        <f t="array" ref="K1191">_xlfn.IFS(G1191&lt;10000, "Low", G1191&lt;=25000, "Medium", G1191&gt;25000, "High")</f>
        <v>High</v>
      </c>
    </row>
    <row r="1192" spans="1:11" x14ac:dyDescent="0.3">
      <c r="A1192">
        <v>58</v>
      </c>
      <c r="B1192" s="1" t="s">
        <v>7</v>
      </c>
      <c r="C1192">
        <v>38.17</v>
      </c>
      <c r="D1192">
        <v>3</v>
      </c>
      <c r="E1192" t="s">
        <v>10</v>
      </c>
      <c r="F1192" t="s">
        <v>14</v>
      </c>
      <c r="G1192" s="2">
        <v>33750.291799999999</v>
      </c>
      <c r="H1192" t="str" cm="1">
        <f t="array" ref="H1192">_xlfn.IFS(A1192&lt;=30, "Youth", A1192&lt;=50, "Adult", A1192&gt;50, "Older")</f>
        <v>Older</v>
      </c>
      <c r="I1192" t="str" cm="1">
        <f t="array" ref="I1192">_xlfn.IFS(A1192&lt;=25,"18-25",A1192&lt;=35,"26-35",A1192&lt;=45,"36-45",A1192&lt;=60,"46-60",A1192&gt;60,"60+")</f>
        <v>46-60</v>
      </c>
      <c r="J1192" t="str" cm="1">
        <f t="array" ref="J1192">_xlfn.IFS(C1192&lt;18.5,"Underweight",C1192&lt;25,"Normal",C1192&lt;30,"Overweight",C1192&gt;=30,"Obese")</f>
        <v>Obese</v>
      </c>
      <c r="K1192" t="str" cm="1">
        <f t="array" ref="K1192">_xlfn.IFS(G1192&lt;10000, "Low", G1192&lt;=25000, "Medium", G1192&gt;25000, "High")</f>
        <v>High</v>
      </c>
    </row>
    <row r="1193" spans="1:11" x14ac:dyDescent="0.3">
      <c r="A1193">
        <v>58</v>
      </c>
      <c r="B1193" s="1" t="s">
        <v>7</v>
      </c>
      <c r="C1193">
        <v>38.19</v>
      </c>
      <c r="D1193">
        <v>3</v>
      </c>
      <c r="E1193" t="s">
        <v>10</v>
      </c>
      <c r="F1193" t="s">
        <v>14</v>
      </c>
      <c r="G1193" s="2">
        <v>33900.652999999998</v>
      </c>
      <c r="H1193" t="str" cm="1">
        <f t="array" ref="H1193">_xlfn.IFS(A1193&lt;=30, "Youth", A1193&lt;=50, "Adult", A1193&gt;50, "Older")</f>
        <v>Older</v>
      </c>
      <c r="I1193" t="str" cm="1">
        <f t="array" ref="I1193">_xlfn.IFS(A1193&lt;=25,"18-25",A1193&lt;=35,"26-35",A1193&lt;=45,"36-45",A1193&lt;=60,"46-60",A1193&gt;60,"60+")</f>
        <v>46-60</v>
      </c>
      <c r="J1193" t="str" cm="1">
        <f t="array" ref="J1193">_xlfn.IFS(C1193&lt;18.5,"Underweight",C1193&lt;25,"Normal",C1193&lt;30,"Overweight",C1193&gt;=30,"Obese")</f>
        <v>Obese</v>
      </c>
      <c r="K1193" t="str" cm="1">
        <f t="array" ref="K1193">_xlfn.IFS(G1193&lt;10000, "Low", G1193&lt;=25000, "Medium", G1193&gt;25000, "High")</f>
        <v>High</v>
      </c>
    </row>
    <row r="1194" spans="1:11" x14ac:dyDescent="0.3">
      <c r="A1194">
        <v>58</v>
      </c>
      <c r="B1194" s="1" t="s">
        <v>7</v>
      </c>
      <c r="C1194">
        <v>38.28</v>
      </c>
      <c r="D1194">
        <v>3</v>
      </c>
      <c r="E1194" t="s">
        <v>10</v>
      </c>
      <c r="F1194" t="s">
        <v>13</v>
      </c>
      <c r="G1194" s="2">
        <v>33907.548000000003</v>
      </c>
      <c r="H1194" t="str" cm="1">
        <f t="array" ref="H1194">_xlfn.IFS(A1194&lt;=30, "Youth", A1194&lt;=50, "Adult", A1194&gt;50, "Older")</f>
        <v>Older</v>
      </c>
      <c r="I1194" t="str" cm="1">
        <f t="array" ref="I1194">_xlfn.IFS(A1194&lt;=25,"18-25",A1194&lt;=35,"26-35",A1194&lt;=45,"36-45",A1194&lt;=60,"46-60",A1194&gt;60,"60+")</f>
        <v>46-60</v>
      </c>
      <c r="J1194" t="str" cm="1">
        <f t="array" ref="J1194">_xlfn.IFS(C1194&lt;18.5,"Underweight",C1194&lt;25,"Normal",C1194&lt;30,"Overweight",C1194&gt;=30,"Obese")</f>
        <v>Obese</v>
      </c>
      <c r="K1194" t="str" cm="1">
        <f t="array" ref="K1194">_xlfn.IFS(G1194&lt;10000, "Low", G1194&lt;=25000, "Medium", G1194&gt;25000, "High")</f>
        <v>High</v>
      </c>
    </row>
    <row r="1195" spans="1:11" x14ac:dyDescent="0.3">
      <c r="A1195">
        <v>58</v>
      </c>
      <c r="B1195" s="1" t="s">
        <v>7</v>
      </c>
      <c r="C1195">
        <v>38.28</v>
      </c>
      <c r="D1195">
        <v>3</v>
      </c>
      <c r="E1195" t="s">
        <v>10</v>
      </c>
      <c r="F1195" t="s">
        <v>13</v>
      </c>
      <c r="G1195" s="2">
        <v>34166.273000000001</v>
      </c>
      <c r="H1195" t="str" cm="1">
        <f t="array" ref="H1195">_xlfn.IFS(A1195&lt;=30, "Youth", A1195&lt;=50, "Adult", A1195&gt;50, "Older")</f>
        <v>Older</v>
      </c>
      <c r="I1195" t="str" cm="1">
        <f t="array" ref="I1195">_xlfn.IFS(A1195&lt;=25,"18-25",A1195&lt;=35,"26-35",A1195&lt;=45,"36-45",A1195&lt;=60,"46-60",A1195&gt;60,"60+")</f>
        <v>46-60</v>
      </c>
      <c r="J1195" t="str" cm="1">
        <f t="array" ref="J1195">_xlfn.IFS(C1195&lt;18.5,"Underweight",C1195&lt;25,"Normal",C1195&lt;30,"Overweight",C1195&gt;=30,"Obese")</f>
        <v>Obese</v>
      </c>
      <c r="K1195" t="str" cm="1">
        <f t="array" ref="K1195">_xlfn.IFS(G1195&lt;10000, "Low", G1195&lt;=25000, "Medium", G1195&gt;25000, "High")</f>
        <v>High</v>
      </c>
    </row>
    <row r="1196" spans="1:11" x14ac:dyDescent="0.3">
      <c r="A1196">
        <v>58</v>
      </c>
      <c r="B1196" s="1" t="s">
        <v>7</v>
      </c>
      <c r="C1196">
        <v>38.28</v>
      </c>
      <c r="D1196">
        <v>3</v>
      </c>
      <c r="E1196" t="s">
        <v>10</v>
      </c>
      <c r="F1196" t="s">
        <v>13</v>
      </c>
      <c r="G1196" s="2">
        <v>34254.053350000002</v>
      </c>
      <c r="H1196" t="str" cm="1">
        <f t="array" ref="H1196">_xlfn.IFS(A1196&lt;=30, "Youth", A1196&lt;=50, "Adult", A1196&gt;50, "Older")</f>
        <v>Older</v>
      </c>
      <c r="I1196" t="str" cm="1">
        <f t="array" ref="I1196">_xlfn.IFS(A1196&lt;=25,"18-25",A1196&lt;=35,"26-35",A1196&lt;=45,"36-45",A1196&lt;=60,"46-60",A1196&gt;60,"60+")</f>
        <v>46-60</v>
      </c>
      <c r="J1196" t="str" cm="1">
        <f t="array" ref="J1196">_xlfn.IFS(C1196&lt;18.5,"Underweight",C1196&lt;25,"Normal",C1196&lt;30,"Overweight",C1196&gt;=30,"Obese")</f>
        <v>Obese</v>
      </c>
      <c r="K1196" t="str" cm="1">
        <f t="array" ref="K1196">_xlfn.IFS(G1196&lt;10000, "Low", G1196&lt;=25000, "Medium", G1196&gt;25000, "High")</f>
        <v>High</v>
      </c>
    </row>
    <row r="1197" spans="1:11" x14ac:dyDescent="0.3">
      <c r="A1197">
        <v>58</v>
      </c>
      <c r="B1197" s="1" t="s">
        <v>7</v>
      </c>
      <c r="C1197">
        <v>38.284999999999997</v>
      </c>
      <c r="D1197">
        <v>3</v>
      </c>
      <c r="E1197" t="s">
        <v>9</v>
      </c>
      <c r="F1197" t="s">
        <v>13</v>
      </c>
      <c r="G1197" s="2">
        <v>34303.167200000004</v>
      </c>
      <c r="H1197" t="str" cm="1">
        <f t="array" ref="H1197">_xlfn.IFS(A1197&lt;=30, "Youth", A1197&lt;=50, "Adult", A1197&gt;50, "Older")</f>
        <v>Older</v>
      </c>
      <c r="I1197" t="str" cm="1">
        <f t="array" ref="I1197">_xlfn.IFS(A1197&lt;=25,"18-25",A1197&lt;=35,"26-35",A1197&lt;=45,"36-45",A1197&lt;=60,"46-60",A1197&gt;60,"60+")</f>
        <v>46-60</v>
      </c>
      <c r="J1197" t="str" cm="1">
        <f t="array" ref="J1197">_xlfn.IFS(C1197&lt;18.5,"Underweight",C1197&lt;25,"Normal",C1197&lt;30,"Overweight",C1197&gt;=30,"Obese")</f>
        <v>Obese</v>
      </c>
      <c r="K1197" t="str" cm="1">
        <f t="array" ref="K1197">_xlfn.IFS(G1197&lt;10000, "Low", G1197&lt;=25000, "Medium", G1197&gt;25000, "High")</f>
        <v>High</v>
      </c>
    </row>
    <row r="1198" spans="1:11" x14ac:dyDescent="0.3">
      <c r="A1198">
        <v>58</v>
      </c>
      <c r="B1198" s="1" t="s">
        <v>8</v>
      </c>
      <c r="C1198">
        <v>38.380000000000003</v>
      </c>
      <c r="D1198">
        <v>3</v>
      </c>
      <c r="E1198" t="s">
        <v>10</v>
      </c>
      <c r="F1198" t="s">
        <v>12</v>
      </c>
      <c r="G1198" s="2">
        <v>34439.855900000002</v>
      </c>
      <c r="H1198" t="str" cm="1">
        <f t="array" ref="H1198">_xlfn.IFS(A1198&lt;=30, "Youth", A1198&lt;=50, "Adult", A1198&gt;50, "Older")</f>
        <v>Older</v>
      </c>
      <c r="I1198" t="str" cm="1">
        <f t="array" ref="I1198">_xlfn.IFS(A1198&lt;=25,"18-25",A1198&lt;=35,"26-35",A1198&lt;=45,"36-45",A1198&lt;=60,"46-60",A1198&gt;60,"60+")</f>
        <v>46-60</v>
      </c>
      <c r="J1198" t="str" cm="1">
        <f t="array" ref="J1198">_xlfn.IFS(C1198&lt;18.5,"Underweight",C1198&lt;25,"Normal",C1198&lt;30,"Overweight",C1198&gt;=30,"Obese")</f>
        <v>Obese</v>
      </c>
      <c r="K1198" t="str" cm="1">
        <f t="array" ref="K1198">_xlfn.IFS(G1198&lt;10000, "Low", G1198&lt;=25000, "Medium", G1198&gt;25000, "High")</f>
        <v>High</v>
      </c>
    </row>
    <row r="1199" spans="1:11" x14ac:dyDescent="0.3">
      <c r="A1199">
        <v>58</v>
      </c>
      <c r="B1199" s="1" t="s">
        <v>8</v>
      </c>
      <c r="C1199">
        <v>38.380000000000003</v>
      </c>
      <c r="D1199">
        <v>3</v>
      </c>
      <c r="E1199" t="s">
        <v>10</v>
      </c>
      <c r="F1199" t="s">
        <v>13</v>
      </c>
      <c r="G1199" s="2">
        <v>34472.841</v>
      </c>
      <c r="H1199" t="str" cm="1">
        <f t="array" ref="H1199">_xlfn.IFS(A1199&lt;=30, "Youth", A1199&lt;=50, "Adult", A1199&gt;50, "Older")</f>
        <v>Older</v>
      </c>
      <c r="I1199" t="str" cm="1">
        <f t="array" ref="I1199">_xlfn.IFS(A1199&lt;=25,"18-25",A1199&lt;=35,"26-35",A1199&lt;=45,"36-45",A1199&lt;=60,"46-60",A1199&gt;60,"60+")</f>
        <v>46-60</v>
      </c>
      <c r="J1199" t="str" cm="1">
        <f t="array" ref="J1199">_xlfn.IFS(C1199&lt;18.5,"Underweight",C1199&lt;25,"Normal",C1199&lt;30,"Overweight",C1199&gt;=30,"Obese")</f>
        <v>Obese</v>
      </c>
      <c r="K1199" t="str" cm="1">
        <f t="array" ref="K1199">_xlfn.IFS(G1199&lt;10000, "Low", G1199&lt;=25000, "Medium", G1199&gt;25000, "High")</f>
        <v>High</v>
      </c>
    </row>
    <row r="1200" spans="1:11" x14ac:dyDescent="0.3">
      <c r="A1200">
        <v>59</v>
      </c>
      <c r="B1200" s="1" t="s">
        <v>7</v>
      </c>
      <c r="C1200">
        <v>38.39</v>
      </c>
      <c r="D1200">
        <v>3</v>
      </c>
      <c r="E1200" t="s">
        <v>10</v>
      </c>
      <c r="F1200" t="s">
        <v>11</v>
      </c>
      <c r="G1200" s="2">
        <v>34617.840649999998</v>
      </c>
      <c r="H1200" t="str" cm="1">
        <f t="array" ref="H1200">_xlfn.IFS(A1200&lt;=30, "Youth", A1200&lt;=50, "Adult", A1200&gt;50, "Older")</f>
        <v>Older</v>
      </c>
      <c r="I1200" t="str" cm="1">
        <f t="array" ref="I1200">_xlfn.IFS(A1200&lt;=25,"18-25",A1200&lt;=35,"26-35",A1200&lt;=45,"36-45",A1200&lt;=60,"46-60",A1200&gt;60,"60+")</f>
        <v>46-60</v>
      </c>
      <c r="J1200" t="str" cm="1">
        <f t="array" ref="J1200">_xlfn.IFS(C1200&lt;18.5,"Underweight",C1200&lt;25,"Normal",C1200&lt;30,"Overweight",C1200&gt;=30,"Obese")</f>
        <v>Obese</v>
      </c>
      <c r="K1200" t="str" cm="1">
        <f t="array" ref="K1200">_xlfn.IFS(G1200&lt;10000, "Low", G1200&lt;=25000, "Medium", G1200&gt;25000, "High")</f>
        <v>High</v>
      </c>
    </row>
    <row r="1201" spans="1:11" x14ac:dyDescent="0.3">
      <c r="A1201">
        <v>59</v>
      </c>
      <c r="B1201" s="1" t="s">
        <v>8</v>
      </c>
      <c r="C1201">
        <v>38.39</v>
      </c>
      <c r="D1201">
        <v>3</v>
      </c>
      <c r="E1201" t="s">
        <v>10</v>
      </c>
      <c r="F1201" t="s">
        <v>13</v>
      </c>
      <c r="G1201" s="2">
        <v>34672.147199999999</v>
      </c>
      <c r="H1201" t="str" cm="1">
        <f t="array" ref="H1201">_xlfn.IFS(A1201&lt;=30, "Youth", A1201&lt;=50, "Adult", A1201&gt;50, "Older")</f>
        <v>Older</v>
      </c>
      <c r="I1201" t="str" cm="1">
        <f t="array" ref="I1201">_xlfn.IFS(A1201&lt;=25,"18-25",A1201&lt;=35,"26-35",A1201&lt;=45,"36-45",A1201&lt;=60,"46-60",A1201&gt;60,"60+")</f>
        <v>46-60</v>
      </c>
      <c r="J1201" t="str" cm="1">
        <f t="array" ref="J1201">_xlfn.IFS(C1201&lt;18.5,"Underweight",C1201&lt;25,"Normal",C1201&lt;30,"Overweight",C1201&gt;=30,"Obese")</f>
        <v>Obese</v>
      </c>
      <c r="K1201" t="str" cm="1">
        <f t="array" ref="K1201">_xlfn.IFS(G1201&lt;10000, "Low", G1201&lt;=25000, "Medium", G1201&gt;25000, "High")</f>
        <v>High</v>
      </c>
    </row>
    <row r="1202" spans="1:11" x14ac:dyDescent="0.3">
      <c r="A1202">
        <v>59</v>
      </c>
      <c r="B1202" s="1" t="s">
        <v>8</v>
      </c>
      <c r="C1202">
        <v>38.39</v>
      </c>
      <c r="D1202">
        <v>3</v>
      </c>
      <c r="E1202" t="s">
        <v>10</v>
      </c>
      <c r="F1202" t="s">
        <v>13</v>
      </c>
      <c r="G1202" s="2">
        <v>34779.614999999998</v>
      </c>
      <c r="H1202" t="str" cm="1">
        <f t="array" ref="H1202">_xlfn.IFS(A1202&lt;=30, "Youth", A1202&lt;=50, "Adult", A1202&gt;50, "Older")</f>
        <v>Older</v>
      </c>
      <c r="I1202" t="str" cm="1">
        <f t="array" ref="I1202">_xlfn.IFS(A1202&lt;=25,"18-25",A1202&lt;=35,"26-35",A1202&lt;=45,"36-45",A1202&lt;=60,"46-60",A1202&gt;60,"60+")</f>
        <v>46-60</v>
      </c>
      <c r="J1202" t="str" cm="1">
        <f t="array" ref="J1202">_xlfn.IFS(C1202&lt;18.5,"Underweight",C1202&lt;25,"Normal",C1202&lt;30,"Overweight",C1202&gt;=30,"Obese")</f>
        <v>Obese</v>
      </c>
      <c r="K1202" t="str" cm="1">
        <f t="array" ref="K1202">_xlfn.IFS(G1202&lt;10000, "Low", G1202&lt;=25000, "Medium", G1202&gt;25000, "High")</f>
        <v>High</v>
      </c>
    </row>
    <row r="1203" spans="1:11" x14ac:dyDescent="0.3">
      <c r="A1203">
        <v>59</v>
      </c>
      <c r="B1203" s="1" t="s">
        <v>8</v>
      </c>
      <c r="C1203">
        <v>38.6</v>
      </c>
      <c r="D1203">
        <v>3</v>
      </c>
      <c r="E1203" t="s">
        <v>10</v>
      </c>
      <c r="F1203" t="s">
        <v>13</v>
      </c>
      <c r="G1203" s="2">
        <v>34806.467700000001</v>
      </c>
      <c r="H1203" t="str" cm="1">
        <f t="array" ref="H1203">_xlfn.IFS(A1203&lt;=30, "Youth", A1203&lt;=50, "Adult", A1203&gt;50, "Older")</f>
        <v>Older</v>
      </c>
      <c r="I1203" t="str" cm="1">
        <f t="array" ref="I1203">_xlfn.IFS(A1203&lt;=25,"18-25",A1203&lt;=35,"26-35",A1203&lt;=45,"36-45",A1203&lt;=60,"46-60",A1203&gt;60,"60+")</f>
        <v>46-60</v>
      </c>
      <c r="J1203" t="str" cm="1">
        <f t="array" ref="J1203">_xlfn.IFS(C1203&lt;18.5,"Underweight",C1203&lt;25,"Normal",C1203&lt;30,"Overweight",C1203&gt;=30,"Obese")</f>
        <v>Obese</v>
      </c>
      <c r="K1203" t="str" cm="1">
        <f t="array" ref="K1203">_xlfn.IFS(G1203&lt;10000, "Low", G1203&lt;=25000, "Medium", G1203&gt;25000, "High")</f>
        <v>High</v>
      </c>
    </row>
    <row r="1204" spans="1:11" x14ac:dyDescent="0.3">
      <c r="A1204">
        <v>59</v>
      </c>
      <c r="B1204" s="1" t="s">
        <v>8</v>
      </c>
      <c r="C1204">
        <v>38.6</v>
      </c>
      <c r="D1204">
        <v>3</v>
      </c>
      <c r="E1204" t="s">
        <v>10</v>
      </c>
      <c r="F1204" t="s">
        <v>14</v>
      </c>
      <c r="G1204" s="2">
        <v>34828.654000000002</v>
      </c>
      <c r="H1204" t="str" cm="1">
        <f t="array" ref="H1204">_xlfn.IFS(A1204&lt;=30, "Youth", A1204&lt;=50, "Adult", A1204&gt;50, "Older")</f>
        <v>Older</v>
      </c>
      <c r="I1204" t="str" cm="1">
        <f t="array" ref="I1204">_xlfn.IFS(A1204&lt;=25,"18-25",A1204&lt;=35,"26-35",A1204&lt;=45,"36-45",A1204&lt;=60,"46-60",A1204&gt;60,"60+")</f>
        <v>46-60</v>
      </c>
      <c r="J1204" t="str" cm="1">
        <f t="array" ref="J1204">_xlfn.IFS(C1204&lt;18.5,"Underweight",C1204&lt;25,"Normal",C1204&lt;30,"Overweight",C1204&gt;=30,"Obese")</f>
        <v>Obese</v>
      </c>
      <c r="K1204" t="str" cm="1">
        <f t="array" ref="K1204">_xlfn.IFS(G1204&lt;10000, "Low", G1204&lt;=25000, "Medium", G1204&gt;25000, "High")</f>
        <v>High</v>
      </c>
    </row>
    <row r="1205" spans="1:11" x14ac:dyDescent="0.3">
      <c r="A1205">
        <v>59</v>
      </c>
      <c r="B1205" s="1" t="s">
        <v>7</v>
      </c>
      <c r="C1205">
        <v>38.664999999999999</v>
      </c>
      <c r="D1205">
        <v>3</v>
      </c>
      <c r="E1205" t="s">
        <v>9</v>
      </c>
      <c r="F1205" t="s">
        <v>12</v>
      </c>
      <c r="G1205" s="2">
        <v>34838.873</v>
      </c>
      <c r="H1205" t="str" cm="1">
        <f t="array" ref="H1205">_xlfn.IFS(A1205&lt;=30, "Youth", A1205&lt;=50, "Adult", A1205&gt;50, "Older")</f>
        <v>Older</v>
      </c>
      <c r="I1205" t="str" cm="1">
        <f t="array" ref="I1205">_xlfn.IFS(A1205&lt;=25,"18-25",A1205&lt;=35,"26-35",A1205&lt;=45,"36-45",A1205&lt;=60,"46-60",A1205&gt;60,"60+")</f>
        <v>46-60</v>
      </c>
      <c r="J1205" t="str" cm="1">
        <f t="array" ref="J1205">_xlfn.IFS(C1205&lt;18.5,"Underweight",C1205&lt;25,"Normal",C1205&lt;30,"Overweight",C1205&gt;=30,"Obese")</f>
        <v>Obese</v>
      </c>
      <c r="K1205" t="str" cm="1">
        <f t="array" ref="K1205">_xlfn.IFS(G1205&lt;10000, "Low", G1205&lt;=25000, "Medium", G1205&gt;25000, "High")</f>
        <v>High</v>
      </c>
    </row>
    <row r="1206" spans="1:11" x14ac:dyDescent="0.3">
      <c r="A1206">
        <v>59</v>
      </c>
      <c r="B1206" s="1" t="s">
        <v>8</v>
      </c>
      <c r="C1206">
        <v>38.83</v>
      </c>
      <c r="D1206">
        <v>3</v>
      </c>
      <c r="E1206" t="s">
        <v>10</v>
      </c>
      <c r="F1206" t="s">
        <v>13</v>
      </c>
      <c r="G1206" s="2">
        <v>35069.374519999998</v>
      </c>
      <c r="H1206" t="str" cm="1">
        <f t="array" ref="H1206">_xlfn.IFS(A1206&lt;=30, "Youth", A1206&lt;=50, "Adult", A1206&gt;50, "Older")</f>
        <v>Older</v>
      </c>
      <c r="I1206" t="str" cm="1">
        <f t="array" ref="I1206">_xlfn.IFS(A1206&lt;=25,"18-25",A1206&lt;=35,"26-35",A1206&lt;=45,"36-45",A1206&lt;=60,"46-60",A1206&gt;60,"60+")</f>
        <v>46-60</v>
      </c>
      <c r="J1206" t="str" cm="1">
        <f t="array" ref="J1206">_xlfn.IFS(C1206&lt;18.5,"Underweight",C1206&lt;25,"Normal",C1206&lt;30,"Overweight",C1206&gt;=30,"Obese")</f>
        <v>Obese</v>
      </c>
      <c r="K1206" t="str" cm="1">
        <f t="array" ref="K1206">_xlfn.IFS(G1206&lt;10000, "Low", G1206&lt;=25000, "Medium", G1206&gt;25000, "High")</f>
        <v>High</v>
      </c>
    </row>
    <row r="1207" spans="1:11" x14ac:dyDescent="0.3">
      <c r="A1207">
        <v>59</v>
      </c>
      <c r="B1207" s="1" t="s">
        <v>7</v>
      </c>
      <c r="C1207">
        <v>38.83</v>
      </c>
      <c r="D1207">
        <v>3</v>
      </c>
      <c r="E1207" t="s">
        <v>10</v>
      </c>
      <c r="F1207" t="s">
        <v>11</v>
      </c>
      <c r="G1207" s="2">
        <v>35147.528480000001</v>
      </c>
      <c r="H1207" t="str" cm="1">
        <f t="array" ref="H1207">_xlfn.IFS(A1207&lt;=30, "Youth", A1207&lt;=50, "Adult", A1207&gt;50, "Older")</f>
        <v>Older</v>
      </c>
      <c r="I1207" t="str" cm="1">
        <f t="array" ref="I1207">_xlfn.IFS(A1207&lt;=25,"18-25",A1207&lt;=35,"26-35",A1207&lt;=45,"36-45",A1207&lt;=60,"46-60",A1207&gt;60,"60+")</f>
        <v>46-60</v>
      </c>
      <c r="J1207" t="str" cm="1">
        <f t="array" ref="J1207">_xlfn.IFS(C1207&lt;18.5,"Underweight",C1207&lt;25,"Normal",C1207&lt;30,"Overweight",C1207&gt;=30,"Obese")</f>
        <v>Obese</v>
      </c>
      <c r="K1207" t="str" cm="1">
        <f t="array" ref="K1207">_xlfn.IFS(G1207&lt;10000, "Low", G1207&lt;=25000, "Medium", G1207&gt;25000, "High")</f>
        <v>High</v>
      </c>
    </row>
    <row r="1208" spans="1:11" x14ac:dyDescent="0.3">
      <c r="A1208">
        <v>59</v>
      </c>
      <c r="B1208" s="1" t="s">
        <v>8</v>
      </c>
      <c r="C1208">
        <v>38.83</v>
      </c>
      <c r="D1208">
        <v>3</v>
      </c>
      <c r="E1208" t="s">
        <v>9</v>
      </c>
      <c r="F1208" t="s">
        <v>11</v>
      </c>
      <c r="G1208" s="2">
        <v>35160.134570000002</v>
      </c>
      <c r="H1208" t="str" cm="1">
        <f t="array" ref="H1208">_xlfn.IFS(A1208&lt;=30, "Youth", A1208&lt;=50, "Adult", A1208&gt;50, "Older")</f>
        <v>Older</v>
      </c>
      <c r="I1208" t="str" cm="1">
        <f t="array" ref="I1208">_xlfn.IFS(A1208&lt;=25,"18-25",A1208&lt;=35,"26-35",A1208&lt;=45,"36-45",A1208&lt;=60,"46-60",A1208&gt;60,"60+")</f>
        <v>46-60</v>
      </c>
      <c r="J1208" t="str" cm="1">
        <f t="array" ref="J1208">_xlfn.IFS(C1208&lt;18.5,"Underweight",C1208&lt;25,"Normal",C1208&lt;30,"Overweight",C1208&gt;=30,"Obese")</f>
        <v>Obese</v>
      </c>
      <c r="K1208" t="str" cm="1">
        <f t="array" ref="K1208">_xlfn.IFS(G1208&lt;10000, "Low", G1208&lt;=25000, "Medium", G1208&gt;25000, "High")</f>
        <v>High</v>
      </c>
    </row>
    <row r="1209" spans="1:11" x14ac:dyDescent="0.3">
      <c r="A1209">
        <v>59</v>
      </c>
      <c r="B1209" s="1" t="s">
        <v>7</v>
      </c>
      <c r="C1209">
        <v>38.9</v>
      </c>
      <c r="D1209">
        <v>3</v>
      </c>
      <c r="E1209" t="s">
        <v>9</v>
      </c>
      <c r="F1209" t="s">
        <v>14</v>
      </c>
      <c r="G1209" s="2">
        <v>35491.64</v>
      </c>
      <c r="H1209" t="str" cm="1">
        <f t="array" ref="H1209">_xlfn.IFS(A1209&lt;=30, "Youth", A1209&lt;=50, "Adult", A1209&gt;50, "Older")</f>
        <v>Older</v>
      </c>
      <c r="I1209" t="str" cm="1">
        <f t="array" ref="I1209">_xlfn.IFS(A1209&lt;=25,"18-25",A1209&lt;=35,"26-35",A1209&lt;=45,"36-45",A1209&lt;=60,"46-60",A1209&gt;60,"60+")</f>
        <v>46-60</v>
      </c>
      <c r="J1209" t="str" cm="1">
        <f t="array" ref="J1209">_xlfn.IFS(C1209&lt;18.5,"Underweight",C1209&lt;25,"Normal",C1209&lt;30,"Overweight",C1209&gt;=30,"Obese")</f>
        <v>Obese</v>
      </c>
      <c r="K1209" t="str" cm="1">
        <f t="array" ref="K1209">_xlfn.IFS(G1209&lt;10000, "Low", G1209&lt;=25000, "Medium", G1209&gt;25000, "High")</f>
        <v>High</v>
      </c>
    </row>
    <row r="1210" spans="1:11" x14ac:dyDescent="0.3">
      <c r="A1210">
        <v>59</v>
      </c>
      <c r="B1210" s="1" t="s">
        <v>8</v>
      </c>
      <c r="C1210">
        <v>38.94</v>
      </c>
      <c r="D1210">
        <v>3</v>
      </c>
      <c r="E1210" t="s">
        <v>10</v>
      </c>
      <c r="F1210" t="s">
        <v>11</v>
      </c>
      <c r="G1210" s="2">
        <v>35585.576000000001</v>
      </c>
      <c r="H1210" t="str" cm="1">
        <f t="array" ref="H1210">_xlfn.IFS(A1210&lt;=30, "Youth", A1210&lt;=50, "Adult", A1210&gt;50, "Older")</f>
        <v>Older</v>
      </c>
      <c r="I1210" t="str" cm="1">
        <f t="array" ref="I1210">_xlfn.IFS(A1210&lt;=25,"18-25",A1210&lt;=35,"26-35",A1210&lt;=45,"36-45",A1210&lt;=60,"46-60",A1210&gt;60,"60+")</f>
        <v>46-60</v>
      </c>
      <c r="J1210" t="str" cm="1">
        <f t="array" ref="J1210">_xlfn.IFS(C1210&lt;18.5,"Underweight",C1210&lt;25,"Normal",C1210&lt;30,"Overweight",C1210&gt;=30,"Obese")</f>
        <v>Obese</v>
      </c>
      <c r="K1210" t="str" cm="1">
        <f t="array" ref="K1210">_xlfn.IFS(G1210&lt;10000, "Low", G1210&lt;=25000, "Medium", G1210&gt;25000, "High")</f>
        <v>High</v>
      </c>
    </row>
    <row r="1211" spans="1:11" x14ac:dyDescent="0.3">
      <c r="A1211">
        <v>59</v>
      </c>
      <c r="B1211" s="1" t="s">
        <v>8</v>
      </c>
      <c r="C1211">
        <v>38.94</v>
      </c>
      <c r="D1211">
        <v>3</v>
      </c>
      <c r="E1211" t="s">
        <v>10</v>
      </c>
      <c r="F1211" t="s">
        <v>13</v>
      </c>
      <c r="G1211" s="2">
        <v>35595.589800000002</v>
      </c>
      <c r="H1211" t="str" cm="1">
        <f t="array" ref="H1211">_xlfn.IFS(A1211&lt;=30, "Youth", A1211&lt;=50, "Adult", A1211&gt;50, "Older")</f>
        <v>Older</v>
      </c>
      <c r="I1211" t="str" cm="1">
        <f t="array" ref="I1211">_xlfn.IFS(A1211&lt;=25,"18-25",A1211&lt;=35,"26-35",A1211&lt;=45,"36-45",A1211&lt;=60,"46-60",A1211&gt;60,"60+")</f>
        <v>46-60</v>
      </c>
      <c r="J1211" t="str" cm="1">
        <f t="array" ref="J1211">_xlfn.IFS(C1211&lt;18.5,"Underweight",C1211&lt;25,"Normal",C1211&lt;30,"Overweight",C1211&gt;=30,"Obese")</f>
        <v>Obese</v>
      </c>
      <c r="K1211" t="str" cm="1">
        <f t="array" ref="K1211">_xlfn.IFS(G1211&lt;10000, "Low", G1211&lt;=25000, "Medium", G1211&gt;25000, "High")</f>
        <v>High</v>
      </c>
    </row>
    <row r="1212" spans="1:11" x14ac:dyDescent="0.3">
      <c r="A1212">
        <v>59</v>
      </c>
      <c r="B1212" s="1" t="s">
        <v>8</v>
      </c>
      <c r="C1212">
        <v>38.950000000000003</v>
      </c>
      <c r="D1212">
        <v>3</v>
      </c>
      <c r="E1212" t="s">
        <v>10</v>
      </c>
      <c r="F1212" t="s">
        <v>12</v>
      </c>
      <c r="G1212" s="2">
        <v>36021.011200000001</v>
      </c>
      <c r="H1212" t="str" cm="1">
        <f t="array" ref="H1212">_xlfn.IFS(A1212&lt;=30, "Youth", A1212&lt;=50, "Adult", A1212&gt;50, "Older")</f>
        <v>Older</v>
      </c>
      <c r="I1212" t="str" cm="1">
        <f t="array" ref="I1212">_xlfn.IFS(A1212&lt;=25,"18-25",A1212&lt;=35,"26-35",A1212&lt;=45,"36-45",A1212&lt;=60,"46-60",A1212&gt;60,"60+")</f>
        <v>46-60</v>
      </c>
      <c r="J1212" t="str" cm="1">
        <f t="array" ref="J1212">_xlfn.IFS(C1212&lt;18.5,"Underweight",C1212&lt;25,"Normal",C1212&lt;30,"Overweight",C1212&gt;=30,"Obese")</f>
        <v>Obese</v>
      </c>
      <c r="K1212" t="str" cm="1">
        <f t="array" ref="K1212">_xlfn.IFS(G1212&lt;10000, "Low", G1212&lt;=25000, "Medium", G1212&gt;25000, "High")</f>
        <v>High</v>
      </c>
    </row>
    <row r="1213" spans="1:11" x14ac:dyDescent="0.3">
      <c r="A1213">
        <v>59</v>
      </c>
      <c r="B1213" s="1" t="s">
        <v>8</v>
      </c>
      <c r="C1213">
        <v>39.049999999999997</v>
      </c>
      <c r="D1213">
        <v>3</v>
      </c>
      <c r="E1213" t="s">
        <v>10</v>
      </c>
      <c r="F1213" t="s">
        <v>14</v>
      </c>
      <c r="G1213" s="2">
        <v>36085.218999999997</v>
      </c>
      <c r="H1213" t="str" cm="1">
        <f t="array" ref="H1213">_xlfn.IFS(A1213&lt;=30, "Youth", A1213&lt;=50, "Adult", A1213&gt;50, "Older")</f>
        <v>Older</v>
      </c>
      <c r="I1213" t="str" cm="1">
        <f t="array" ref="I1213">_xlfn.IFS(A1213&lt;=25,"18-25",A1213&lt;=35,"26-35",A1213&lt;=45,"36-45",A1213&lt;=60,"46-60",A1213&gt;60,"60+")</f>
        <v>46-60</v>
      </c>
      <c r="J1213" t="str" cm="1">
        <f t="array" ref="J1213">_xlfn.IFS(C1213&lt;18.5,"Underweight",C1213&lt;25,"Normal",C1213&lt;30,"Overweight",C1213&gt;=30,"Obese")</f>
        <v>Obese</v>
      </c>
      <c r="K1213" t="str" cm="1">
        <f t="array" ref="K1213">_xlfn.IFS(G1213&lt;10000, "Low", G1213&lt;=25000, "Medium", G1213&gt;25000, "High")</f>
        <v>High</v>
      </c>
    </row>
    <row r="1214" spans="1:11" x14ac:dyDescent="0.3">
      <c r="A1214">
        <v>59</v>
      </c>
      <c r="B1214" s="1" t="s">
        <v>7</v>
      </c>
      <c r="C1214">
        <v>39.049999999999997</v>
      </c>
      <c r="D1214">
        <v>3</v>
      </c>
      <c r="E1214" t="s">
        <v>10</v>
      </c>
      <c r="F1214" t="s">
        <v>11</v>
      </c>
      <c r="G1214" s="2">
        <v>36124.573700000001</v>
      </c>
      <c r="H1214" t="str" cm="1">
        <f t="array" ref="H1214">_xlfn.IFS(A1214&lt;=30, "Youth", A1214&lt;=50, "Adult", A1214&gt;50, "Older")</f>
        <v>Older</v>
      </c>
      <c r="I1214" t="str" cm="1">
        <f t="array" ref="I1214">_xlfn.IFS(A1214&lt;=25,"18-25",A1214&lt;=35,"26-35",A1214&lt;=45,"36-45",A1214&lt;=60,"46-60",A1214&gt;60,"60+")</f>
        <v>46-60</v>
      </c>
      <c r="J1214" t="str" cm="1">
        <f t="array" ref="J1214">_xlfn.IFS(C1214&lt;18.5,"Underweight",C1214&lt;25,"Normal",C1214&lt;30,"Overweight",C1214&gt;=30,"Obese")</f>
        <v>Obese</v>
      </c>
      <c r="K1214" t="str" cm="1">
        <f t="array" ref="K1214">_xlfn.IFS(G1214&lt;10000, "Low", G1214&lt;=25000, "Medium", G1214&gt;25000, "High")</f>
        <v>High</v>
      </c>
    </row>
    <row r="1215" spans="1:11" x14ac:dyDescent="0.3">
      <c r="A1215">
        <v>59</v>
      </c>
      <c r="B1215" s="1" t="s">
        <v>7</v>
      </c>
      <c r="C1215">
        <v>39.049999999999997</v>
      </c>
      <c r="D1215">
        <v>3</v>
      </c>
      <c r="E1215" t="s">
        <v>10</v>
      </c>
      <c r="F1215" t="s">
        <v>13</v>
      </c>
      <c r="G1215" s="2">
        <v>36149.483500000002</v>
      </c>
      <c r="H1215" t="str" cm="1">
        <f t="array" ref="H1215">_xlfn.IFS(A1215&lt;=30, "Youth", A1215&lt;=50, "Adult", A1215&gt;50, "Older")</f>
        <v>Older</v>
      </c>
      <c r="I1215" t="str" cm="1">
        <f t="array" ref="I1215">_xlfn.IFS(A1215&lt;=25,"18-25",A1215&lt;=35,"26-35",A1215&lt;=45,"36-45",A1215&lt;=60,"46-60",A1215&gt;60,"60+")</f>
        <v>46-60</v>
      </c>
      <c r="J1215" t="str" cm="1">
        <f t="array" ref="J1215">_xlfn.IFS(C1215&lt;18.5,"Underweight",C1215&lt;25,"Normal",C1215&lt;30,"Overweight",C1215&gt;=30,"Obese")</f>
        <v>Obese</v>
      </c>
      <c r="K1215" t="str" cm="1">
        <f t="array" ref="K1215">_xlfn.IFS(G1215&lt;10000, "Low", G1215&lt;=25000, "Medium", G1215&gt;25000, "High")</f>
        <v>High</v>
      </c>
    </row>
    <row r="1216" spans="1:11" x14ac:dyDescent="0.3">
      <c r="A1216">
        <v>59</v>
      </c>
      <c r="B1216" s="1" t="s">
        <v>8</v>
      </c>
      <c r="C1216">
        <v>39.1</v>
      </c>
      <c r="D1216">
        <v>3</v>
      </c>
      <c r="E1216" t="s">
        <v>10</v>
      </c>
      <c r="F1216" t="s">
        <v>14</v>
      </c>
      <c r="G1216" s="2">
        <v>36189.101699999999</v>
      </c>
      <c r="H1216" t="str" cm="1">
        <f t="array" ref="H1216">_xlfn.IFS(A1216&lt;=30, "Youth", A1216&lt;=50, "Adult", A1216&gt;50, "Older")</f>
        <v>Older</v>
      </c>
      <c r="I1216" t="str" cm="1">
        <f t="array" ref="I1216">_xlfn.IFS(A1216&lt;=25,"18-25",A1216&lt;=35,"26-35",A1216&lt;=45,"36-45",A1216&lt;=60,"46-60",A1216&gt;60,"60+")</f>
        <v>46-60</v>
      </c>
      <c r="J1216" t="str" cm="1">
        <f t="array" ref="J1216">_xlfn.IFS(C1216&lt;18.5,"Underweight",C1216&lt;25,"Normal",C1216&lt;30,"Overweight",C1216&gt;=30,"Obese")</f>
        <v>Obese</v>
      </c>
      <c r="K1216" t="str" cm="1">
        <f t="array" ref="K1216">_xlfn.IFS(G1216&lt;10000, "Low", G1216&lt;=25000, "Medium", G1216&gt;25000, "High")</f>
        <v>High</v>
      </c>
    </row>
    <row r="1217" spans="1:11" x14ac:dyDescent="0.3">
      <c r="A1217">
        <v>59</v>
      </c>
      <c r="B1217" s="1" t="s">
        <v>8</v>
      </c>
      <c r="C1217">
        <v>39.14</v>
      </c>
      <c r="D1217">
        <v>3</v>
      </c>
      <c r="E1217" t="s">
        <v>10</v>
      </c>
      <c r="F1217" t="s">
        <v>12</v>
      </c>
      <c r="G1217" s="2">
        <v>36197.699000000001</v>
      </c>
      <c r="H1217" t="str" cm="1">
        <f t="array" ref="H1217">_xlfn.IFS(A1217&lt;=30, "Youth", A1217&lt;=50, "Adult", A1217&gt;50, "Older")</f>
        <v>Older</v>
      </c>
      <c r="I1217" t="str" cm="1">
        <f t="array" ref="I1217">_xlfn.IFS(A1217&lt;=25,"18-25",A1217&lt;=35,"26-35",A1217&lt;=45,"36-45",A1217&lt;=60,"46-60",A1217&gt;60,"60+")</f>
        <v>46-60</v>
      </c>
      <c r="J1217" t="str" cm="1">
        <f t="array" ref="J1217">_xlfn.IFS(C1217&lt;18.5,"Underweight",C1217&lt;25,"Normal",C1217&lt;30,"Overweight",C1217&gt;=30,"Obese")</f>
        <v>Obese</v>
      </c>
      <c r="K1217" t="str" cm="1">
        <f t="array" ref="K1217">_xlfn.IFS(G1217&lt;10000, "Low", G1217&lt;=25000, "Medium", G1217&gt;25000, "High")</f>
        <v>High</v>
      </c>
    </row>
    <row r="1218" spans="1:11" x14ac:dyDescent="0.3">
      <c r="A1218">
        <v>59</v>
      </c>
      <c r="B1218" s="1" t="s">
        <v>8</v>
      </c>
      <c r="C1218">
        <v>39.159999999999997</v>
      </c>
      <c r="D1218">
        <v>3</v>
      </c>
      <c r="E1218" t="s">
        <v>10</v>
      </c>
      <c r="F1218" t="s">
        <v>12</v>
      </c>
      <c r="G1218" s="2">
        <v>36219.405449999998</v>
      </c>
      <c r="H1218" t="str" cm="1">
        <f t="array" ref="H1218">_xlfn.IFS(A1218&lt;=30, "Youth", A1218&lt;=50, "Adult", A1218&gt;50, "Older")</f>
        <v>Older</v>
      </c>
      <c r="I1218" t="str" cm="1">
        <f t="array" ref="I1218">_xlfn.IFS(A1218&lt;=25,"18-25",A1218&lt;=35,"26-35",A1218&lt;=45,"36-45",A1218&lt;=60,"46-60",A1218&gt;60,"60+")</f>
        <v>46-60</v>
      </c>
      <c r="J1218" t="str" cm="1">
        <f t="array" ref="J1218">_xlfn.IFS(C1218&lt;18.5,"Underweight",C1218&lt;25,"Normal",C1218&lt;30,"Overweight",C1218&gt;=30,"Obese")</f>
        <v>Obese</v>
      </c>
      <c r="K1218" t="str" cm="1">
        <f t="array" ref="K1218">_xlfn.IFS(G1218&lt;10000, "Low", G1218&lt;=25000, "Medium", G1218&gt;25000, "High")</f>
        <v>High</v>
      </c>
    </row>
    <row r="1219" spans="1:11" x14ac:dyDescent="0.3">
      <c r="A1219">
        <v>59</v>
      </c>
      <c r="B1219" s="1" t="s">
        <v>7</v>
      </c>
      <c r="C1219">
        <v>39.159999999999997</v>
      </c>
      <c r="D1219">
        <v>3</v>
      </c>
      <c r="E1219" t="s">
        <v>9</v>
      </c>
      <c r="F1219" t="s">
        <v>11</v>
      </c>
      <c r="G1219" s="2">
        <v>36307.798300000002</v>
      </c>
      <c r="H1219" t="str" cm="1">
        <f t="array" ref="H1219">_xlfn.IFS(A1219&lt;=30, "Youth", A1219&lt;=50, "Adult", A1219&gt;50, "Older")</f>
        <v>Older</v>
      </c>
      <c r="I1219" t="str" cm="1">
        <f t="array" ref="I1219">_xlfn.IFS(A1219&lt;=25,"18-25",A1219&lt;=35,"26-35",A1219&lt;=45,"36-45",A1219&lt;=60,"46-60",A1219&gt;60,"60+")</f>
        <v>46-60</v>
      </c>
      <c r="J1219" t="str" cm="1">
        <f t="array" ref="J1219">_xlfn.IFS(C1219&lt;18.5,"Underweight",C1219&lt;25,"Normal",C1219&lt;30,"Overweight",C1219&gt;=30,"Obese")</f>
        <v>Obese</v>
      </c>
      <c r="K1219" t="str" cm="1">
        <f t="array" ref="K1219">_xlfn.IFS(G1219&lt;10000, "Low", G1219&lt;=25000, "Medium", G1219&gt;25000, "High")</f>
        <v>High</v>
      </c>
    </row>
    <row r="1220" spans="1:11" x14ac:dyDescent="0.3">
      <c r="A1220">
        <v>59</v>
      </c>
      <c r="B1220" s="1" t="s">
        <v>7</v>
      </c>
      <c r="C1220">
        <v>39.159999999999997</v>
      </c>
      <c r="D1220">
        <v>3</v>
      </c>
      <c r="E1220" t="s">
        <v>10</v>
      </c>
      <c r="F1220" t="s">
        <v>13</v>
      </c>
      <c r="G1220" s="2">
        <v>36397.576000000001</v>
      </c>
      <c r="H1220" t="str" cm="1">
        <f t="array" ref="H1220">_xlfn.IFS(A1220&lt;=30, "Youth", A1220&lt;=50, "Adult", A1220&gt;50, "Older")</f>
        <v>Older</v>
      </c>
      <c r="I1220" t="str" cm="1">
        <f t="array" ref="I1220">_xlfn.IFS(A1220&lt;=25,"18-25",A1220&lt;=35,"26-35",A1220&lt;=45,"36-45",A1220&lt;=60,"46-60",A1220&gt;60,"60+")</f>
        <v>46-60</v>
      </c>
      <c r="J1220" t="str" cm="1">
        <f t="array" ref="J1220">_xlfn.IFS(C1220&lt;18.5,"Underweight",C1220&lt;25,"Normal",C1220&lt;30,"Overweight",C1220&gt;=30,"Obese")</f>
        <v>Obese</v>
      </c>
      <c r="K1220" t="str" cm="1">
        <f t="array" ref="K1220">_xlfn.IFS(G1220&lt;10000, "Low", G1220&lt;=25000, "Medium", G1220&gt;25000, "High")</f>
        <v>High</v>
      </c>
    </row>
    <row r="1221" spans="1:11" x14ac:dyDescent="0.3">
      <c r="A1221">
        <v>59</v>
      </c>
      <c r="B1221" s="1" t="s">
        <v>7</v>
      </c>
      <c r="C1221">
        <v>39.200000000000003</v>
      </c>
      <c r="D1221">
        <v>3</v>
      </c>
      <c r="E1221" t="s">
        <v>10</v>
      </c>
      <c r="F1221" t="s">
        <v>14</v>
      </c>
      <c r="G1221" s="2">
        <v>36580.282160000002</v>
      </c>
      <c r="H1221" t="str" cm="1">
        <f t="array" ref="H1221">_xlfn.IFS(A1221&lt;=30, "Youth", A1221&lt;=50, "Adult", A1221&gt;50, "Older")</f>
        <v>Older</v>
      </c>
      <c r="I1221" t="str" cm="1">
        <f t="array" ref="I1221">_xlfn.IFS(A1221&lt;=25,"18-25",A1221&lt;=35,"26-35",A1221&lt;=45,"36-45",A1221&lt;=60,"46-60",A1221&gt;60,"60+")</f>
        <v>46-60</v>
      </c>
      <c r="J1221" t="str" cm="1">
        <f t="array" ref="J1221">_xlfn.IFS(C1221&lt;18.5,"Underweight",C1221&lt;25,"Normal",C1221&lt;30,"Overweight",C1221&gt;=30,"Obese")</f>
        <v>Obese</v>
      </c>
      <c r="K1221" t="str" cm="1">
        <f t="array" ref="K1221">_xlfn.IFS(G1221&lt;10000, "Low", G1221&lt;=25000, "Medium", G1221&gt;25000, "High")</f>
        <v>High</v>
      </c>
    </row>
    <row r="1222" spans="1:11" x14ac:dyDescent="0.3">
      <c r="A1222">
        <v>59</v>
      </c>
      <c r="B1222" s="1" t="s">
        <v>8</v>
      </c>
      <c r="C1222">
        <v>39.270000000000003</v>
      </c>
      <c r="D1222">
        <v>3</v>
      </c>
      <c r="E1222" t="s">
        <v>10</v>
      </c>
      <c r="F1222" t="s">
        <v>12</v>
      </c>
      <c r="G1222" s="2">
        <v>36837.466999999997</v>
      </c>
      <c r="H1222" t="str" cm="1">
        <f t="array" ref="H1222">_xlfn.IFS(A1222&lt;=30, "Youth", A1222&lt;=50, "Adult", A1222&gt;50, "Older")</f>
        <v>Older</v>
      </c>
      <c r="I1222" t="str" cm="1">
        <f t="array" ref="I1222">_xlfn.IFS(A1222&lt;=25,"18-25",A1222&lt;=35,"26-35",A1222&lt;=45,"36-45",A1222&lt;=60,"46-60",A1222&gt;60,"60+")</f>
        <v>46-60</v>
      </c>
      <c r="J1222" t="str" cm="1">
        <f t="array" ref="J1222">_xlfn.IFS(C1222&lt;18.5,"Underweight",C1222&lt;25,"Normal",C1222&lt;30,"Overweight",C1222&gt;=30,"Obese")</f>
        <v>Obese</v>
      </c>
      <c r="K1222" t="str" cm="1">
        <f t="array" ref="K1222">_xlfn.IFS(G1222&lt;10000, "Low", G1222&lt;=25000, "Medium", G1222&gt;25000, "High")</f>
        <v>High</v>
      </c>
    </row>
    <row r="1223" spans="1:11" x14ac:dyDescent="0.3">
      <c r="A1223">
        <v>59</v>
      </c>
      <c r="B1223" s="1" t="s">
        <v>8</v>
      </c>
      <c r="C1223">
        <v>39.33</v>
      </c>
      <c r="D1223">
        <v>3</v>
      </c>
      <c r="E1223" t="s">
        <v>10</v>
      </c>
      <c r="F1223" t="s">
        <v>12</v>
      </c>
      <c r="G1223" s="2">
        <v>36898.733079999998</v>
      </c>
      <c r="H1223" t="str" cm="1">
        <f t="array" ref="H1223">_xlfn.IFS(A1223&lt;=30, "Youth", A1223&lt;=50, "Adult", A1223&gt;50, "Older")</f>
        <v>Older</v>
      </c>
      <c r="I1223" t="str" cm="1">
        <f t="array" ref="I1223">_xlfn.IFS(A1223&lt;=25,"18-25",A1223&lt;=35,"26-35",A1223&lt;=45,"36-45",A1223&lt;=60,"46-60",A1223&gt;60,"60+")</f>
        <v>46-60</v>
      </c>
      <c r="J1223" t="str" cm="1">
        <f t="array" ref="J1223">_xlfn.IFS(C1223&lt;18.5,"Underweight",C1223&lt;25,"Normal",C1223&lt;30,"Overweight",C1223&gt;=30,"Obese")</f>
        <v>Obese</v>
      </c>
      <c r="K1223" t="str" cm="1">
        <f t="array" ref="K1223">_xlfn.IFS(G1223&lt;10000, "Low", G1223&lt;=25000, "Medium", G1223&gt;25000, "High")</f>
        <v>High</v>
      </c>
    </row>
    <row r="1224" spans="1:11" x14ac:dyDescent="0.3">
      <c r="A1224">
        <v>59</v>
      </c>
      <c r="B1224" s="1" t="s">
        <v>7</v>
      </c>
      <c r="C1224">
        <v>39.4</v>
      </c>
      <c r="D1224">
        <v>3</v>
      </c>
      <c r="E1224" t="s">
        <v>9</v>
      </c>
      <c r="F1224" t="s">
        <v>12</v>
      </c>
      <c r="G1224" s="2">
        <v>36910.608030000003</v>
      </c>
      <c r="H1224" t="str" cm="1">
        <f t="array" ref="H1224">_xlfn.IFS(A1224&lt;=30, "Youth", A1224&lt;=50, "Adult", A1224&gt;50, "Older")</f>
        <v>Older</v>
      </c>
      <c r="I1224" t="str" cm="1">
        <f t="array" ref="I1224">_xlfn.IFS(A1224&lt;=25,"18-25",A1224&lt;=35,"26-35",A1224&lt;=45,"36-45",A1224&lt;=60,"46-60",A1224&gt;60,"60+")</f>
        <v>46-60</v>
      </c>
      <c r="J1224" t="str" cm="1">
        <f t="array" ref="J1224">_xlfn.IFS(C1224&lt;18.5,"Underweight",C1224&lt;25,"Normal",C1224&lt;30,"Overweight",C1224&gt;=30,"Obese")</f>
        <v>Obese</v>
      </c>
      <c r="K1224" t="str" cm="1">
        <f t="array" ref="K1224">_xlfn.IFS(G1224&lt;10000, "Low", G1224&lt;=25000, "Medium", G1224&gt;25000, "High")</f>
        <v>High</v>
      </c>
    </row>
    <row r="1225" spans="1:11" x14ac:dyDescent="0.3">
      <c r="A1225">
        <v>60</v>
      </c>
      <c r="B1225" s="1" t="s">
        <v>8</v>
      </c>
      <c r="C1225">
        <v>39.424999999999997</v>
      </c>
      <c r="D1225">
        <v>3</v>
      </c>
      <c r="E1225" t="s">
        <v>10</v>
      </c>
      <c r="F1225" t="s">
        <v>14</v>
      </c>
      <c r="G1225" s="2">
        <v>36950.256699999998</v>
      </c>
      <c r="H1225" t="str" cm="1">
        <f t="array" ref="H1225">_xlfn.IFS(A1225&lt;=30, "Youth", A1225&lt;=50, "Adult", A1225&gt;50, "Older")</f>
        <v>Older</v>
      </c>
      <c r="I1225" t="str" cm="1">
        <f t="array" ref="I1225">_xlfn.IFS(A1225&lt;=25,"18-25",A1225&lt;=35,"26-35",A1225&lt;=45,"36-45",A1225&lt;=60,"46-60",A1225&gt;60,"60+")</f>
        <v>46-60</v>
      </c>
      <c r="J1225" t="str" cm="1">
        <f t="array" ref="J1225">_xlfn.IFS(C1225&lt;18.5,"Underweight",C1225&lt;25,"Normal",C1225&lt;30,"Overweight",C1225&gt;=30,"Obese")</f>
        <v>Obese</v>
      </c>
      <c r="K1225" t="str" cm="1">
        <f t="array" ref="K1225">_xlfn.IFS(G1225&lt;10000, "Low", G1225&lt;=25000, "Medium", G1225&gt;25000, "High")</f>
        <v>High</v>
      </c>
    </row>
    <row r="1226" spans="1:11" x14ac:dyDescent="0.3">
      <c r="A1226">
        <v>60</v>
      </c>
      <c r="B1226" s="1" t="s">
        <v>7</v>
      </c>
      <c r="C1226">
        <v>39.49</v>
      </c>
      <c r="D1226">
        <v>3</v>
      </c>
      <c r="E1226" t="s">
        <v>10</v>
      </c>
      <c r="F1226" t="s">
        <v>12</v>
      </c>
      <c r="G1226" s="2">
        <v>37079.372000000003</v>
      </c>
      <c r="H1226" t="str" cm="1">
        <f t="array" ref="H1226">_xlfn.IFS(A1226&lt;=30, "Youth", A1226&lt;=50, "Adult", A1226&gt;50, "Older")</f>
        <v>Older</v>
      </c>
      <c r="I1226" t="str" cm="1">
        <f t="array" ref="I1226">_xlfn.IFS(A1226&lt;=25,"18-25",A1226&lt;=35,"26-35",A1226&lt;=45,"36-45",A1226&lt;=60,"46-60",A1226&gt;60,"60+")</f>
        <v>46-60</v>
      </c>
      <c r="J1226" t="str" cm="1">
        <f t="array" ref="J1226">_xlfn.IFS(C1226&lt;18.5,"Underweight",C1226&lt;25,"Normal",C1226&lt;30,"Overweight",C1226&gt;=30,"Obese")</f>
        <v>Obese</v>
      </c>
      <c r="K1226" t="str" cm="1">
        <f t="array" ref="K1226">_xlfn.IFS(G1226&lt;10000, "Low", G1226&lt;=25000, "Medium", G1226&gt;25000, "High")</f>
        <v>High</v>
      </c>
    </row>
    <row r="1227" spans="1:11" x14ac:dyDescent="0.3">
      <c r="A1227">
        <v>60</v>
      </c>
      <c r="B1227" s="1" t="s">
        <v>8</v>
      </c>
      <c r="C1227">
        <v>39.49</v>
      </c>
      <c r="D1227">
        <v>3</v>
      </c>
      <c r="E1227" t="s">
        <v>10</v>
      </c>
      <c r="F1227" t="s">
        <v>14</v>
      </c>
      <c r="G1227" s="2">
        <v>37133.898200000003</v>
      </c>
      <c r="H1227" t="str" cm="1">
        <f t="array" ref="H1227">_xlfn.IFS(A1227&lt;=30, "Youth", A1227&lt;=50, "Adult", A1227&gt;50, "Older")</f>
        <v>Older</v>
      </c>
      <c r="I1227" t="str" cm="1">
        <f t="array" ref="I1227">_xlfn.IFS(A1227&lt;=25,"18-25",A1227&lt;=35,"26-35",A1227&lt;=45,"36-45",A1227&lt;=60,"46-60",A1227&gt;60,"60+")</f>
        <v>46-60</v>
      </c>
      <c r="J1227" t="str" cm="1">
        <f t="array" ref="J1227">_xlfn.IFS(C1227&lt;18.5,"Underweight",C1227&lt;25,"Normal",C1227&lt;30,"Overweight",C1227&gt;=30,"Obese")</f>
        <v>Obese</v>
      </c>
      <c r="K1227" t="str" cm="1">
        <f t="array" ref="K1227">_xlfn.IFS(G1227&lt;10000, "Low", G1227&lt;=25000, "Medium", G1227&gt;25000, "High")</f>
        <v>High</v>
      </c>
    </row>
    <row r="1228" spans="1:11" x14ac:dyDescent="0.3">
      <c r="A1228">
        <v>60</v>
      </c>
      <c r="B1228" s="1" t="s">
        <v>8</v>
      </c>
      <c r="C1228">
        <v>39.49</v>
      </c>
      <c r="D1228">
        <v>3</v>
      </c>
      <c r="E1228" t="s">
        <v>10</v>
      </c>
      <c r="F1228" t="s">
        <v>12</v>
      </c>
      <c r="G1228" s="2">
        <v>37165.163800000002</v>
      </c>
      <c r="H1228" t="str" cm="1">
        <f t="array" ref="H1228">_xlfn.IFS(A1228&lt;=30, "Youth", A1228&lt;=50, "Adult", A1228&gt;50, "Older")</f>
        <v>Older</v>
      </c>
      <c r="I1228" t="str" cm="1">
        <f t="array" ref="I1228">_xlfn.IFS(A1228&lt;=25,"18-25",A1228&lt;=35,"26-35",A1228&lt;=45,"36-45",A1228&lt;=60,"46-60",A1228&gt;60,"60+")</f>
        <v>46-60</v>
      </c>
      <c r="J1228" t="str" cm="1">
        <f t="array" ref="J1228">_xlfn.IFS(C1228&lt;18.5,"Underweight",C1228&lt;25,"Normal",C1228&lt;30,"Overweight",C1228&gt;=30,"Obese")</f>
        <v>Obese</v>
      </c>
      <c r="K1228" t="str" cm="1">
        <f t="array" ref="K1228">_xlfn.IFS(G1228&lt;10000, "Low", G1228&lt;=25000, "Medium", G1228&gt;25000, "High")</f>
        <v>High</v>
      </c>
    </row>
    <row r="1229" spans="1:11" x14ac:dyDescent="0.3">
      <c r="A1229">
        <v>60</v>
      </c>
      <c r="B1229" s="1" t="s">
        <v>8</v>
      </c>
      <c r="C1229">
        <v>39.5</v>
      </c>
      <c r="D1229">
        <v>3</v>
      </c>
      <c r="E1229" t="s">
        <v>10</v>
      </c>
      <c r="F1229" t="s">
        <v>12</v>
      </c>
      <c r="G1229" s="2">
        <v>37270.1512</v>
      </c>
      <c r="H1229" t="str" cm="1">
        <f t="array" ref="H1229">_xlfn.IFS(A1229&lt;=30, "Youth", A1229&lt;=50, "Adult", A1229&gt;50, "Older")</f>
        <v>Older</v>
      </c>
      <c r="I1229" t="str" cm="1">
        <f t="array" ref="I1229">_xlfn.IFS(A1229&lt;=25,"18-25",A1229&lt;=35,"26-35",A1229&lt;=45,"36-45",A1229&lt;=60,"46-60",A1229&gt;60,"60+")</f>
        <v>46-60</v>
      </c>
      <c r="J1229" t="str" cm="1">
        <f t="array" ref="J1229">_xlfn.IFS(C1229&lt;18.5,"Underweight",C1229&lt;25,"Normal",C1229&lt;30,"Overweight",C1229&gt;=30,"Obese")</f>
        <v>Obese</v>
      </c>
      <c r="K1229" t="str" cm="1">
        <f t="array" ref="K1229">_xlfn.IFS(G1229&lt;10000, "Low", G1229&lt;=25000, "Medium", G1229&gt;25000, "High")</f>
        <v>High</v>
      </c>
    </row>
    <row r="1230" spans="1:11" x14ac:dyDescent="0.3">
      <c r="A1230">
        <v>60</v>
      </c>
      <c r="B1230" s="1" t="s">
        <v>8</v>
      </c>
      <c r="C1230">
        <v>39.5</v>
      </c>
      <c r="D1230">
        <v>3</v>
      </c>
      <c r="E1230" t="s">
        <v>10</v>
      </c>
      <c r="F1230" t="s">
        <v>14</v>
      </c>
      <c r="G1230" s="2">
        <v>37465.34375</v>
      </c>
      <c r="H1230" t="str" cm="1">
        <f t="array" ref="H1230">_xlfn.IFS(A1230&lt;=30, "Youth", A1230&lt;=50, "Adult", A1230&gt;50, "Older")</f>
        <v>Older</v>
      </c>
      <c r="I1230" t="str" cm="1">
        <f t="array" ref="I1230">_xlfn.IFS(A1230&lt;=25,"18-25",A1230&lt;=35,"26-35",A1230&lt;=45,"36-45",A1230&lt;=60,"46-60",A1230&gt;60,"60+")</f>
        <v>46-60</v>
      </c>
      <c r="J1230" t="str" cm="1">
        <f t="array" ref="J1230">_xlfn.IFS(C1230&lt;18.5,"Underweight",C1230&lt;25,"Normal",C1230&lt;30,"Overweight",C1230&gt;=30,"Obese")</f>
        <v>Obese</v>
      </c>
      <c r="K1230" t="str" cm="1">
        <f t="array" ref="K1230">_xlfn.IFS(G1230&lt;10000, "Low", G1230&lt;=25000, "Medium", G1230&gt;25000, "High")</f>
        <v>High</v>
      </c>
    </row>
    <row r="1231" spans="1:11" x14ac:dyDescent="0.3">
      <c r="A1231">
        <v>60</v>
      </c>
      <c r="B1231" s="1" t="s">
        <v>8</v>
      </c>
      <c r="C1231">
        <v>39.520000000000003</v>
      </c>
      <c r="D1231">
        <v>3</v>
      </c>
      <c r="E1231" t="s">
        <v>9</v>
      </c>
      <c r="F1231" t="s">
        <v>13</v>
      </c>
      <c r="G1231" s="2">
        <v>37484.4493</v>
      </c>
      <c r="H1231" t="str" cm="1">
        <f t="array" ref="H1231">_xlfn.IFS(A1231&lt;=30, "Youth", A1231&lt;=50, "Adult", A1231&gt;50, "Older")</f>
        <v>Older</v>
      </c>
      <c r="I1231" t="str" cm="1">
        <f t="array" ref="I1231">_xlfn.IFS(A1231&lt;=25,"18-25",A1231&lt;=35,"26-35",A1231&lt;=45,"36-45",A1231&lt;=60,"46-60",A1231&gt;60,"60+")</f>
        <v>46-60</v>
      </c>
      <c r="J1231" t="str" cm="1">
        <f t="array" ref="J1231">_xlfn.IFS(C1231&lt;18.5,"Underweight",C1231&lt;25,"Normal",C1231&lt;30,"Overweight",C1231&gt;=30,"Obese")</f>
        <v>Obese</v>
      </c>
      <c r="K1231" t="str" cm="1">
        <f t="array" ref="K1231">_xlfn.IFS(G1231&lt;10000, "Low", G1231&lt;=25000, "Medium", G1231&gt;25000, "High")</f>
        <v>High</v>
      </c>
    </row>
    <row r="1232" spans="1:11" x14ac:dyDescent="0.3">
      <c r="A1232">
        <v>60</v>
      </c>
      <c r="B1232" s="1" t="s">
        <v>7</v>
      </c>
      <c r="C1232">
        <v>39.6</v>
      </c>
      <c r="D1232">
        <v>3</v>
      </c>
      <c r="E1232" t="s">
        <v>9</v>
      </c>
      <c r="F1232" t="s">
        <v>11</v>
      </c>
      <c r="G1232" s="2">
        <v>37607.527699999999</v>
      </c>
      <c r="H1232" t="str" cm="1">
        <f t="array" ref="H1232">_xlfn.IFS(A1232&lt;=30, "Youth", A1232&lt;=50, "Adult", A1232&gt;50, "Older")</f>
        <v>Older</v>
      </c>
      <c r="I1232" t="str" cm="1">
        <f t="array" ref="I1232">_xlfn.IFS(A1232&lt;=25,"18-25",A1232&lt;=35,"26-35",A1232&lt;=45,"36-45",A1232&lt;=60,"46-60",A1232&gt;60,"60+")</f>
        <v>46-60</v>
      </c>
      <c r="J1232" t="str" cm="1">
        <f t="array" ref="J1232">_xlfn.IFS(C1232&lt;18.5,"Underweight",C1232&lt;25,"Normal",C1232&lt;30,"Overweight",C1232&gt;=30,"Obese")</f>
        <v>Obese</v>
      </c>
      <c r="K1232" t="str" cm="1">
        <f t="array" ref="K1232">_xlfn.IFS(G1232&lt;10000, "Low", G1232&lt;=25000, "Medium", G1232&gt;25000, "High")</f>
        <v>High</v>
      </c>
    </row>
    <row r="1233" spans="1:11" x14ac:dyDescent="0.3">
      <c r="A1233">
        <v>60</v>
      </c>
      <c r="B1233" s="1" t="s">
        <v>7</v>
      </c>
      <c r="C1233">
        <v>39.6</v>
      </c>
      <c r="D1233">
        <v>3</v>
      </c>
      <c r="E1233" t="s">
        <v>10</v>
      </c>
      <c r="F1233" t="s">
        <v>13</v>
      </c>
      <c r="G1233" s="2">
        <v>37701.876799999998</v>
      </c>
      <c r="H1233" t="str" cm="1">
        <f t="array" ref="H1233">_xlfn.IFS(A1233&lt;=30, "Youth", A1233&lt;=50, "Adult", A1233&gt;50, "Older")</f>
        <v>Older</v>
      </c>
      <c r="I1233" t="str" cm="1">
        <f t="array" ref="I1233">_xlfn.IFS(A1233&lt;=25,"18-25",A1233&lt;=35,"26-35",A1233&lt;=45,"36-45",A1233&lt;=60,"46-60",A1233&gt;60,"60+")</f>
        <v>46-60</v>
      </c>
      <c r="J1233" t="str" cm="1">
        <f t="array" ref="J1233">_xlfn.IFS(C1233&lt;18.5,"Underweight",C1233&lt;25,"Normal",C1233&lt;30,"Overweight",C1233&gt;=30,"Obese")</f>
        <v>Obese</v>
      </c>
      <c r="K1233" t="str" cm="1">
        <f t="array" ref="K1233">_xlfn.IFS(G1233&lt;10000, "Low", G1233&lt;=25000, "Medium", G1233&gt;25000, "High")</f>
        <v>High</v>
      </c>
    </row>
    <row r="1234" spans="1:11" x14ac:dyDescent="0.3">
      <c r="A1234">
        <v>60</v>
      </c>
      <c r="B1234" s="1" t="s">
        <v>8</v>
      </c>
      <c r="C1234">
        <v>39.6</v>
      </c>
      <c r="D1234">
        <v>3</v>
      </c>
      <c r="E1234" t="s">
        <v>10</v>
      </c>
      <c r="F1234" t="s">
        <v>11</v>
      </c>
      <c r="G1234" s="2">
        <v>37742.575700000001</v>
      </c>
      <c r="H1234" t="str" cm="1">
        <f t="array" ref="H1234">_xlfn.IFS(A1234&lt;=30, "Youth", A1234&lt;=50, "Adult", A1234&gt;50, "Older")</f>
        <v>Older</v>
      </c>
      <c r="I1234" t="str" cm="1">
        <f t="array" ref="I1234">_xlfn.IFS(A1234&lt;=25,"18-25",A1234&lt;=35,"26-35",A1234&lt;=45,"36-45",A1234&lt;=60,"46-60",A1234&gt;60,"60+")</f>
        <v>46-60</v>
      </c>
      <c r="J1234" t="str" cm="1">
        <f t="array" ref="J1234">_xlfn.IFS(C1234&lt;18.5,"Underweight",C1234&lt;25,"Normal",C1234&lt;30,"Overweight",C1234&gt;=30,"Obese")</f>
        <v>Obese</v>
      </c>
      <c r="K1234" t="str" cm="1">
        <f t="array" ref="K1234">_xlfn.IFS(G1234&lt;10000, "Low", G1234&lt;=25000, "Medium", G1234&gt;25000, "High")</f>
        <v>High</v>
      </c>
    </row>
    <row r="1235" spans="1:11" x14ac:dyDescent="0.3">
      <c r="A1235">
        <v>60</v>
      </c>
      <c r="B1235" s="1" t="s">
        <v>7</v>
      </c>
      <c r="C1235">
        <v>39.615000000000002</v>
      </c>
      <c r="D1235">
        <v>3</v>
      </c>
      <c r="E1235" t="s">
        <v>10</v>
      </c>
      <c r="F1235" t="s">
        <v>12</v>
      </c>
      <c r="G1235" s="2">
        <v>37829.724199999997</v>
      </c>
      <c r="H1235" t="str" cm="1">
        <f t="array" ref="H1235">_xlfn.IFS(A1235&lt;=30, "Youth", A1235&lt;=50, "Adult", A1235&gt;50, "Older")</f>
        <v>Older</v>
      </c>
      <c r="I1235" t="str" cm="1">
        <f t="array" ref="I1235">_xlfn.IFS(A1235&lt;=25,"18-25",A1235&lt;=35,"26-35",A1235&lt;=45,"36-45",A1235&lt;=60,"46-60",A1235&gt;60,"60+")</f>
        <v>46-60</v>
      </c>
      <c r="J1235" t="str" cm="1">
        <f t="array" ref="J1235">_xlfn.IFS(C1235&lt;18.5,"Underweight",C1235&lt;25,"Normal",C1235&lt;30,"Overweight",C1235&gt;=30,"Obese")</f>
        <v>Obese</v>
      </c>
      <c r="K1235" t="str" cm="1">
        <f t="array" ref="K1235">_xlfn.IFS(G1235&lt;10000, "Low", G1235&lt;=25000, "Medium", G1235&gt;25000, "High")</f>
        <v>High</v>
      </c>
    </row>
    <row r="1236" spans="1:11" x14ac:dyDescent="0.3">
      <c r="A1236">
        <v>60</v>
      </c>
      <c r="B1236" s="1" t="s">
        <v>8</v>
      </c>
      <c r="C1236">
        <v>39.700000000000003</v>
      </c>
      <c r="D1236">
        <v>3</v>
      </c>
      <c r="E1236" t="s">
        <v>10</v>
      </c>
      <c r="F1236" t="s">
        <v>13</v>
      </c>
      <c r="G1236" s="2">
        <v>38126.246500000001</v>
      </c>
      <c r="H1236" t="str" cm="1">
        <f t="array" ref="H1236">_xlfn.IFS(A1236&lt;=30, "Youth", A1236&lt;=50, "Adult", A1236&gt;50, "Older")</f>
        <v>Older</v>
      </c>
      <c r="I1236" t="str" cm="1">
        <f t="array" ref="I1236">_xlfn.IFS(A1236&lt;=25,"18-25",A1236&lt;=35,"26-35",A1236&lt;=45,"36-45",A1236&lt;=60,"46-60",A1236&gt;60,"60+")</f>
        <v>46-60</v>
      </c>
      <c r="J1236" t="str" cm="1">
        <f t="array" ref="J1236">_xlfn.IFS(C1236&lt;18.5,"Underweight",C1236&lt;25,"Normal",C1236&lt;30,"Overweight",C1236&gt;=30,"Obese")</f>
        <v>Obese</v>
      </c>
      <c r="K1236" t="str" cm="1">
        <f t="array" ref="K1236">_xlfn.IFS(G1236&lt;10000, "Low", G1236&lt;=25000, "Medium", G1236&gt;25000, "High")</f>
        <v>High</v>
      </c>
    </row>
    <row r="1237" spans="1:11" x14ac:dyDescent="0.3">
      <c r="A1237">
        <v>60</v>
      </c>
      <c r="B1237" s="1" t="s">
        <v>7</v>
      </c>
      <c r="C1237">
        <v>39.700000000000003</v>
      </c>
      <c r="D1237">
        <v>3</v>
      </c>
      <c r="E1237" t="s">
        <v>10</v>
      </c>
      <c r="F1237" t="s">
        <v>14</v>
      </c>
      <c r="G1237" s="2">
        <v>38245.593269999998</v>
      </c>
      <c r="H1237" t="str" cm="1">
        <f t="array" ref="H1237">_xlfn.IFS(A1237&lt;=30, "Youth", A1237&lt;=50, "Adult", A1237&gt;50, "Older")</f>
        <v>Older</v>
      </c>
      <c r="I1237" t="str" cm="1">
        <f t="array" ref="I1237">_xlfn.IFS(A1237&lt;=25,"18-25",A1237&lt;=35,"26-35",A1237&lt;=45,"36-45",A1237&lt;=60,"46-60",A1237&gt;60,"60+")</f>
        <v>46-60</v>
      </c>
      <c r="J1237" t="str" cm="1">
        <f t="array" ref="J1237">_xlfn.IFS(C1237&lt;18.5,"Underweight",C1237&lt;25,"Normal",C1237&lt;30,"Overweight",C1237&gt;=30,"Obese")</f>
        <v>Obese</v>
      </c>
      <c r="K1237" t="str" cm="1">
        <f t="array" ref="K1237">_xlfn.IFS(G1237&lt;10000, "Low", G1237&lt;=25000, "Medium", G1237&gt;25000, "High")</f>
        <v>High</v>
      </c>
    </row>
    <row r="1238" spans="1:11" x14ac:dyDescent="0.3">
      <c r="A1238">
        <v>60</v>
      </c>
      <c r="B1238" s="1" t="s">
        <v>7</v>
      </c>
      <c r="C1238">
        <v>39.71</v>
      </c>
      <c r="D1238">
        <v>3</v>
      </c>
      <c r="E1238" t="s">
        <v>10</v>
      </c>
      <c r="F1238" t="s">
        <v>13</v>
      </c>
      <c r="G1238" s="2">
        <v>38282.749499999998</v>
      </c>
      <c r="H1238" t="str" cm="1">
        <f t="array" ref="H1238">_xlfn.IFS(A1238&lt;=30, "Youth", A1238&lt;=50, "Adult", A1238&gt;50, "Older")</f>
        <v>Older</v>
      </c>
      <c r="I1238" t="str" cm="1">
        <f t="array" ref="I1238">_xlfn.IFS(A1238&lt;=25,"18-25",A1238&lt;=35,"26-35",A1238&lt;=45,"36-45",A1238&lt;=60,"46-60",A1238&gt;60,"60+")</f>
        <v>46-60</v>
      </c>
      <c r="J1238" t="str" cm="1">
        <f t="array" ref="J1238">_xlfn.IFS(C1238&lt;18.5,"Underweight",C1238&lt;25,"Normal",C1238&lt;30,"Overweight",C1238&gt;=30,"Obese")</f>
        <v>Obese</v>
      </c>
      <c r="K1238" t="str" cm="1">
        <f t="array" ref="K1238">_xlfn.IFS(G1238&lt;10000, "Low", G1238&lt;=25000, "Medium", G1238&gt;25000, "High")</f>
        <v>High</v>
      </c>
    </row>
    <row r="1239" spans="1:11" x14ac:dyDescent="0.3">
      <c r="A1239">
        <v>60</v>
      </c>
      <c r="B1239" s="1" t="s">
        <v>8</v>
      </c>
      <c r="C1239">
        <v>39.799999999999997</v>
      </c>
      <c r="D1239">
        <v>3</v>
      </c>
      <c r="E1239" t="s">
        <v>10</v>
      </c>
      <c r="F1239" t="s">
        <v>14</v>
      </c>
      <c r="G1239" s="2">
        <v>38344.565999999999</v>
      </c>
      <c r="H1239" t="str" cm="1">
        <f t="array" ref="H1239">_xlfn.IFS(A1239&lt;=30, "Youth", A1239&lt;=50, "Adult", A1239&gt;50, "Older")</f>
        <v>Older</v>
      </c>
      <c r="I1239" t="str" cm="1">
        <f t="array" ref="I1239">_xlfn.IFS(A1239&lt;=25,"18-25",A1239&lt;=35,"26-35",A1239&lt;=45,"36-45",A1239&lt;=60,"46-60",A1239&gt;60,"60+")</f>
        <v>46-60</v>
      </c>
      <c r="J1239" t="str" cm="1">
        <f t="array" ref="J1239">_xlfn.IFS(C1239&lt;18.5,"Underweight",C1239&lt;25,"Normal",C1239&lt;30,"Overweight",C1239&gt;=30,"Obese")</f>
        <v>Obese</v>
      </c>
      <c r="K1239" t="str" cm="1">
        <f t="array" ref="K1239">_xlfn.IFS(G1239&lt;10000, "Low", G1239&lt;=25000, "Medium", G1239&gt;25000, "High")</f>
        <v>High</v>
      </c>
    </row>
    <row r="1240" spans="1:11" x14ac:dyDescent="0.3">
      <c r="A1240">
        <v>60</v>
      </c>
      <c r="B1240" s="1" t="s">
        <v>7</v>
      </c>
      <c r="C1240">
        <v>39.805</v>
      </c>
      <c r="D1240">
        <v>3</v>
      </c>
      <c r="E1240" t="s">
        <v>10</v>
      </c>
      <c r="F1240" t="s">
        <v>12</v>
      </c>
      <c r="G1240" s="2">
        <v>38415.474000000002</v>
      </c>
      <c r="H1240" t="str" cm="1">
        <f t="array" ref="H1240">_xlfn.IFS(A1240&lt;=30, "Youth", A1240&lt;=50, "Adult", A1240&gt;50, "Older")</f>
        <v>Older</v>
      </c>
      <c r="I1240" t="str" cm="1">
        <f t="array" ref="I1240">_xlfn.IFS(A1240&lt;=25,"18-25",A1240&lt;=35,"26-35",A1240&lt;=45,"36-45",A1240&lt;=60,"46-60",A1240&gt;60,"60+")</f>
        <v>46-60</v>
      </c>
      <c r="J1240" t="str" cm="1">
        <f t="array" ref="J1240">_xlfn.IFS(C1240&lt;18.5,"Underweight",C1240&lt;25,"Normal",C1240&lt;30,"Overweight",C1240&gt;=30,"Obese")</f>
        <v>Obese</v>
      </c>
      <c r="K1240" t="str" cm="1">
        <f t="array" ref="K1240">_xlfn.IFS(G1240&lt;10000, "Low", G1240&lt;=25000, "Medium", G1240&gt;25000, "High")</f>
        <v>High</v>
      </c>
    </row>
    <row r="1241" spans="1:11" x14ac:dyDescent="0.3">
      <c r="A1241">
        <v>60</v>
      </c>
      <c r="B1241" s="1" t="s">
        <v>8</v>
      </c>
      <c r="C1241">
        <v>39.805</v>
      </c>
      <c r="D1241">
        <v>3</v>
      </c>
      <c r="E1241" t="s">
        <v>9</v>
      </c>
      <c r="F1241" t="s">
        <v>12</v>
      </c>
      <c r="G1241" s="2">
        <v>38511.628299999997</v>
      </c>
      <c r="H1241" t="str" cm="1">
        <f t="array" ref="H1241">_xlfn.IFS(A1241&lt;=30, "Youth", A1241&lt;=50, "Adult", A1241&gt;50, "Older")</f>
        <v>Older</v>
      </c>
      <c r="I1241" t="str" cm="1">
        <f t="array" ref="I1241">_xlfn.IFS(A1241&lt;=25,"18-25",A1241&lt;=35,"26-35",A1241&lt;=45,"36-45",A1241&lt;=60,"46-60",A1241&gt;60,"60+")</f>
        <v>46-60</v>
      </c>
      <c r="J1241" t="str" cm="1">
        <f t="array" ref="J1241">_xlfn.IFS(C1241&lt;18.5,"Underweight",C1241&lt;25,"Normal",C1241&lt;30,"Overweight",C1241&gt;=30,"Obese")</f>
        <v>Obese</v>
      </c>
      <c r="K1241" t="str" cm="1">
        <f t="array" ref="K1241">_xlfn.IFS(G1241&lt;10000, "Low", G1241&lt;=25000, "Medium", G1241&gt;25000, "High")</f>
        <v>High</v>
      </c>
    </row>
    <row r="1242" spans="1:11" x14ac:dyDescent="0.3">
      <c r="A1242">
        <v>60</v>
      </c>
      <c r="B1242" s="1" t="s">
        <v>8</v>
      </c>
      <c r="C1242">
        <v>39.82</v>
      </c>
      <c r="D1242">
        <v>3</v>
      </c>
      <c r="E1242" t="s">
        <v>9</v>
      </c>
      <c r="F1242" t="s">
        <v>12</v>
      </c>
      <c r="G1242" s="2">
        <v>38709.175999999999</v>
      </c>
      <c r="H1242" t="str" cm="1">
        <f t="array" ref="H1242">_xlfn.IFS(A1242&lt;=30, "Youth", A1242&lt;=50, "Adult", A1242&gt;50, "Older")</f>
        <v>Older</v>
      </c>
      <c r="I1242" t="str" cm="1">
        <f t="array" ref="I1242">_xlfn.IFS(A1242&lt;=25,"18-25",A1242&lt;=35,"26-35",A1242&lt;=45,"36-45",A1242&lt;=60,"46-60",A1242&gt;60,"60+")</f>
        <v>46-60</v>
      </c>
      <c r="J1242" t="str" cm="1">
        <f t="array" ref="J1242">_xlfn.IFS(C1242&lt;18.5,"Underweight",C1242&lt;25,"Normal",C1242&lt;30,"Overweight",C1242&gt;=30,"Obese")</f>
        <v>Obese</v>
      </c>
      <c r="K1242" t="str" cm="1">
        <f t="array" ref="K1242">_xlfn.IFS(G1242&lt;10000, "Low", G1242&lt;=25000, "Medium", G1242&gt;25000, "High")</f>
        <v>High</v>
      </c>
    </row>
    <row r="1243" spans="1:11" x14ac:dyDescent="0.3">
      <c r="A1243">
        <v>60</v>
      </c>
      <c r="B1243" s="1" t="s">
        <v>7</v>
      </c>
      <c r="C1243">
        <v>39.82</v>
      </c>
      <c r="D1243">
        <v>3</v>
      </c>
      <c r="E1243" t="s">
        <v>10</v>
      </c>
      <c r="F1243" t="s">
        <v>13</v>
      </c>
      <c r="G1243" s="2">
        <v>38711</v>
      </c>
      <c r="H1243" t="str" cm="1">
        <f t="array" ref="H1243">_xlfn.IFS(A1243&lt;=30, "Youth", A1243&lt;=50, "Adult", A1243&gt;50, "Older")</f>
        <v>Older</v>
      </c>
      <c r="I1243" t="str" cm="1">
        <f t="array" ref="I1243">_xlfn.IFS(A1243&lt;=25,"18-25",A1243&lt;=35,"26-35",A1243&lt;=45,"36-45",A1243&lt;=60,"46-60",A1243&gt;60,"60+")</f>
        <v>46-60</v>
      </c>
      <c r="J1243" t="str" cm="1">
        <f t="array" ref="J1243">_xlfn.IFS(C1243&lt;18.5,"Underweight",C1243&lt;25,"Normal",C1243&lt;30,"Overweight",C1243&gt;=30,"Obese")</f>
        <v>Obese</v>
      </c>
      <c r="K1243" t="str" cm="1">
        <f t="array" ref="K1243">_xlfn.IFS(G1243&lt;10000, "Low", G1243&lt;=25000, "Medium", G1243&gt;25000, "High")</f>
        <v>High</v>
      </c>
    </row>
    <row r="1244" spans="1:11" x14ac:dyDescent="0.3">
      <c r="A1244">
        <v>60</v>
      </c>
      <c r="B1244" s="1" t="s">
        <v>7</v>
      </c>
      <c r="C1244">
        <v>39.82</v>
      </c>
      <c r="D1244">
        <v>3</v>
      </c>
      <c r="E1244" t="s">
        <v>10</v>
      </c>
      <c r="F1244" t="s">
        <v>12</v>
      </c>
      <c r="G1244" s="2">
        <v>38746.355100000001</v>
      </c>
      <c r="H1244" t="str" cm="1">
        <f t="array" ref="H1244">_xlfn.IFS(A1244&lt;=30, "Youth", A1244&lt;=50, "Adult", A1244&gt;50, "Older")</f>
        <v>Older</v>
      </c>
      <c r="I1244" t="str" cm="1">
        <f t="array" ref="I1244">_xlfn.IFS(A1244&lt;=25,"18-25",A1244&lt;=35,"26-35",A1244&lt;=45,"36-45",A1244&lt;=60,"46-60",A1244&gt;60,"60+")</f>
        <v>46-60</v>
      </c>
      <c r="J1244" t="str" cm="1">
        <f t="array" ref="J1244">_xlfn.IFS(C1244&lt;18.5,"Underweight",C1244&lt;25,"Normal",C1244&lt;30,"Overweight",C1244&gt;=30,"Obese")</f>
        <v>Obese</v>
      </c>
      <c r="K1244" t="str" cm="1">
        <f t="array" ref="K1244">_xlfn.IFS(G1244&lt;10000, "Low", G1244&lt;=25000, "Medium", G1244&gt;25000, "High")</f>
        <v>High</v>
      </c>
    </row>
    <row r="1245" spans="1:11" x14ac:dyDescent="0.3">
      <c r="A1245">
        <v>60</v>
      </c>
      <c r="B1245" s="1" t="s">
        <v>8</v>
      </c>
      <c r="C1245">
        <v>39.9</v>
      </c>
      <c r="D1245">
        <v>3</v>
      </c>
      <c r="E1245" t="s">
        <v>10</v>
      </c>
      <c r="F1245" t="s">
        <v>12</v>
      </c>
      <c r="G1245" s="2">
        <v>38792.685599999997</v>
      </c>
      <c r="H1245" t="str" cm="1">
        <f t="array" ref="H1245">_xlfn.IFS(A1245&lt;=30, "Youth", A1245&lt;=50, "Adult", A1245&gt;50, "Older")</f>
        <v>Older</v>
      </c>
      <c r="I1245" t="str" cm="1">
        <f t="array" ref="I1245">_xlfn.IFS(A1245&lt;=25,"18-25",A1245&lt;=35,"26-35",A1245&lt;=45,"36-45",A1245&lt;=60,"46-60",A1245&gt;60,"60+")</f>
        <v>46-60</v>
      </c>
      <c r="J1245" t="str" cm="1">
        <f t="array" ref="J1245">_xlfn.IFS(C1245&lt;18.5,"Underweight",C1245&lt;25,"Normal",C1245&lt;30,"Overweight",C1245&gt;=30,"Obese")</f>
        <v>Obese</v>
      </c>
      <c r="K1245" t="str" cm="1">
        <f t="array" ref="K1245">_xlfn.IFS(G1245&lt;10000, "Low", G1245&lt;=25000, "Medium", G1245&gt;25000, "High")</f>
        <v>High</v>
      </c>
    </row>
    <row r="1246" spans="1:11" x14ac:dyDescent="0.3">
      <c r="A1246">
        <v>60</v>
      </c>
      <c r="B1246" s="1" t="s">
        <v>8</v>
      </c>
      <c r="C1246">
        <v>39.93</v>
      </c>
      <c r="D1246">
        <v>3</v>
      </c>
      <c r="E1246" t="s">
        <v>10</v>
      </c>
      <c r="F1246" t="s">
        <v>11</v>
      </c>
      <c r="G1246" s="2">
        <v>38998.546000000002</v>
      </c>
      <c r="H1246" t="str" cm="1">
        <f t="array" ref="H1246">_xlfn.IFS(A1246&lt;=30, "Youth", A1246&lt;=50, "Adult", A1246&gt;50, "Older")</f>
        <v>Older</v>
      </c>
      <c r="I1246" t="str" cm="1">
        <f t="array" ref="I1246">_xlfn.IFS(A1246&lt;=25,"18-25",A1246&lt;=35,"26-35",A1246&lt;=45,"36-45",A1246&lt;=60,"46-60",A1246&gt;60,"60+")</f>
        <v>46-60</v>
      </c>
      <c r="J1246" t="str" cm="1">
        <f t="array" ref="J1246">_xlfn.IFS(C1246&lt;18.5,"Underweight",C1246&lt;25,"Normal",C1246&lt;30,"Overweight",C1246&gt;=30,"Obese")</f>
        <v>Obese</v>
      </c>
      <c r="K1246" t="str" cm="1">
        <f t="array" ref="K1246">_xlfn.IFS(G1246&lt;10000, "Low", G1246&lt;=25000, "Medium", G1246&gt;25000, "High")</f>
        <v>High</v>
      </c>
    </row>
    <row r="1247" spans="1:11" x14ac:dyDescent="0.3">
      <c r="A1247">
        <v>60</v>
      </c>
      <c r="B1247" s="1" t="s">
        <v>7</v>
      </c>
      <c r="C1247">
        <v>39.994999999999997</v>
      </c>
      <c r="D1247">
        <v>3</v>
      </c>
      <c r="E1247" t="s">
        <v>10</v>
      </c>
      <c r="F1247" t="s">
        <v>11</v>
      </c>
      <c r="G1247" s="2">
        <v>39047.285000000003</v>
      </c>
      <c r="H1247" t="str" cm="1">
        <f t="array" ref="H1247">_xlfn.IFS(A1247&lt;=30, "Youth", A1247&lt;=50, "Adult", A1247&gt;50, "Older")</f>
        <v>Older</v>
      </c>
      <c r="I1247" t="str" cm="1">
        <f t="array" ref="I1247">_xlfn.IFS(A1247&lt;=25,"18-25",A1247&lt;=35,"26-35",A1247&lt;=45,"36-45",A1247&lt;=60,"46-60",A1247&gt;60,"60+")</f>
        <v>46-60</v>
      </c>
      <c r="J1247" t="str" cm="1">
        <f t="array" ref="J1247">_xlfn.IFS(C1247&lt;18.5,"Underweight",C1247&lt;25,"Normal",C1247&lt;30,"Overweight",C1247&gt;=30,"Obese")</f>
        <v>Obese</v>
      </c>
      <c r="K1247" t="str" cm="1">
        <f t="array" ref="K1247">_xlfn.IFS(G1247&lt;10000, "Low", G1247&lt;=25000, "Medium", G1247&gt;25000, "High")</f>
        <v>High</v>
      </c>
    </row>
    <row r="1248" spans="1:11" x14ac:dyDescent="0.3">
      <c r="A1248">
        <v>61</v>
      </c>
      <c r="B1248" s="1" t="s">
        <v>8</v>
      </c>
      <c r="C1248">
        <v>40.15</v>
      </c>
      <c r="D1248">
        <v>3</v>
      </c>
      <c r="E1248" t="s">
        <v>10</v>
      </c>
      <c r="F1248" t="s">
        <v>11</v>
      </c>
      <c r="G1248" s="2">
        <v>39125.332249999999</v>
      </c>
      <c r="H1248" t="str" cm="1">
        <f t="array" ref="H1248">_xlfn.IFS(A1248&lt;=30, "Youth", A1248&lt;=50, "Adult", A1248&gt;50, "Older")</f>
        <v>Older</v>
      </c>
      <c r="I1248" t="str" cm="1">
        <f t="array" ref="I1248">_xlfn.IFS(A1248&lt;=25,"18-25",A1248&lt;=35,"26-35",A1248&lt;=45,"36-45",A1248&lt;=60,"46-60",A1248&gt;60,"60+")</f>
        <v>60+</v>
      </c>
      <c r="J1248" t="str" cm="1">
        <f t="array" ref="J1248">_xlfn.IFS(C1248&lt;18.5,"Underweight",C1248&lt;25,"Normal",C1248&lt;30,"Overweight",C1248&gt;=30,"Obese")</f>
        <v>Obese</v>
      </c>
      <c r="K1248" t="str" cm="1">
        <f t="array" ref="K1248">_xlfn.IFS(G1248&lt;10000, "Low", G1248&lt;=25000, "Medium", G1248&gt;25000, "High")</f>
        <v>High</v>
      </c>
    </row>
    <row r="1249" spans="1:11" x14ac:dyDescent="0.3">
      <c r="A1249">
        <v>61</v>
      </c>
      <c r="B1249" s="1" t="s">
        <v>7</v>
      </c>
      <c r="C1249">
        <v>40.15</v>
      </c>
      <c r="D1249">
        <v>3</v>
      </c>
      <c r="E1249" t="s">
        <v>10</v>
      </c>
      <c r="F1249" t="s">
        <v>12</v>
      </c>
      <c r="G1249" s="2">
        <v>39241.442000000003</v>
      </c>
      <c r="H1249" t="str" cm="1">
        <f t="array" ref="H1249">_xlfn.IFS(A1249&lt;=30, "Youth", A1249&lt;=50, "Adult", A1249&gt;50, "Older")</f>
        <v>Older</v>
      </c>
      <c r="I1249" t="str" cm="1">
        <f t="array" ref="I1249">_xlfn.IFS(A1249&lt;=25,"18-25",A1249&lt;=35,"26-35",A1249&lt;=45,"36-45",A1249&lt;=60,"46-60",A1249&gt;60,"60+")</f>
        <v>60+</v>
      </c>
      <c r="J1249" t="str" cm="1">
        <f t="array" ref="J1249">_xlfn.IFS(C1249&lt;18.5,"Underweight",C1249&lt;25,"Normal",C1249&lt;30,"Overweight",C1249&gt;=30,"Obese")</f>
        <v>Obese</v>
      </c>
      <c r="K1249" t="str" cm="1">
        <f t="array" ref="K1249">_xlfn.IFS(G1249&lt;10000, "Low", G1249&lt;=25000, "Medium", G1249&gt;25000, "High")</f>
        <v>High</v>
      </c>
    </row>
    <row r="1250" spans="1:11" x14ac:dyDescent="0.3">
      <c r="A1250">
        <v>61</v>
      </c>
      <c r="B1250" s="1" t="s">
        <v>8</v>
      </c>
      <c r="C1250">
        <v>40.15</v>
      </c>
      <c r="D1250">
        <v>3</v>
      </c>
      <c r="E1250" t="s">
        <v>9</v>
      </c>
      <c r="F1250" t="s">
        <v>14</v>
      </c>
      <c r="G1250" s="2">
        <v>39556.494500000001</v>
      </c>
      <c r="H1250" t="str" cm="1">
        <f t="array" ref="H1250">_xlfn.IFS(A1250&lt;=30, "Youth", A1250&lt;=50, "Adult", A1250&gt;50, "Older")</f>
        <v>Older</v>
      </c>
      <c r="I1250" t="str" cm="1">
        <f t="array" ref="I1250">_xlfn.IFS(A1250&lt;=25,"18-25",A1250&lt;=35,"26-35",A1250&lt;=45,"36-45",A1250&lt;=60,"46-60",A1250&gt;60,"60+")</f>
        <v>60+</v>
      </c>
      <c r="J1250" t="str" cm="1">
        <f t="array" ref="J1250">_xlfn.IFS(C1250&lt;18.5,"Underweight",C1250&lt;25,"Normal",C1250&lt;30,"Overweight",C1250&gt;=30,"Obese")</f>
        <v>Obese</v>
      </c>
      <c r="K1250" t="str" cm="1">
        <f t="array" ref="K1250">_xlfn.IFS(G1250&lt;10000, "Low", G1250&lt;=25000, "Medium", G1250&gt;25000, "High")</f>
        <v>High</v>
      </c>
    </row>
    <row r="1251" spans="1:11" x14ac:dyDescent="0.3">
      <c r="A1251">
        <v>61</v>
      </c>
      <c r="B1251" s="1" t="s">
        <v>8</v>
      </c>
      <c r="C1251">
        <v>40.185000000000002</v>
      </c>
      <c r="D1251">
        <v>3</v>
      </c>
      <c r="E1251" t="s">
        <v>9</v>
      </c>
      <c r="F1251" t="s">
        <v>14</v>
      </c>
      <c r="G1251" s="2">
        <v>39597.407200000001</v>
      </c>
      <c r="H1251" t="str" cm="1">
        <f t="array" ref="H1251">_xlfn.IFS(A1251&lt;=30, "Youth", A1251&lt;=50, "Adult", A1251&gt;50, "Older")</f>
        <v>Older</v>
      </c>
      <c r="I1251" t="str" cm="1">
        <f t="array" ref="I1251">_xlfn.IFS(A1251&lt;=25,"18-25",A1251&lt;=35,"26-35",A1251&lt;=45,"36-45",A1251&lt;=60,"46-60",A1251&gt;60,"60+")</f>
        <v>60+</v>
      </c>
      <c r="J1251" t="str" cm="1">
        <f t="array" ref="J1251">_xlfn.IFS(C1251&lt;18.5,"Underweight",C1251&lt;25,"Normal",C1251&lt;30,"Overweight",C1251&gt;=30,"Obese")</f>
        <v>Obese</v>
      </c>
      <c r="K1251" t="str" cm="1">
        <f t="array" ref="K1251">_xlfn.IFS(G1251&lt;10000, "Low", G1251&lt;=25000, "Medium", G1251&gt;25000, "High")</f>
        <v>High</v>
      </c>
    </row>
    <row r="1252" spans="1:11" x14ac:dyDescent="0.3">
      <c r="A1252">
        <v>61</v>
      </c>
      <c r="B1252" s="1" t="s">
        <v>8</v>
      </c>
      <c r="C1252">
        <v>40.185000000000002</v>
      </c>
      <c r="D1252">
        <v>3</v>
      </c>
      <c r="E1252" t="s">
        <v>10</v>
      </c>
      <c r="F1252" t="s">
        <v>11</v>
      </c>
      <c r="G1252" s="2">
        <v>39611.757700000002</v>
      </c>
      <c r="H1252" t="str" cm="1">
        <f t="array" ref="H1252">_xlfn.IFS(A1252&lt;=30, "Youth", A1252&lt;=50, "Adult", A1252&gt;50, "Older")</f>
        <v>Older</v>
      </c>
      <c r="I1252" t="str" cm="1">
        <f t="array" ref="I1252">_xlfn.IFS(A1252&lt;=25,"18-25",A1252&lt;=35,"26-35",A1252&lt;=45,"36-45",A1252&lt;=60,"46-60",A1252&gt;60,"60+")</f>
        <v>60+</v>
      </c>
      <c r="J1252" t="str" cm="1">
        <f t="array" ref="J1252">_xlfn.IFS(C1252&lt;18.5,"Underweight",C1252&lt;25,"Normal",C1252&lt;30,"Overweight",C1252&gt;=30,"Obese")</f>
        <v>Obese</v>
      </c>
      <c r="K1252" t="str" cm="1">
        <f t="array" ref="K1252">_xlfn.IFS(G1252&lt;10000, "Low", G1252&lt;=25000, "Medium", G1252&gt;25000, "High")</f>
        <v>High</v>
      </c>
    </row>
    <row r="1253" spans="1:11" x14ac:dyDescent="0.3">
      <c r="A1253">
        <v>61</v>
      </c>
      <c r="B1253" s="1" t="s">
        <v>8</v>
      </c>
      <c r="C1253">
        <v>40.26</v>
      </c>
      <c r="D1253">
        <v>3</v>
      </c>
      <c r="E1253" t="s">
        <v>9</v>
      </c>
      <c r="F1253" t="s">
        <v>11</v>
      </c>
      <c r="G1253" s="2">
        <v>39722.746200000001</v>
      </c>
      <c r="H1253" t="str" cm="1">
        <f t="array" ref="H1253">_xlfn.IFS(A1253&lt;=30, "Youth", A1253&lt;=50, "Adult", A1253&gt;50, "Older")</f>
        <v>Older</v>
      </c>
      <c r="I1253" t="str" cm="1">
        <f t="array" ref="I1253">_xlfn.IFS(A1253&lt;=25,"18-25",A1253&lt;=35,"26-35",A1253&lt;=45,"36-45",A1253&lt;=60,"46-60",A1253&gt;60,"60+")</f>
        <v>60+</v>
      </c>
      <c r="J1253" t="str" cm="1">
        <f t="array" ref="J1253">_xlfn.IFS(C1253&lt;18.5,"Underweight",C1253&lt;25,"Normal",C1253&lt;30,"Overweight",C1253&gt;=30,"Obese")</f>
        <v>Obese</v>
      </c>
      <c r="K1253" t="str" cm="1">
        <f t="array" ref="K1253">_xlfn.IFS(G1253&lt;10000, "Low", G1253&lt;=25000, "Medium", G1253&gt;25000, "High")</f>
        <v>High</v>
      </c>
    </row>
    <row r="1254" spans="1:11" x14ac:dyDescent="0.3">
      <c r="A1254">
        <v>61</v>
      </c>
      <c r="B1254" s="1" t="s">
        <v>7</v>
      </c>
      <c r="C1254">
        <v>40.26</v>
      </c>
      <c r="D1254">
        <v>3</v>
      </c>
      <c r="E1254" t="s">
        <v>10</v>
      </c>
      <c r="F1254" t="s">
        <v>11</v>
      </c>
      <c r="G1254" s="2">
        <v>39725.518049999999</v>
      </c>
      <c r="H1254" t="str" cm="1">
        <f t="array" ref="H1254">_xlfn.IFS(A1254&lt;=30, "Youth", A1254&lt;=50, "Adult", A1254&gt;50, "Older")</f>
        <v>Older</v>
      </c>
      <c r="I1254" t="str" cm="1">
        <f t="array" ref="I1254">_xlfn.IFS(A1254&lt;=25,"18-25",A1254&lt;=35,"26-35",A1254&lt;=45,"36-45",A1254&lt;=60,"46-60",A1254&gt;60,"60+")</f>
        <v>60+</v>
      </c>
      <c r="J1254" t="str" cm="1">
        <f t="array" ref="J1254">_xlfn.IFS(C1254&lt;18.5,"Underweight",C1254&lt;25,"Normal",C1254&lt;30,"Overweight",C1254&gt;=30,"Obese")</f>
        <v>Obese</v>
      </c>
      <c r="K1254" t="str" cm="1">
        <f t="array" ref="K1254">_xlfn.IFS(G1254&lt;10000, "Low", G1254&lt;=25000, "Medium", G1254&gt;25000, "High")</f>
        <v>High</v>
      </c>
    </row>
    <row r="1255" spans="1:11" x14ac:dyDescent="0.3">
      <c r="A1255">
        <v>61</v>
      </c>
      <c r="B1255" s="1" t="s">
        <v>7</v>
      </c>
      <c r="C1255">
        <v>40.28</v>
      </c>
      <c r="D1255">
        <v>3</v>
      </c>
      <c r="E1255" t="s">
        <v>10</v>
      </c>
      <c r="F1255" t="s">
        <v>12</v>
      </c>
      <c r="G1255" s="2">
        <v>39727.614000000001</v>
      </c>
      <c r="H1255" t="str" cm="1">
        <f t="array" ref="H1255">_xlfn.IFS(A1255&lt;=30, "Youth", A1255&lt;=50, "Adult", A1255&gt;50, "Older")</f>
        <v>Older</v>
      </c>
      <c r="I1255" t="str" cm="1">
        <f t="array" ref="I1255">_xlfn.IFS(A1255&lt;=25,"18-25",A1255&lt;=35,"26-35",A1255&lt;=45,"36-45",A1255&lt;=60,"46-60",A1255&gt;60,"60+")</f>
        <v>60+</v>
      </c>
      <c r="J1255" t="str" cm="1">
        <f t="array" ref="J1255">_xlfn.IFS(C1255&lt;18.5,"Underweight",C1255&lt;25,"Normal",C1255&lt;30,"Overweight",C1255&gt;=30,"Obese")</f>
        <v>Obese</v>
      </c>
      <c r="K1255" t="str" cm="1">
        <f t="array" ref="K1255">_xlfn.IFS(G1255&lt;10000, "Low", G1255&lt;=25000, "Medium", G1255&gt;25000, "High")</f>
        <v>High</v>
      </c>
    </row>
    <row r="1256" spans="1:11" x14ac:dyDescent="0.3">
      <c r="A1256">
        <v>61</v>
      </c>
      <c r="B1256" s="1" t="s">
        <v>7</v>
      </c>
      <c r="C1256">
        <v>40.28</v>
      </c>
      <c r="D1256">
        <v>3</v>
      </c>
      <c r="E1256" t="s">
        <v>10</v>
      </c>
      <c r="F1256" t="s">
        <v>11</v>
      </c>
      <c r="G1256" s="2">
        <v>39774.276299999998</v>
      </c>
      <c r="H1256" t="str" cm="1">
        <f t="array" ref="H1256">_xlfn.IFS(A1256&lt;=30, "Youth", A1256&lt;=50, "Adult", A1256&gt;50, "Older")</f>
        <v>Older</v>
      </c>
      <c r="I1256" t="str" cm="1">
        <f t="array" ref="I1256">_xlfn.IFS(A1256&lt;=25,"18-25",A1256&lt;=35,"26-35",A1256&lt;=45,"36-45",A1256&lt;=60,"46-60",A1256&gt;60,"60+")</f>
        <v>60+</v>
      </c>
      <c r="J1256" t="str" cm="1">
        <f t="array" ref="J1256">_xlfn.IFS(C1256&lt;18.5,"Underweight",C1256&lt;25,"Normal",C1256&lt;30,"Overweight",C1256&gt;=30,"Obese")</f>
        <v>Obese</v>
      </c>
      <c r="K1256" t="str" cm="1">
        <f t="array" ref="K1256">_xlfn.IFS(G1256&lt;10000, "Low", G1256&lt;=25000, "Medium", G1256&gt;25000, "High")</f>
        <v>High</v>
      </c>
    </row>
    <row r="1257" spans="1:11" x14ac:dyDescent="0.3">
      <c r="A1257">
        <v>61</v>
      </c>
      <c r="B1257" s="1" t="s">
        <v>7</v>
      </c>
      <c r="C1257">
        <v>40.299999999999997</v>
      </c>
      <c r="D1257">
        <v>3</v>
      </c>
      <c r="E1257" t="s">
        <v>10</v>
      </c>
      <c r="F1257" t="s">
        <v>13</v>
      </c>
      <c r="G1257" s="2">
        <v>39836.519</v>
      </c>
      <c r="H1257" t="str" cm="1">
        <f t="array" ref="H1257">_xlfn.IFS(A1257&lt;=30, "Youth", A1257&lt;=50, "Adult", A1257&gt;50, "Older")</f>
        <v>Older</v>
      </c>
      <c r="I1257" t="str" cm="1">
        <f t="array" ref="I1257">_xlfn.IFS(A1257&lt;=25,"18-25",A1257&lt;=35,"26-35",A1257&lt;=45,"36-45",A1257&lt;=60,"46-60",A1257&gt;60,"60+")</f>
        <v>60+</v>
      </c>
      <c r="J1257" t="str" cm="1">
        <f t="array" ref="J1257">_xlfn.IFS(C1257&lt;18.5,"Underweight",C1257&lt;25,"Normal",C1257&lt;30,"Overweight",C1257&gt;=30,"Obese")</f>
        <v>Obese</v>
      </c>
      <c r="K1257" t="str" cm="1">
        <f t="array" ref="K1257">_xlfn.IFS(G1257&lt;10000, "Low", G1257&lt;=25000, "Medium", G1257&gt;25000, "High")</f>
        <v>High</v>
      </c>
    </row>
    <row r="1258" spans="1:11" x14ac:dyDescent="0.3">
      <c r="A1258">
        <v>61</v>
      </c>
      <c r="B1258" s="1" t="s">
        <v>7</v>
      </c>
      <c r="C1258">
        <v>40.369999999999997</v>
      </c>
      <c r="D1258">
        <v>3</v>
      </c>
      <c r="E1258" t="s">
        <v>10</v>
      </c>
      <c r="F1258" t="s">
        <v>13</v>
      </c>
      <c r="G1258" s="2">
        <v>39871.704299999998</v>
      </c>
      <c r="H1258" t="str" cm="1">
        <f t="array" ref="H1258">_xlfn.IFS(A1258&lt;=30, "Youth", A1258&lt;=50, "Adult", A1258&gt;50, "Older")</f>
        <v>Older</v>
      </c>
      <c r="I1258" t="str" cm="1">
        <f t="array" ref="I1258">_xlfn.IFS(A1258&lt;=25,"18-25",A1258&lt;=35,"26-35",A1258&lt;=45,"36-45",A1258&lt;=60,"46-60",A1258&gt;60,"60+")</f>
        <v>60+</v>
      </c>
      <c r="J1258" t="str" cm="1">
        <f t="array" ref="J1258">_xlfn.IFS(C1258&lt;18.5,"Underweight",C1258&lt;25,"Normal",C1258&lt;30,"Overweight",C1258&gt;=30,"Obese")</f>
        <v>Obese</v>
      </c>
      <c r="K1258" t="str" cm="1">
        <f t="array" ref="K1258">_xlfn.IFS(G1258&lt;10000, "Low", G1258&lt;=25000, "Medium", G1258&gt;25000, "High")</f>
        <v>High</v>
      </c>
    </row>
    <row r="1259" spans="1:11" x14ac:dyDescent="0.3">
      <c r="A1259">
        <v>61</v>
      </c>
      <c r="B1259" s="1" t="s">
        <v>8</v>
      </c>
      <c r="C1259">
        <v>40.369999999999997</v>
      </c>
      <c r="D1259">
        <v>3</v>
      </c>
      <c r="E1259" t="s">
        <v>10</v>
      </c>
      <c r="F1259" t="s">
        <v>13</v>
      </c>
      <c r="G1259" s="2">
        <v>39983.425949999997</v>
      </c>
      <c r="H1259" t="str" cm="1">
        <f t="array" ref="H1259">_xlfn.IFS(A1259&lt;=30, "Youth", A1259&lt;=50, "Adult", A1259&gt;50, "Older")</f>
        <v>Older</v>
      </c>
      <c r="I1259" t="str" cm="1">
        <f t="array" ref="I1259">_xlfn.IFS(A1259&lt;=25,"18-25",A1259&lt;=35,"26-35",A1259&lt;=45,"36-45",A1259&lt;=60,"46-60",A1259&gt;60,"60+")</f>
        <v>60+</v>
      </c>
      <c r="J1259" t="str" cm="1">
        <f t="array" ref="J1259">_xlfn.IFS(C1259&lt;18.5,"Underweight",C1259&lt;25,"Normal",C1259&lt;30,"Overweight",C1259&gt;=30,"Obese")</f>
        <v>Obese</v>
      </c>
      <c r="K1259" t="str" cm="1">
        <f t="array" ref="K1259">_xlfn.IFS(G1259&lt;10000, "Low", G1259&lt;=25000, "Medium", G1259&gt;25000, "High")</f>
        <v>High</v>
      </c>
    </row>
    <row r="1260" spans="1:11" x14ac:dyDescent="0.3">
      <c r="A1260">
        <v>61</v>
      </c>
      <c r="B1260" s="1" t="s">
        <v>7</v>
      </c>
      <c r="C1260">
        <v>40.375</v>
      </c>
      <c r="D1260">
        <v>3</v>
      </c>
      <c r="E1260" t="s">
        <v>10</v>
      </c>
      <c r="F1260" t="s">
        <v>14</v>
      </c>
      <c r="G1260" s="2">
        <v>40003.332249999999</v>
      </c>
      <c r="H1260" t="str" cm="1">
        <f t="array" ref="H1260">_xlfn.IFS(A1260&lt;=30, "Youth", A1260&lt;=50, "Adult", A1260&gt;50, "Older")</f>
        <v>Older</v>
      </c>
      <c r="I1260" t="str" cm="1">
        <f t="array" ref="I1260">_xlfn.IFS(A1260&lt;=25,"18-25",A1260&lt;=35,"26-35",A1260&lt;=45,"36-45",A1260&lt;=60,"46-60",A1260&gt;60,"60+")</f>
        <v>60+</v>
      </c>
      <c r="J1260" t="str" cm="1">
        <f t="array" ref="J1260">_xlfn.IFS(C1260&lt;18.5,"Underweight",C1260&lt;25,"Normal",C1260&lt;30,"Overweight",C1260&gt;=30,"Obese")</f>
        <v>Obese</v>
      </c>
      <c r="K1260" t="str" cm="1">
        <f t="array" ref="K1260">_xlfn.IFS(G1260&lt;10000, "Low", G1260&lt;=25000, "Medium", G1260&gt;25000, "High")</f>
        <v>High</v>
      </c>
    </row>
    <row r="1261" spans="1:11" x14ac:dyDescent="0.3">
      <c r="A1261">
        <v>61</v>
      </c>
      <c r="B1261" s="1" t="s">
        <v>7</v>
      </c>
      <c r="C1261">
        <v>40.47</v>
      </c>
      <c r="D1261">
        <v>3</v>
      </c>
      <c r="E1261" t="s">
        <v>10</v>
      </c>
      <c r="F1261" t="s">
        <v>14</v>
      </c>
      <c r="G1261" s="2">
        <v>40103.89</v>
      </c>
      <c r="H1261" t="str" cm="1">
        <f t="array" ref="H1261">_xlfn.IFS(A1261&lt;=30, "Youth", A1261&lt;=50, "Adult", A1261&gt;50, "Older")</f>
        <v>Older</v>
      </c>
      <c r="I1261" t="str" cm="1">
        <f t="array" ref="I1261">_xlfn.IFS(A1261&lt;=25,"18-25",A1261&lt;=35,"26-35",A1261&lt;=45,"36-45",A1261&lt;=60,"46-60",A1261&gt;60,"60+")</f>
        <v>60+</v>
      </c>
      <c r="J1261" t="str" cm="1">
        <f t="array" ref="J1261">_xlfn.IFS(C1261&lt;18.5,"Underweight",C1261&lt;25,"Normal",C1261&lt;30,"Overweight",C1261&gt;=30,"Obese")</f>
        <v>Obese</v>
      </c>
      <c r="K1261" t="str" cm="1">
        <f t="array" ref="K1261">_xlfn.IFS(G1261&lt;10000, "Low", G1261&lt;=25000, "Medium", G1261&gt;25000, "High")</f>
        <v>High</v>
      </c>
    </row>
    <row r="1262" spans="1:11" x14ac:dyDescent="0.3">
      <c r="A1262">
        <v>61</v>
      </c>
      <c r="B1262" s="1" t="s">
        <v>8</v>
      </c>
      <c r="C1262">
        <v>40.479999999999997</v>
      </c>
      <c r="D1262">
        <v>3</v>
      </c>
      <c r="E1262" t="s">
        <v>10</v>
      </c>
      <c r="F1262" t="s">
        <v>11</v>
      </c>
      <c r="G1262" s="2">
        <v>40182.245999999999</v>
      </c>
      <c r="H1262" t="str" cm="1">
        <f t="array" ref="H1262">_xlfn.IFS(A1262&lt;=30, "Youth", A1262&lt;=50, "Adult", A1262&gt;50, "Older")</f>
        <v>Older</v>
      </c>
      <c r="I1262" t="str" cm="1">
        <f t="array" ref="I1262">_xlfn.IFS(A1262&lt;=25,"18-25",A1262&lt;=35,"26-35",A1262&lt;=45,"36-45",A1262&lt;=60,"46-60",A1262&gt;60,"60+")</f>
        <v>60+</v>
      </c>
      <c r="J1262" t="str" cm="1">
        <f t="array" ref="J1262">_xlfn.IFS(C1262&lt;18.5,"Underweight",C1262&lt;25,"Normal",C1262&lt;30,"Overweight",C1262&gt;=30,"Obese")</f>
        <v>Obese</v>
      </c>
      <c r="K1262" t="str" cm="1">
        <f t="array" ref="K1262">_xlfn.IFS(G1262&lt;10000, "Low", G1262&lt;=25000, "Medium", G1262&gt;25000, "High")</f>
        <v>High</v>
      </c>
    </row>
    <row r="1263" spans="1:11" x14ac:dyDescent="0.3">
      <c r="A1263">
        <v>61</v>
      </c>
      <c r="B1263" s="1" t="s">
        <v>7</v>
      </c>
      <c r="C1263">
        <v>40.5</v>
      </c>
      <c r="D1263">
        <v>3</v>
      </c>
      <c r="E1263" t="s">
        <v>10</v>
      </c>
      <c r="F1263" t="s">
        <v>12</v>
      </c>
      <c r="G1263" s="2">
        <v>40273.645499999999</v>
      </c>
      <c r="H1263" t="str" cm="1">
        <f t="array" ref="H1263">_xlfn.IFS(A1263&lt;=30, "Youth", A1263&lt;=50, "Adult", A1263&gt;50, "Older")</f>
        <v>Older</v>
      </c>
      <c r="I1263" t="str" cm="1">
        <f t="array" ref="I1263">_xlfn.IFS(A1263&lt;=25,"18-25",A1263&lt;=35,"26-35",A1263&lt;=45,"36-45",A1263&lt;=60,"46-60",A1263&gt;60,"60+")</f>
        <v>60+</v>
      </c>
      <c r="J1263" t="str" cm="1">
        <f t="array" ref="J1263">_xlfn.IFS(C1263&lt;18.5,"Underweight",C1263&lt;25,"Normal",C1263&lt;30,"Overweight",C1263&gt;=30,"Obese")</f>
        <v>Obese</v>
      </c>
      <c r="K1263" t="str" cm="1">
        <f t="array" ref="K1263">_xlfn.IFS(G1263&lt;10000, "Low", G1263&lt;=25000, "Medium", G1263&gt;25000, "High")</f>
        <v>High</v>
      </c>
    </row>
    <row r="1264" spans="1:11" x14ac:dyDescent="0.3">
      <c r="A1264">
        <v>61</v>
      </c>
      <c r="B1264" s="1" t="s">
        <v>7</v>
      </c>
      <c r="C1264">
        <v>40.564999999999998</v>
      </c>
      <c r="D1264">
        <v>3</v>
      </c>
      <c r="E1264" t="s">
        <v>10</v>
      </c>
      <c r="F1264" t="s">
        <v>11</v>
      </c>
      <c r="G1264" s="2">
        <v>40419.019099999998</v>
      </c>
      <c r="H1264" t="str" cm="1">
        <f t="array" ref="H1264">_xlfn.IFS(A1264&lt;=30, "Youth", A1264&lt;=50, "Adult", A1264&gt;50, "Older")</f>
        <v>Older</v>
      </c>
      <c r="I1264" t="str" cm="1">
        <f t="array" ref="I1264">_xlfn.IFS(A1264&lt;=25,"18-25",A1264&lt;=35,"26-35",A1264&lt;=45,"36-45",A1264&lt;=60,"46-60",A1264&gt;60,"60+")</f>
        <v>60+</v>
      </c>
      <c r="J1264" t="str" cm="1">
        <f t="array" ref="J1264">_xlfn.IFS(C1264&lt;18.5,"Underweight",C1264&lt;25,"Normal",C1264&lt;30,"Overweight",C1264&gt;=30,"Obese")</f>
        <v>Obese</v>
      </c>
      <c r="K1264" t="str" cm="1">
        <f t="array" ref="K1264">_xlfn.IFS(G1264&lt;10000, "Low", G1264&lt;=25000, "Medium", G1264&gt;25000, "High")</f>
        <v>High</v>
      </c>
    </row>
    <row r="1265" spans="1:11" x14ac:dyDescent="0.3">
      <c r="A1265">
        <v>61</v>
      </c>
      <c r="B1265" s="1" t="s">
        <v>7</v>
      </c>
      <c r="C1265">
        <v>40.564999999999998</v>
      </c>
      <c r="D1265">
        <v>3</v>
      </c>
      <c r="E1265" t="s">
        <v>10</v>
      </c>
      <c r="F1265" t="s">
        <v>14</v>
      </c>
      <c r="G1265" s="2">
        <v>40720.551050000002</v>
      </c>
      <c r="H1265" t="str" cm="1">
        <f t="array" ref="H1265">_xlfn.IFS(A1265&lt;=30, "Youth", A1265&lt;=50, "Adult", A1265&gt;50, "Older")</f>
        <v>Older</v>
      </c>
      <c r="I1265" t="str" cm="1">
        <f t="array" ref="I1265">_xlfn.IFS(A1265&lt;=25,"18-25",A1265&lt;=35,"26-35",A1265&lt;=45,"36-45",A1265&lt;=60,"46-60",A1265&gt;60,"60+")</f>
        <v>60+</v>
      </c>
      <c r="J1265" t="str" cm="1">
        <f t="array" ref="J1265">_xlfn.IFS(C1265&lt;18.5,"Underweight",C1265&lt;25,"Normal",C1265&lt;30,"Overweight",C1265&gt;=30,"Obese")</f>
        <v>Obese</v>
      </c>
      <c r="K1265" t="str" cm="1">
        <f t="array" ref="K1265">_xlfn.IFS(G1265&lt;10000, "Low", G1265&lt;=25000, "Medium", G1265&gt;25000, "High")</f>
        <v>High</v>
      </c>
    </row>
    <row r="1266" spans="1:11" x14ac:dyDescent="0.3">
      <c r="A1266">
        <v>61</v>
      </c>
      <c r="B1266" s="1" t="s">
        <v>8</v>
      </c>
      <c r="C1266">
        <v>40.564999999999998</v>
      </c>
      <c r="D1266">
        <v>3</v>
      </c>
      <c r="E1266" t="s">
        <v>9</v>
      </c>
      <c r="F1266" t="s">
        <v>12</v>
      </c>
      <c r="G1266" s="2">
        <v>40904.199500000002</v>
      </c>
      <c r="H1266" t="str" cm="1">
        <f t="array" ref="H1266">_xlfn.IFS(A1266&lt;=30, "Youth", A1266&lt;=50, "Adult", A1266&gt;50, "Older")</f>
        <v>Older</v>
      </c>
      <c r="I1266" t="str" cm="1">
        <f t="array" ref="I1266">_xlfn.IFS(A1266&lt;=25,"18-25",A1266&lt;=35,"26-35",A1266&lt;=45,"36-45",A1266&lt;=60,"46-60",A1266&gt;60,"60+")</f>
        <v>60+</v>
      </c>
      <c r="J1266" t="str" cm="1">
        <f t="array" ref="J1266">_xlfn.IFS(C1266&lt;18.5,"Underweight",C1266&lt;25,"Normal",C1266&lt;30,"Overweight",C1266&gt;=30,"Obese")</f>
        <v>Obese</v>
      </c>
      <c r="K1266" t="str" cm="1">
        <f t="array" ref="K1266">_xlfn.IFS(G1266&lt;10000, "Low", G1266&lt;=25000, "Medium", G1266&gt;25000, "High")</f>
        <v>High</v>
      </c>
    </row>
    <row r="1267" spans="1:11" x14ac:dyDescent="0.3">
      <c r="A1267">
        <v>61</v>
      </c>
      <c r="B1267" s="1" t="s">
        <v>7</v>
      </c>
      <c r="C1267">
        <v>40.659999999999997</v>
      </c>
      <c r="D1267">
        <v>3</v>
      </c>
      <c r="E1267" t="s">
        <v>10</v>
      </c>
      <c r="F1267" t="s">
        <v>11</v>
      </c>
      <c r="G1267" s="2">
        <v>40932.429499999998</v>
      </c>
      <c r="H1267" t="str" cm="1">
        <f t="array" ref="H1267">_xlfn.IFS(A1267&lt;=30, "Youth", A1267&lt;=50, "Adult", A1267&gt;50, "Older")</f>
        <v>Older</v>
      </c>
      <c r="I1267" t="str" cm="1">
        <f t="array" ref="I1267">_xlfn.IFS(A1267&lt;=25,"18-25",A1267&lt;=35,"26-35",A1267&lt;=45,"36-45",A1267&lt;=60,"46-60",A1267&gt;60,"60+")</f>
        <v>60+</v>
      </c>
      <c r="J1267" t="str" cm="1">
        <f t="array" ref="J1267">_xlfn.IFS(C1267&lt;18.5,"Underweight",C1267&lt;25,"Normal",C1267&lt;30,"Overweight",C1267&gt;=30,"Obese")</f>
        <v>Obese</v>
      </c>
      <c r="K1267" t="str" cm="1">
        <f t="array" ref="K1267">_xlfn.IFS(G1267&lt;10000, "Low", G1267&lt;=25000, "Medium", G1267&gt;25000, "High")</f>
        <v>High</v>
      </c>
    </row>
    <row r="1268" spans="1:11" x14ac:dyDescent="0.3">
      <c r="A1268">
        <v>61</v>
      </c>
      <c r="B1268" s="1" t="s">
        <v>8</v>
      </c>
      <c r="C1268">
        <v>40.81</v>
      </c>
      <c r="D1268">
        <v>3</v>
      </c>
      <c r="E1268" t="s">
        <v>9</v>
      </c>
      <c r="F1268" t="s">
        <v>14</v>
      </c>
      <c r="G1268" s="2">
        <v>40941.285400000001</v>
      </c>
      <c r="H1268" t="str" cm="1">
        <f t="array" ref="H1268">_xlfn.IFS(A1268&lt;=30, "Youth", A1268&lt;=50, "Adult", A1268&gt;50, "Older")</f>
        <v>Older</v>
      </c>
      <c r="I1268" t="str" cm="1">
        <f t="array" ref="I1268">_xlfn.IFS(A1268&lt;=25,"18-25",A1268&lt;=35,"26-35",A1268&lt;=45,"36-45",A1268&lt;=60,"46-60",A1268&gt;60,"60+")</f>
        <v>60+</v>
      </c>
      <c r="J1268" t="str" cm="1">
        <f t="array" ref="J1268">_xlfn.IFS(C1268&lt;18.5,"Underweight",C1268&lt;25,"Normal",C1268&lt;30,"Overweight",C1268&gt;=30,"Obese")</f>
        <v>Obese</v>
      </c>
      <c r="K1268" t="str" cm="1">
        <f t="array" ref="K1268">_xlfn.IFS(G1268&lt;10000, "Low", G1268&lt;=25000, "Medium", G1268&gt;25000, "High")</f>
        <v>High</v>
      </c>
    </row>
    <row r="1269" spans="1:11" x14ac:dyDescent="0.3">
      <c r="A1269">
        <v>61</v>
      </c>
      <c r="B1269" s="1" t="s">
        <v>7</v>
      </c>
      <c r="C1269">
        <v>40.92</v>
      </c>
      <c r="D1269">
        <v>3</v>
      </c>
      <c r="E1269" t="s">
        <v>10</v>
      </c>
      <c r="F1269" t="s">
        <v>11</v>
      </c>
      <c r="G1269" s="2">
        <v>40974.164900000003</v>
      </c>
      <c r="H1269" t="str" cm="1">
        <f t="array" ref="H1269">_xlfn.IFS(A1269&lt;=30, "Youth", A1269&lt;=50, "Adult", A1269&gt;50, "Older")</f>
        <v>Older</v>
      </c>
      <c r="I1269" t="str" cm="1">
        <f t="array" ref="I1269">_xlfn.IFS(A1269&lt;=25,"18-25",A1269&lt;=35,"26-35",A1269&lt;=45,"36-45",A1269&lt;=60,"46-60",A1269&gt;60,"60+")</f>
        <v>60+</v>
      </c>
      <c r="J1269" t="str" cm="1">
        <f t="array" ref="J1269">_xlfn.IFS(C1269&lt;18.5,"Underweight",C1269&lt;25,"Normal",C1269&lt;30,"Overweight",C1269&gt;=30,"Obese")</f>
        <v>Obese</v>
      </c>
      <c r="K1269" t="str" cm="1">
        <f t="array" ref="K1269">_xlfn.IFS(G1269&lt;10000, "Low", G1269&lt;=25000, "Medium", G1269&gt;25000, "High")</f>
        <v>High</v>
      </c>
    </row>
    <row r="1270" spans="1:11" x14ac:dyDescent="0.3">
      <c r="A1270">
        <v>61</v>
      </c>
      <c r="B1270" s="1" t="s">
        <v>8</v>
      </c>
      <c r="C1270">
        <v>40.945</v>
      </c>
      <c r="D1270">
        <v>3</v>
      </c>
      <c r="E1270" t="s">
        <v>10</v>
      </c>
      <c r="F1270" t="s">
        <v>11</v>
      </c>
      <c r="G1270" s="2">
        <v>41034.221400000002</v>
      </c>
      <c r="H1270" t="str" cm="1">
        <f t="array" ref="H1270">_xlfn.IFS(A1270&lt;=30, "Youth", A1270&lt;=50, "Adult", A1270&gt;50, "Older")</f>
        <v>Older</v>
      </c>
      <c r="I1270" t="str" cm="1">
        <f t="array" ref="I1270">_xlfn.IFS(A1270&lt;=25,"18-25",A1270&lt;=35,"26-35",A1270&lt;=45,"36-45",A1270&lt;=60,"46-60",A1270&gt;60,"60+")</f>
        <v>60+</v>
      </c>
      <c r="J1270" t="str" cm="1">
        <f t="array" ref="J1270">_xlfn.IFS(C1270&lt;18.5,"Underweight",C1270&lt;25,"Normal",C1270&lt;30,"Overweight",C1270&gt;=30,"Obese")</f>
        <v>Obese</v>
      </c>
      <c r="K1270" t="str" cm="1">
        <f t="array" ref="K1270">_xlfn.IFS(G1270&lt;10000, "Low", G1270&lt;=25000, "Medium", G1270&gt;25000, "High")</f>
        <v>High</v>
      </c>
    </row>
    <row r="1271" spans="1:11" x14ac:dyDescent="0.3">
      <c r="A1271">
        <v>62</v>
      </c>
      <c r="B1271" s="1" t="s">
        <v>8</v>
      </c>
      <c r="C1271">
        <v>41.1</v>
      </c>
      <c r="D1271">
        <v>3</v>
      </c>
      <c r="E1271" t="s">
        <v>10</v>
      </c>
      <c r="F1271" t="s">
        <v>13</v>
      </c>
      <c r="G1271" s="2">
        <v>41097.161749999999</v>
      </c>
      <c r="H1271" t="str" cm="1">
        <f t="array" ref="H1271">_xlfn.IFS(A1271&lt;=30, "Youth", A1271&lt;=50, "Adult", A1271&gt;50, "Older")</f>
        <v>Older</v>
      </c>
      <c r="I1271" t="str" cm="1">
        <f t="array" ref="I1271">_xlfn.IFS(A1271&lt;=25,"18-25",A1271&lt;=35,"26-35",A1271&lt;=45,"36-45",A1271&lt;=60,"46-60",A1271&gt;60,"60+")</f>
        <v>60+</v>
      </c>
      <c r="J1271" t="str" cm="1">
        <f t="array" ref="J1271">_xlfn.IFS(C1271&lt;18.5,"Underweight",C1271&lt;25,"Normal",C1271&lt;30,"Overweight",C1271&gt;=30,"Obese")</f>
        <v>Obese</v>
      </c>
      <c r="K1271" t="str" cm="1">
        <f t="array" ref="K1271">_xlfn.IFS(G1271&lt;10000, "Low", G1271&lt;=25000, "Medium", G1271&gt;25000, "High")</f>
        <v>High</v>
      </c>
    </row>
    <row r="1272" spans="1:11" x14ac:dyDescent="0.3">
      <c r="A1272">
        <v>62</v>
      </c>
      <c r="B1272" s="1" t="s">
        <v>7</v>
      </c>
      <c r="C1272">
        <v>41.14</v>
      </c>
      <c r="D1272">
        <v>3</v>
      </c>
      <c r="E1272" t="s">
        <v>10</v>
      </c>
      <c r="F1272" t="s">
        <v>13</v>
      </c>
      <c r="G1272" s="2">
        <v>41661.601999999999</v>
      </c>
      <c r="H1272" t="str" cm="1">
        <f t="array" ref="H1272">_xlfn.IFS(A1272&lt;=30, "Youth", A1272&lt;=50, "Adult", A1272&gt;50, "Older")</f>
        <v>Older</v>
      </c>
      <c r="I1272" t="str" cm="1">
        <f t="array" ref="I1272">_xlfn.IFS(A1272&lt;=25,"18-25",A1272&lt;=35,"26-35",A1272&lt;=45,"36-45",A1272&lt;=60,"46-60",A1272&gt;60,"60+")</f>
        <v>60+</v>
      </c>
      <c r="J1272" t="str" cm="1">
        <f t="array" ref="J1272">_xlfn.IFS(C1272&lt;18.5,"Underweight",C1272&lt;25,"Normal",C1272&lt;30,"Overweight",C1272&gt;=30,"Obese")</f>
        <v>Obese</v>
      </c>
      <c r="K1272" t="str" cm="1">
        <f t="array" ref="K1272">_xlfn.IFS(G1272&lt;10000, "Low", G1272&lt;=25000, "Medium", G1272&gt;25000, "High")</f>
        <v>High</v>
      </c>
    </row>
    <row r="1273" spans="1:11" x14ac:dyDescent="0.3">
      <c r="A1273">
        <v>62</v>
      </c>
      <c r="B1273" s="1" t="s">
        <v>8</v>
      </c>
      <c r="C1273">
        <v>41.14</v>
      </c>
      <c r="D1273">
        <v>3</v>
      </c>
      <c r="E1273" t="s">
        <v>10</v>
      </c>
      <c r="F1273" t="s">
        <v>12</v>
      </c>
      <c r="G1273" s="2">
        <v>41676.081100000003</v>
      </c>
      <c r="H1273" t="str" cm="1">
        <f t="array" ref="H1273">_xlfn.IFS(A1273&lt;=30, "Youth", A1273&lt;=50, "Adult", A1273&gt;50, "Older")</f>
        <v>Older</v>
      </c>
      <c r="I1273" t="str" cm="1">
        <f t="array" ref="I1273">_xlfn.IFS(A1273&lt;=25,"18-25",A1273&lt;=35,"26-35",A1273&lt;=45,"36-45",A1273&lt;=60,"46-60",A1273&gt;60,"60+")</f>
        <v>60+</v>
      </c>
      <c r="J1273" t="str" cm="1">
        <f t="array" ref="J1273">_xlfn.IFS(C1273&lt;18.5,"Underweight",C1273&lt;25,"Normal",C1273&lt;30,"Overweight",C1273&gt;=30,"Obese")</f>
        <v>Obese</v>
      </c>
      <c r="K1273" t="str" cm="1">
        <f t="array" ref="K1273">_xlfn.IFS(G1273&lt;10000, "Low", G1273&lt;=25000, "Medium", G1273&gt;25000, "High")</f>
        <v>High</v>
      </c>
    </row>
    <row r="1274" spans="1:11" x14ac:dyDescent="0.3">
      <c r="A1274">
        <v>62</v>
      </c>
      <c r="B1274" s="1" t="s">
        <v>8</v>
      </c>
      <c r="C1274">
        <v>41.23</v>
      </c>
      <c r="D1274">
        <v>3</v>
      </c>
      <c r="E1274" t="s">
        <v>10</v>
      </c>
      <c r="F1274" t="s">
        <v>12</v>
      </c>
      <c r="G1274" s="2">
        <v>41919.097000000002</v>
      </c>
      <c r="H1274" t="str" cm="1">
        <f t="array" ref="H1274">_xlfn.IFS(A1274&lt;=30, "Youth", A1274&lt;=50, "Adult", A1274&gt;50, "Older")</f>
        <v>Older</v>
      </c>
      <c r="I1274" t="str" cm="1">
        <f t="array" ref="I1274">_xlfn.IFS(A1274&lt;=25,"18-25",A1274&lt;=35,"26-35",A1274&lt;=45,"36-45",A1274&lt;=60,"46-60",A1274&gt;60,"60+")</f>
        <v>60+</v>
      </c>
      <c r="J1274" t="str" cm="1">
        <f t="array" ref="J1274">_xlfn.IFS(C1274&lt;18.5,"Underweight",C1274&lt;25,"Normal",C1274&lt;30,"Overweight",C1274&gt;=30,"Obese")</f>
        <v>Obese</v>
      </c>
      <c r="K1274" t="str" cm="1">
        <f t="array" ref="K1274">_xlfn.IFS(G1274&lt;10000, "Low", G1274&lt;=25000, "Medium", G1274&gt;25000, "High")</f>
        <v>High</v>
      </c>
    </row>
    <row r="1275" spans="1:11" x14ac:dyDescent="0.3">
      <c r="A1275">
        <v>62</v>
      </c>
      <c r="B1275" s="1" t="s">
        <v>8</v>
      </c>
      <c r="C1275">
        <v>41.23</v>
      </c>
      <c r="D1275">
        <v>3</v>
      </c>
      <c r="E1275" t="s">
        <v>9</v>
      </c>
      <c r="F1275" t="s">
        <v>12</v>
      </c>
      <c r="G1275" s="2">
        <v>41949.244100000004</v>
      </c>
      <c r="H1275" t="str" cm="1">
        <f t="array" ref="H1275">_xlfn.IFS(A1275&lt;=30, "Youth", A1275&lt;=50, "Adult", A1275&gt;50, "Older")</f>
        <v>Older</v>
      </c>
      <c r="I1275" t="str" cm="1">
        <f t="array" ref="I1275">_xlfn.IFS(A1275&lt;=25,"18-25",A1275&lt;=35,"26-35",A1275&lt;=45,"36-45",A1275&lt;=60,"46-60",A1275&gt;60,"60+")</f>
        <v>60+</v>
      </c>
      <c r="J1275" t="str" cm="1">
        <f t="array" ref="J1275">_xlfn.IFS(C1275&lt;18.5,"Underweight",C1275&lt;25,"Normal",C1275&lt;30,"Overweight",C1275&gt;=30,"Obese")</f>
        <v>Obese</v>
      </c>
      <c r="K1275" t="str" cm="1">
        <f t="array" ref="K1275">_xlfn.IFS(G1275&lt;10000, "Low", G1275&lt;=25000, "Medium", G1275&gt;25000, "High")</f>
        <v>High</v>
      </c>
    </row>
    <row r="1276" spans="1:11" x14ac:dyDescent="0.3">
      <c r="A1276">
        <v>62</v>
      </c>
      <c r="B1276" s="1" t="s">
        <v>8</v>
      </c>
      <c r="C1276">
        <v>41.325000000000003</v>
      </c>
      <c r="D1276">
        <v>3</v>
      </c>
      <c r="E1276" t="s">
        <v>10</v>
      </c>
      <c r="F1276" t="s">
        <v>11</v>
      </c>
      <c r="G1276" s="2">
        <v>41999.519999999997</v>
      </c>
      <c r="H1276" t="str" cm="1">
        <f t="array" ref="H1276">_xlfn.IFS(A1276&lt;=30, "Youth", A1276&lt;=50, "Adult", A1276&gt;50, "Older")</f>
        <v>Older</v>
      </c>
      <c r="I1276" t="str" cm="1">
        <f t="array" ref="I1276">_xlfn.IFS(A1276&lt;=25,"18-25",A1276&lt;=35,"26-35",A1276&lt;=45,"36-45",A1276&lt;=60,"46-60",A1276&gt;60,"60+")</f>
        <v>60+</v>
      </c>
      <c r="J1276" t="str" cm="1">
        <f t="array" ref="J1276">_xlfn.IFS(C1276&lt;18.5,"Underweight",C1276&lt;25,"Normal",C1276&lt;30,"Overweight",C1276&gt;=30,"Obese")</f>
        <v>Obese</v>
      </c>
      <c r="K1276" t="str" cm="1">
        <f t="array" ref="K1276">_xlfn.IFS(G1276&lt;10000, "Low", G1276&lt;=25000, "Medium", G1276&gt;25000, "High")</f>
        <v>High</v>
      </c>
    </row>
    <row r="1277" spans="1:11" x14ac:dyDescent="0.3">
      <c r="A1277">
        <v>62</v>
      </c>
      <c r="B1277" s="1" t="s">
        <v>7</v>
      </c>
      <c r="C1277">
        <v>41.325000000000003</v>
      </c>
      <c r="D1277">
        <v>3</v>
      </c>
      <c r="E1277" t="s">
        <v>10</v>
      </c>
      <c r="F1277" t="s">
        <v>14</v>
      </c>
      <c r="G1277" s="2">
        <v>42111.664700000001</v>
      </c>
      <c r="H1277" t="str" cm="1">
        <f t="array" ref="H1277">_xlfn.IFS(A1277&lt;=30, "Youth", A1277&lt;=50, "Adult", A1277&gt;50, "Older")</f>
        <v>Older</v>
      </c>
      <c r="I1277" t="str" cm="1">
        <f t="array" ref="I1277">_xlfn.IFS(A1277&lt;=25,"18-25",A1277&lt;=35,"26-35",A1277&lt;=45,"36-45",A1277&lt;=60,"46-60",A1277&gt;60,"60+")</f>
        <v>60+</v>
      </c>
      <c r="J1277" t="str" cm="1">
        <f t="array" ref="J1277">_xlfn.IFS(C1277&lt;18.5,"Underweight",C1277&lt;25,"Normal",C1277&lt;30,"Overweight",C1277&gt;=30,"Obese")</f>
        <v>Obese</v>
      </c>
      <c r="K1277" t="str" cm="1">
        <f t="array" ref="K1277">_xlfn.IFS(G1277&lt;10000, "Low", G1277&lt;=25000, "Medium", G1277&gt;25000, "High")</f>
        <v>High</v>
      </c>
    </row>
    <row r="1278" spans="1:11" x14ac:dyDescent="0.3">
      <c r="A1278">
        <v>62</v>
      </c>
      <c r="B1278" s="1" t="s">
        <v>7</v>
      </c>
      <c r="C1278">
        <v>41.325000000000003</v>
      </c>
      <c r="D1278">
        <v>3</v>
      </c>
      <c r="E1278" t="s">
        <v>10</v>
      </c>
      <c r="F1278" t="s">
        <v>13</v>
      </c>
      <c r="G1278" s="2">
        <v>42112.2356</v>
      </c>
      <c r="H1278" t="str" cm="1">
        <f t="array" ref="H1278">_xlfn.IFS(A1278&lt;=30, "Youth", A1278&lt;=50, "Adult", A1278&gt;50, "Older")</f>
        <v>Older</v>
      </c>
      <c r="I1278" t="str" cm="1">
        <f t="array" ref="I1278">_xlfn.IFS(A1278&lt;=25,"18-25",A1278&lt;=35,"26-35",A1278&lt;=45,"36-45",A1278&lt;=60,"46-60",A1278&gt;60,"60+")</f>
        <v>60+</v>
      </c>
      <c r="J1278" t="str" cm="1">
        <f t="array" ref="J1278">_xlfn.IFS(C1278&lt;18.5,"Underweight",C1278&lt;25,"Normal",C1278&lt;30,"Overweight",C1278&gt;=30,"Obese")</f>
        <v>Obese</v>
      </c>
      <c r="K1278" t="str" cm="1">
        <f t="array" ref="K1278">_xlfn.IFS(G1278&lt;10000, "Low", G1278&lt;=25000, "Medium", G1278&gt;25000, "High")</f>
        <v>High</v>
      </c>
    </row>
    <row r="1279" spans="1:11" x14ac:dyDescent="0.3">
      <c r="A1279">
        <v>62</v>
      </c>
      <c r="B1279" s="1" t="s">
        <v>8</v>
      </c>
      <c r="C1279">
        <v>41.42</v>
      </c>
      <c r="D1279">
        <v>3</v>
      </c>
      <c r="E1279" t="s">
        <v>9</v>
      </c>
      <c r="F1279" t="s">
        <v>14</v>
      </c>
      <c r="G1279" s="2">
        <v>42124.515299999999</v>
      </c>
      <c r="H1279" t="str" cm="1">
        <f t="array" ref="H1279">_xlfn.IFS(A1279&lt;=30, "Youth", A1279&lt;=50, "Adult", A1279&gt;50, "Older")</f>
        <v>Older</v>
      </c>
      <c r="I1279" t="str" cm="1">
        <f t="array" ref="I1279">_xlfn.IFS(A1279&lt;=25,"18-25",A1279&lt;=35,"26-35",A1279&lt;=45,"36-45",A1279&lt;=60,"46-60",A1279&gt;60,"60+")</f>
        <v>60+</v>
      </c>
      <c r="J1279" t="str" cm="1">
        <f t="array" ref="J1279">_xlfn.IFS(C1279&lt;18.5,"Underweight",C1279&lt;25,"Normal",C1279&lt;30,"Overweight",C1279&gt;=30,"Obese")</f>
        <v>Obese</v>
      </c>
      <c r="K1279" t="str" cm="1">
        <f t="array" ref="K1279">_xlfn.IFS(G1279&lt;10000, "Low", G1279&lt;=25000, "Medium", G1279&gt;25000, "High")</f>
        <v>High</v>
      </c>
    </row>
    <row r="1280" spans="1:11" x14ac:dyDescent="0.3">
      <c r="A1280">
        <v>62</v>
      </c>
      <c r="B1280" s="1" t="s">
        <v>7</v>
      </c>
      <c r="C1280">
        <v>41.47</v>
      </c>
      <c r="D1280">
        <v>3</v>
      </c>
      <c r="E1280" t="s">
        <v>10</v>
      </c>
      <c r="F1280" t="s">
        <v>13</v>
      </c>
      <c r="G1280" s="2">
        <v>42211.138200000001</v>
      </c>
      <c r="H1280" t="str" cm="1">
        <f t="array" ref="H1280">_xlfn.IFS(A1280&lt;=30, "Youth", A1280&lt;=50, "Adult", A1280&gt;50, "Older")</f>
        <v>Older</v>
      </c>
      <c r="I1280" t="str" cm="1">
        <f t="array" ref="I1280">_xlfn.IFS(A1280&lt;=25,"18-25",A1280&lt;=35,"26-35",A1280&lt;=45,"36-45",A1280&lt;=60,"46-60",A1280&gt;60,"60+")</f>
        <v>60+</v>
      </c>
      <c r="J1280" t="str" cm="1">
        <f t="array" ref="J1280">_xlfn.IFS(C1280&lt;18.5,"Underweight",C1280&lt;25,"Normal",C1280&lt;30,"Overweight",C1280&gt;=30,"Obese")</f>
        <v>Obese</v>
      </c>
      <c r="K1280" t="str" cm="1">
        <f t="array" ref="K1280">_xlfn.IFS(G1280&lt;10000, "Low", G1280&lt;=25000, "Medium", G1280&gt;25000, "High")</f>
        <v>High</v>
      </c>
    </row>
    <row r="1281" spans="1:11" x14ac:dyDescent="0.3">
      <c r="A1281">
        <v>62</v>
      </c>
      <c r="B1281" s="1" t="s">
        <v>7</v>
      </c>
      <c r="C1281">
        <v>41.47</v>
      </c>
      <c r="D1281">
        <v>3</v>
      </c>
      <c r="E1281" t="s">
        <v>10</v>
      </c>
      <c r="F1281" t="s">
        <v>12</v>
      </c>
      <c r="G1281" s="2">
        <v>42303.692150000003</v>
      </c>
      <c r="H1281" t="str" cm="1">
        <f t="array" ref="H1281">_xlfn.IFS(A1281&lt;=30, "Youth", A1281&lt;=50, "Adult", A1281&gt;50, "Older")</f>
        <v>Older</v>
      </c>
      <c r="I1281" t="str" cm="1">
        <f t="array" ref="I1281">_xlfn.IFS(A1281&lt;=25,"18-25",A1281&lt;=35,"26-35",A1281&lt;=45,"36-45",A1281&lt;=60,"46-60",A1281&gt;60,"60+")</f>
        <v>60+</v>
      </c>
      <c r="J1281" t="str" cm="1">
        <f t="array" ref="J1281">_xlfn.IFS(C1281&lt;18.5,"Underweight",C1281&lt;25,"Normal",C1281&lt;30,"Overweight",C1281&gt;=30,"Obese")</f>
        <v>Obese</v>
      </c>
      <c r="K1281" t="str" cm="1">
        <f t="array" ref="K1281">_xlfn.IFS(G1281&lt;10000, "Low", G1281&lt;=25000, "Medium", G1281&gt;25000, "High")</f>
        <v>High</v>
      </c>
    </row>
    <row r="1282" spans="1:11" x14ac:dyDescent="0.3">
      <c r="A1282">
        <v>62</v>
      </c>
      <c r="B1282" s="1" t="s">
        <v>7</v>
      </c>
      <c r="C1282">
        <v>41.47</v>
      </c>
      <c r="D1282">
        <v>3</v>
      </c>
      <c r="E1282" t="s">
        <v>9</v>
      </c>
      <c r="F1282" t="s">
        <v>13</v>
      </c>
      <c r="G1282" s="2">
        <v>42560.430399999997</v>
      </c>
      <c r="H1282" t="str" cm="1">
        <f t="array" ref="H1282">_xlfn.IFS(A1282&lt;=30, "Youth", A1282&lt;=50, "Adult", A1282&gt;50, "Older")</f>
        <v>Older</v>
      </c>
      <c r="I1282" t="str" cm="1">
        <f t="array" ref="I1282">_xlfn.IFS(A1282&lt;=25,"18-25",A1282&lt;=35,"26-35",A1282&lt;=45,"36-45",A1282&lt;=60,"46-60",A1282&gt;60,"60+")</f>
        <v>60+</v>
      </c>
      <c r="J1282" t="str" cm="1">
        <f t="array" ref="J1282">_xlfn.IFS(C1282&lt;18.5,"Underweight",C1282&lt;25,"Normal",C1282&lt;30,"Overweight",C1282&gt;=30,"Obese")</f>
        <v>Obese</v>
      </c>
      <c r="K1282" t="str" cm="1">
        <f t="array" ref="K1282">_xlfn.IFS(G1282&lt;10000, "Low", G1282&lt;=25000, "Medium", G1282&gt;25000, "High")</f>
        <v>High</v>
      </c>
    </row>
    <row r="1283" spans="1:11" x14ac:dyDescent="0.3">
      <c r="A1283">
        <v>62</v>
      </c>
      <c r="B1283" s="1" t="s">
        <v>7</v>
      </c>
      <c r="C1283">
        <v>41.69</v>
      </c>
      <c r="D1283">
        <v>3</v>
      </c>
      <c r="E1283" t="s">
        <v>9</v>
      </c>
      <c r="F1283" t="s">
        <v>14</v>
      </c>
      <c r="G1283" s="2">
        <v>42760.502200000003</v>
      </c>
      <c r="H1283" t="str" cm="1">
        <f t="array" ref="H1283">_xlfn.IFS(A1283&lt;=30, "Youth", A1283&lt;=50, "Adult", A1283&gt;50, "Older")</f>
        <v>Older</v>
      </c>
      <c r="I1283" t="str" cm="1">
        <f t="array" ref="I1283">_xlfn.IFS(A1283&lt;=25,"18-25",A1283&lt;=35,"26-35",A1283&lt;=45,"36-45",A1283&lt;=60,"46-60",A1283&gt;60,"60+")</f>
        <v>60+</v>
      </c>
      <c r="J1283" t="str" cm="1">
        <f t="array" ref="J1283">_xlfn.IFS(C1283&lt;18.5,"Underweight",C1283&lt;25,"Normal",C1283&lt;30,"Overweight",C1283&gt;=30,"Obese")</f>
        <v>Obese</v>
      </c>
      <c r="K1283" t="str" cm="1">
        <f t="array" ref="K1283">_xlfn.IFS(G1283&lt;10000, "Low", G1283&lt;=25000, "Medium", G1283&gt;25000, "High")</f>
        <v>High</v>
      </c>
    </row>
    <row r="1284" spans="1:11" x14ac:dyDescent="0.3">
      <c r="A1284">
        <v>62</v>
      </c>
      <c r="B1284" s="1" t="s">
        <v>8</v>
      </c>
      <c r="C1284">
        <v>41.8</v>
      </c>
      <c r="D1284">
        <v>3</v>
      </c>
      <c r="E1284" t="s">
        <v>10</v>
      </c>
      <c r="F1284" t="s">
        <v>12</v>
      </c>
      <c r="G1284" s="2">
        <v>42856.838000000003</v>
      </c>
      <c r="H1284" t="str" cm="1">
        <f t="array" ref="H1284">_xlfn.IFS(A1284&lt;=30, "Youth", A1284&lt;=50, "Adult", A1284&gt;50, "Older")</f>
        <v>Older</v>
      </c>
      <c r="I1284" t="str" cm="1">
        <f t="array" ref="I1284">_xlfn.IFS(A1284&lt;=25,"18-25",A1284&lt;=35,"26-35",A1284&lt;=45,"36-45",A1284&lt;=60,"46-60",A1284&gt;60,"60+")</f>
        <v>60+</v>
      </c>
      <c r="J1284" t="str" cm="1">
        <f t="array" ref="J1284">_xlfn.IFS(C1284&lt;18.5,"Underweight",C1284&lt;25,"Normal",C1284&lt;30,"Overweight",C1284&gt;=30,"Obese")</f>
        <v>Obese</v>
      </c>
      <c r="K1284" t="str" cm="1">
        <f t="array" ref="K1284">_xlfn.IFS(G1284&lt;10000, "Low", G1284&lt;=25000, "Medium", G1284&gt;25000, "High")</f>
        <v>High</v>
      </c>
    </row>
    <row r="1285" spans="1:11" x14ac:dyDescent="0.3">
      <c r="A1285">
        <v>62</v>
      </c>
      <c r="B1285" s="1" t="s">
        <v>8</v>
      </c>
      <c r="C1285">
        <v>41.8</v>
      </c>
      <c r="D1285">
        <v>3</v>
      </c>
      <c r="E1285" t="s">
        <v>9</v>
      </c>
      <c r="F1285" t="s">
        <v>11</v>
      </c>
      <c r="G1285" s="2">
        <v>42969.852700000003</v>
      </c>
      <c r="H1285" t="str" cm="1">
        <f t="array" ref="H1285">_xlfn.IFS(A1285&lt;=30, "Youth", A1285&lt;=50, "Adult", A1285&gt;50, "Older")</f>
        <v>Older</v>
      </c>
      <c r="I1285" t="str" cm="1">
        <f t="array" ref="I1285">_xlfn.IFS(A1285&lt;=25,"18-25",A1285&lt;=35,"26-35",A1285&lt;=45,"36-45",A1285&lt;=60,"46-60",A1285&gt;60,"60+")</f>
        <v>60+</v>
      </c>
      <c r="J1285" t="str" cm="1">
        <f t="array" ref="J1285">_xlfn.IFS(C1285&lt;18.5,"Underweight",C1285&lt;25,"Normal",C1285&lt;30,"Overweight",C1285&gt;=30,"Obese")</f>
        <v>Obese</v>
      </c>
      <c r="K1285" t="str" cm="1">
        <f t="array" ref="K1285">_xlfn.IFS(G1285&lt;10000, "Low", G1285&lt;=25000, "Medium", G1285&gt;25000, "High")</f>
        <v>High</v>
      </c>
    </row>
    <row r="1286" spans="1:11" x14ac:dyDescent="0.3">
      <c r="A1286">
        <v>62</v>
      </c>
      <c r="B1286" s="1" t="s">
        <v>7</v>
      </c>
      <c r="C1286">
        <v>41.895000000000003</v>
      </c>
      <c r="D1286">
        <v>3</v>
      </c>
      <c r="E1286" t="s">
        <v>10</v>
      </c>
      <c r="F1286" t="s">
        <v>14</v>
      </c>
      <c r="G1286" s="2">
        <v>42983.458500000001</v>
      </c>
      <c r="H1286" t="str" cm="1">
        <f t="array" ref="H1286">_xlfn.IFS(A1286&lt;=30, "Youth", A1286&lt;=50, "Adult", A1286&gt;50, "Older")</f>
        <v>Older</v>
      </c>
      <c r="I1286" t="str" cm="1">
        <f t="array" ref="I1286">_xlfn.IFS(A1286&lt;=25,"18-25",A1286&lt;=35,"26-35",A1286&lt;=45,"36-45",A1286&lt;=60,"46-60",A1286&gt;60,"60+")</f>
        <v>60+</v>
      </c>
      <c r="J1286" t="str" cm="1">
        <f t="array" ref="J1286">_xlfn.IFS(C1286&lt;18.5,"Underweight",C1286&lt;25,"Normal",C1286&lt;30,"Overweight",C1286&gt;=30,"Obese")</f>
        <v>Obese</v>
      </c>
      <c r="K1286" t="str" cm="1">
        <f t="array" ref="K1286">_xlfn.IFS(G1286&lt;10000, "Low", G1286&lt;=25000, "Medium", G1286&gt;25000, "High")</f>
        <v>High</v>
      </c>
    </row>
    <row r="1287" spans="1:11" x14ac:dyDescent="0.3">
      <c r="A1287">
        <v>62</v>
      </c>
      <c r="B1287" s="1" t="s">
        <v>7</v>
      </c>
      <c r="C1287">
        <v>41.91</v>
      </c>
      <c r="D1287">
        <v>3</v>
      </c>
      <c r="E1287" t="s">
        <v>10</v>
      </c>
      <c r="F1287" t="s">
        <v>14</v>
      </c>
      <c r="G1287" s="2">
        <v>43254.417950000003</v>
      </c>
      <c r="H1287" t="str" cm="1">
        <f t="array" ref="H1287">_xlfn.IFS(A1287&lt;=30, "Youth", A1287&lt;=50, "Adult", A1287&gt;50, "Older")</f>
        <v>Older</v>
      </c>
      <c r="I1287" t="str" cm="1">
        <f t="array" ref="I1287">_xlfn.IFS(A1287&lt;=25,"18-25",A1287&lt;=35,"26-35",A1287&lt;=45,"36-45",A1287&lt;=60,"46-60",A1287&gt;60,"60+")</f>
        <v>60+</v>
      </c>
      <c r="J1287" t="str" cm="1">
        <f t="array" ref="J1287">_xlfn.IFS(C1287&lt;18.5,"Underweight",C1287&lt;25,"Normal",C1287&lt;30,"Overweight",C1287&gt;=30,"Obese")</f>
        <v>Obese</v>
      </c>
      <c r="K1287" t="str" cm="1">
        <f t="array" ref="K1287">_xlfn.IFS(G1287&lt;10000, "Low", G1287&lt;=25000, "Medium", G1287&gt;25000, "High")</f>
        <v>High</v>
      </c>
    </row>
    <row r="1288" spans="1:11" x14ac:dyDescent="0.3">
      <c r="A1288">
        <v>62</v>
      </c>
      <c r="B1288" s="1" t="s">
        <v>7</v>
      </c>
      <c r="C1288">
        <v>41.91</v>
      </c>
      <c r="D1288">
        <v>3</v>
      </c>
      <c r="E1288" t="s">
        <v>10</v>
      </c>
      <c r="F1288" t="s">
        <v>11</v>
      </c>
      <c r="G1288" s="2">
        <v>43578.939400000003</v>
      </c>
      <c r="H1288" t="str" cm="1">
        <f t="array" ref="H1288">_xlfn.IFS(A1288&lt;=30, "Youth", A1288&lt;=50, "Adult", A1288&gt;50, "Older")</f>
        <v>Older</v>
      </c>
      <c r="I1288" t="str" cm="1">
        <f t="array" ref="I1288">_xlfn.IFS(A1288&lt;=25,"18-25",A1288&lt;=35,"26-35",A1288&lt;=45,"36-45",A1288&lt;=60,"46-60",A1288&gt;60,"60+")</f>
        <v>60+</v>
      </c>
      <c r="J1288" t="str" cm="1">
        <f t="array" ref="J1288">_xlfn.IFS(C1288&lt;18.5,"Underweight",C1288&lt;25,"Normal",C1288&lt;30,"Overweight",C1288&gt;=30,"Obese")</f>
        <v>Obese</v>
      </c>
      <c r="K1288" t="str" cm="1">
        <f t="array" ref="K1288">_xlfn.IFS(G1288&lt;10000, "Low", G1288&lt;=25000, "Medium", G1288&gt;25000, "High")</f>
        <v>High</v>
      </c>
    </row>
    <row r="1289" spans="1:11" x14ac:dyDescent="0.3">
      <c r="A1289">
        <v>62</v>
      </c>
      <c r="B1289" s="1" t="s">
        <v>8</v>
      </c>
      <c r="C1289">
        <v>41.91</v>
      </c>
      <c r="D1289">
        <v>3</v>
      </c>
      <c r="E1289" t="s">
        <v>9</v>
      </c>
      <c r="F1289" t="s">
        <v>11</v>
      </c>
      <c r="G1289" s="2">
        <v>43753.337050000002</v>
      </c>
      <c r="H1289" t="str" cm="1">
        <f t="array" ref="H1289">_xlfn.IFS(A1289&lt;=30, "Youth", A1289&lt;=50, "Adult", A1289&gt;50, "Older")</f>
        <v>Older</v>
      </c>
      <c r="I1289" t="str" cm="1">
        <f t="array" ref="I1289">_xlfn.IFS(A1289&lt;=25,"18-25",A1289&lt;=35,"26-35",A1289&lt;=45,"36-45",A1289&lt;=60,"46-60",A1289&gt;60,"60+")</f>
        <v>60+</v>
      </c>
      <c r="J1289" t="str" cm="1">
        <f t="array" ref="J1289">_xlfn.IFS(C1289&lt;18.5,"Underweight",C1289&lt;25,"Normal",C1289&lt;30,"Overweight",C1289&gt;=30,"Obese")</f>
        <v>Obese</v>
      </c>
      <c r="K1289" t="str" cm="1">
        <f t="array" ref="K1289">_xlfn.IFS(G1289&lt;10000, "Low", G1289&lt;=25000, "Medium", G1289&gt;25000, "High")</f>
        <v>High</v>
      </c>
    </row>
    <row r="1290" spans="1:11" x14ac:dyDescent="0.3">
      <c r="A1290">
        <v>62</v>
      </c>
      <c r="B1290" s="1" t="s">
        <v>8</v>
      </c>
      <c r="C1290">
        <v>42.13</v>
      </c>
      <c r="D1290">
        <v>3</v>
      </c>
      <c r="E1290" t="s">
        <v>10</v>
      </c>
      <c r="F1290" t="s">
        <v>12</v>
      </c>
      <c r="G1290" s="2">
        <v>43813.866099999999</v>
      </c>
      <c r="H1290" t="str" cm="1">
        <f t="array" ref="H1290">_xlfn.IFS(A1290&lt;=30, "Youth", A1290&lt;=50, "Adult", A1290&gt;50, "Older")</f>
        <v>Older</v>
      </c>
      <c r="I1290" t="str" cm="1">
        <f t="array" ref="I1290">_xlfn.IFS(A1290&lt;=25,"18-25",A1290&lt;=35,"26-35",A1290&lt;=45,"36-45",A1290&lt;=60,"46-60",A1290&gt;60,"60+")</f>
        <v>60+</v>
      </c>
      <c r="J1290" t="str" cm="1">
        <f t="array" ref="J1290">_xlfn.IFS(C1290&lt;18.5,"Underweight",C1290&lt;25,"Normal",C1290&lt;30,"Overweight",C1290&gt;=30,"Obese")</f>
        <v>Obese</v>
      </c>
      <c r="K1290" t="str" cm="1">
        <f t="array" ref="K1290">_xlfn.IFS(G1290&lt;10000, "Low", G1290&lt;=25000, "Medium", G1290&gt;25000, "High")</f>
        <v>High</v>
      </c>
    </row>
    <row r="1291" spans="1:11" x14ac:dyDescent="0.3">
      <c r="A1291">
        <v>62</v>
      </c>
      <c r="B1291" s="1" t="s">
        <v>7</v>
      </c>
      <c r="C1291">
        <v>42.13</v>
      </c>
      <c r="D1291">
        <v>3</v>
      </c>
      <c r="E1291" t="s">
        <v>10</v>
      </c>
      <c r="F1291" t="s">
        <v>14</v>
      </c>
      <c r="G1291" s="2">
        <v>43896.376300000004</v>
      </c>
      <c r="H1291" t="str" cm="1">
        <f t="array" ref="H1291">_xlfn.IFS(A1291&lt;=30, "Youth", A1291&lt;=50, "Adult", A1291&gt;50, "Older")</f>
        <v>Older</v>
      </c>
      <c r="I1291" t="str" cm="1">
        <f t="array" ref="I1291">_xlfn.IFS(A1291&lt;=25,"18-25",A1291&lt;=35,"26-35",A1291&lt;=45,"36-45",A1291&lt;=60,"46-60",A1291&gt;60,"60+")</f>
        <v>60+</v>
      </c>
      <c r="J1291" t="str" cm="1">
        <f t="array" ref="J1291">_xlfn.IFS(C1291&lt;18.5,"Underweight",C1291&lt;25,"Normal",C1291&lt;30,"Overweight",C1291&gt;=30,"Obese")</f>
        <v>Obese</v>
      </c>
      <c r="K1291" t="str" cm="1">
        <f t="array" ref="K1291">_xlfn.IFS(G1291&lt;10000, "Low", G1291&lt;=25000, "Medium", G1291&gt;25000, "High")</f>
        <v>High</v>
      </c>
    </row>
    <row r="1292" spans="1:11" x14ac:dyDescent="0.3">
      <c r="A1292">
        <v>62</v>
      </c>
      <c r="B1292" s="1" t="s">
        <v>8</v>
      </c>
      <c r="C1292">
        <v>42.13</v>
      </c>
      <c r="D1292">
        <v>3</v>
      </c>
      <c r="E1292" t="s">
        <v>9</v>
      </c>
      <c r="F1292" t="s">
        <v>11</v>
      </c>
      <c r="G1292" s="2">
        <v>43921.183700000001</v>
      </c>
      <c r="H1292" t="str" cm="1">
        <f t="array" ref="H1292">_xlfn.IFS(A1292&lt;=30, "Youth", A1292&lt;=50, "Adult", A1292&gt;50, "Older")</f>
        <v>Older</v>
      </c>
      <c r="I1292" t="str" cm="1">
        <f t="array" ref="I1292">_xlfn.IFS(A1292&lt;=25,"18-25",A1292&lt;=35,"26-35",A1292&lt;=45,"36-45",A1292&lt;=60,"46-60",A1292&gt;60,"60+")</f>
        <v>60+</v>
      </c>
      <c r="J1292" t="str" cm="1">
        <f t="array" ref="J1292">_xlfn.IFS(C1292&lt;18.5,"Underweight",C1292&lt;25,"Normal",C1292&lt;30,"Overweight",C1292&gt;=30,"Obese")</f>
        <v>Obese</v>
      </c>
      <c r="K1292" t="str" cm="1">
        <f t="array" ref="K1292">_xlfn.IFS(G1292&lt;10000, "Low", G1292&lt;=25000, "Medium", G1292&gt;25000, "High")</f>
        <v>High</v>
      </c>
    </row>
    <row r="1293" spans="1:11" x14ac:dyDescent="0.3">
      <c r="A1293">
        <v>62</v>
      </c>
      <c r="B1293" s="1" t="s">
        <v>8</v>
      </c>
      <c r="C1293">
        <v>42.13</v>
      </c>
      <c r="D1293">
        <v>3</v>
      </c>
      <c r="E1293" t="s">
        <v>10</v>
      </c>
      <c r="F1293" t="s">
        <v>12</v>
      </c>
      <c r="G1293" s="2">
        <v>43943.876100000001</v>
      </c>
      <c r="H1293" t="str" cm="1">
        <f t="array" ref="H1293">_xlfn.IFS(A1293&lt;=30, "Youth", A1293&lt;=50, "Adult", A1293&gt;50, "Older")</f>
        <v>Older</v>
      </c>
      <c r="I1293" t="str" cm="1">
        <f t="array" ref="I1293">_xlfn.IFS(A1293&lt;=25,"18-25",A1293&lt;=35,"26-35",A1293&lt;=45,"36-45",A1293&lt;=60,"46-60",A1293&gt;60,"60+")</f>
        <v>60+</v>
      </c>
      <c r="J1293" t="str" cm="1">
        <f t="array" ref="J1293">_xlfn.IFS(C1293&lt;18.5,"Underweight",C1293&lt;25,"Normal",C1293&lt;30,"Overweight",C1293&gt;=30,"Obese")</f>
        <v>Obese</v>
      </c>
      <c r="K1293" t="str" cm="1">
        <f t="array" ref="K1293">_xlfn.IFS(G1293&lt;10000, "Low", G1293&lt;=25000, "Medium", G1293&gt;25000, "High")</f>
        <v>High</v>
      </c>
    </row>
    <row r="1294" spans="1:11" x14ac:dyDescent="0.3">
      <c r="A1294">
        <v>63</v>
      </c>
      <c r="B1294" s="1" t="s">
        <v>8</v>
      </c>
      <c r="C1294">
        <v>42.24</v>
      </c>
      <c r="D1294">
        <v>3</v>
      </c>
      <c r="E1294" t="s">
        <v>10</v>
      </c>
      <c r="F1294" t="s">
        <v>13</v>
      </c>
      <c r="G1294" s="2">
        <v>44202.653599999998</v>
      </c>
      <c r="H1294" t="str" cm="1">
        <f t="array" ref="H1294">_xlfn.IFS(A1294&lt;=30, "Youth", A1294&lt;=50, "Adult", A1294&gt;50, "Older")</f>
        <v>Older</v>
      </c>
      <c r="I1294" t="str" cm="1">
        <f t="array" ref="I1294">_xlfn.IFS(A1294&lt;=25,"18-25",A1294&lt;=35,"26-35",A1294&lt;=45,"36-45",A1294&lt;=60,"46-60",A1294&gt;60,"60+")</f>
        <v>60+</v>
      </c>
      <c r="J1294" t="str" cm="1">
        <f t="array" ref="J1294">_xlfn.IFS(C1294&lt;18.5,"Underweight",C1294&lt;25,"Normal",C1294&lt;30,"Overweight",C1294&gt;=30,"Obese")</f>
        <v>Obese</v>
      </c>
      <c r="K1294" t="str" cm="1">
        <f t="array" ref="K1294">_xlfn.IFS(G1294&lt;10000, "Low", G1294&lt;=25000, "Medium", G1294&gt;25000, "High")</f>
        <v>High</v>
      </c>
    </row>
    <row r="1295" spans="1:11" x14ac:dyDescent="0.3">
      <c r="A1295">
        <v>63</v>
      </c>
      <c r="B1295" s="1" t="s">
        <v>8</v>
      </c>
      <c r="C1295">
        <v>42.35</v>
      </c>
      <c r="D1295">
        <v>3</v>
      </c>
      <c r="E1295" t="s">
        <v>10</v>
      </c>
      <c r="F1295" t="s">
        <v>14</v>
      </c>
      <c r="G1295" s="2">
        <v>44260.749900000003</v>
      </c>
      <c r="H1295" t="str" cm="1">
        <f t="array" ref="H1295">_xlfn.IFS(A1295&lt;=30, "Youth", A1295&lt;=50, "Adult", A1295&gt;50, "Older")</f>
        <v>Older</v>
      </c>
      <c r="I1295" t="str" cm="1">
        <f t="array" ref="I1295">_xlfn.IFS(A1295&lt;=25,"18-25",A1295&lt;=35,"26-35",A1295&lt;=45,"36-45",A1295&lt;=60,"46-60",A1295&gt;60,"60+")</f>
        <v>60+</v>
      </c>
      <c r="J1295" t="str" cm="1">
        <f t="array" ref="J1295">_xlfn.IFS(C1295&lt;18.5,"Underweight",C1295&lt;25,"Normal",C1295&lt;30,"Overweight",C1295&gt;=30,"Obese")</f>
        <v>Obese</v>
      </c>
      <c r="K1295" t="str" cm="1">
        <f t="array" ref="K1295">_xlfn.IFS(G1295&lt;10000, "Low", G1295&lt;=25000, "Medium", G1295&gt;25000, "High")</f>
        <v>High</v>
      </c>
    </row>
    <row r="1296" spans="1:11" x14ac:dyDescent="0.3">
      <c r="A1296">
        <v>63</v>
      </c>
      <c r="B1296" s="1" t="s">
        <v>8</v>
      </c>
      <c r="C1296">
        <v>42.4</v>
      </c>
      <c r="D1296">
        <v>4</v>
      </c>
      <c r="E1296" t="s">
        <v>10</v>
      </c>
      <c r="F1296" t="s">
        <v>11</v>
      </c>
      <c r="G1296" s="2">
        <v>44400.4064</v>
      </c>
      <c r="H1296" t="str" cm="1">
        <f t="array" ref="H1296">_xlfn.IFS(A1296&lt;=30, "Youth", A1296&lt;=50, "Adult", A1296&gt;50, "Older")</f>
        <v>Older</v>
      </c>
      <c r="I1296" t="str" cm="1">
        <f t="array" ref="I1296">_xlfn.IFS(A1296&lt;=25,"18-25",A1296&lt;=35,"26-35",A1296&lt;=45,"36-45",A1296&lt;=60,"46-60",A1296&gt;60,"60+")</f>
        <v>60+</v>
      </c>
      <c r="J1296" t="str" cm="1">
        <f t="array" ref="J1296">_xlfn.IFS(C1296&lt;18.5,"Underweight",C1296&lt;25,"Normal",C1296&lt;30,"Overweight",C1296&gt;=30,"Obese")</f>
        <v>Obese</v>
      </c>
      <c r="K1296" t="str" cm="1">
        <f t="array" ref="K1296">_xlfn.IFS(G1296&lt;10000, "Low", G1296&lt;=25000, "Medium", G1296&gt;25000, "High")</f>
        <v>High</v>
      </c>
    </row>
    <row r="1297" spans="1:11" x14ac:dyDescent="0.3">
      <c r="A1297">
        <v>63</v>
      </c>
      <c r="B1297" s="1" t="s">
        <v>8</v>
      </c>
      <c r="C1297">
        <v>42.4</v>
      </c>
      <c r="D1297">
        <v>4</v>
      </c>
      <c r="E1297" t="s">
        <v>10</v>
      </c>
      <c r="F1297" t="s">
        <v>14</v>
      </c>
      <c r="G1297" s="2">
        <v>44423.803</v>
      </c>
      <c r="H1297" t="str" cm="1">
        <f t="array" ref="H1297">_xlfn.IFS(A1297&lt;=30, "Youth", A1297&lt;=50, "Adult", A1297&gt;50, "Older")</f>
        <v>Older</v>
      </c>
      <c r="I1297" t="str" cm="1">
        <f t="array" ref="I1297">_xlfn.IFS(A1297&lt;=25,"18-25",A1297&lt;=35,"26-35",A1297&lt;=45,"36-45",A1297&lt;=60,"46-60",A1297&gt;60,"60+")</f>
        <v>60+</v>
      </c>
      <c r="J1297" t="str" cm="1">
        <f t="array" ref="J1297">_xlfn.IFS(C1297&lt;18.5,"Underweight",C1297&lt;25,"Normal",C1297&lt;30,"Overweight",C1297&gt;=30,"Obese")</f>
        <v>Obese</v>
      </c>
      <c r="K1297" t="str" cm="1">
        <f t="array" ref="K1297">_xlfn.IFS(G1297&lt;10000, "Low", G1297&lt;=25000, "Medium", G1297&gt;25000, "High")</f>
        <v>High</v>
      </c>
    </row>
    <row r="1298" spans="1:11" x14ac:dyDescent="0.3">
      <c r="A1298">
        <v>63</v>
      </c>
      <c r="B1298" s="1" t="s">
        <v>7</v>
      </c>
      <c r="C1298">
        <v>42.46</v>
      </c>
      <c r="D1298">
        <v>4</v>
      </c>
      <c r="E1298" t="s">
        <v>10</v>
      </c>
      <c r="F1298" t="s">
        <v>12</v>
      </c>
      <c r="G1298" s="2">
        <v>44501.398200000003</v>
      </c>
      <c r="H1298" t="str" cm="1">
        <f t="array" ref="H1298">_xlfn.IFS(A1298&lt;=30, "Youth", A1298&lt;=50, "Adult", A1298&gt;50, "Older")</f>
        <v>Older</v>
      </c>
      <c r="I1298" t="str" cm="1">
        <f t="array" ref="I1298">_xlfn.IFS(A1298&lt;=25,"18-25",A1298&lt;=35,"26-35",A1298&lt;=45,"36-45",A1298&lt;=60,"46-60",A1298&gt;60,"60+")</f>
        <v>60+</v>
      </c>
      <c r="J1298" t="str" cm="1">
        <f t="array" ref="J1298">_xlfn.IFS(C1298&lt;18.5,"Underweight",C1298&lt;25,"Normal",C1298&lt;30,"Overweight",C1298&gt;=30,"Obese")</f>
        <v>Obese</v>
      </c>
      <c r="K1298" t="str" cm="1">
        <f t="array" ref="K1298">_xlfn.IFS(G1298&lt;10000, "Low", G1298&lt;=25000, "Medium", G1298&gt;25000, "High")</f>
        <v>High</v>
      </c>
    </row>
    <row r="1299" spans="1:11" x14ac:dyDescent="0.3">
      <c r="A1299">
        <v>63</v>
      </c>
      <c r="B1299" s="1" t="s">
        <v>8</v>
      </c>
      <c r="C1299">
        <v>42.655000000000001</v>
      </c>
      <c r="D1299">
        <v>4</v>
      </c>
      <c r="E1299" t="s">
        <v>10</v>
      </c>
      <c r="F1299" t="s">
        <v>13</v>
      </c>
      <c r="G1299" s="2">
        <v>44585.455869999998</v>
      </c>
      <c r="H1299" t="str" cm="1">
        <f t="array" ref="H1299">_xlfn.IFS(A1299&lt;=30, "Youth", A1299&lt;=50, "Adult", A1299&gt;50, "Older")</f>
        <v>Older</v>
      </c>
      <c r="I1299" t="str" cm="1">
        <f t="array" ref="I1299">_xlfn.IFS(A1299&lt;=25,"18-25",A1299&lt;=35,"26-35",A1299&lt;=45,"36-45",A1299&lt;=60,"46-60",A1299&gt;60,"60+")</f>
        <v>60+</v>
      </c>
      <c r="J1299" t="str" cm="1">
        <f t="array" ref="J1299">_xlfn.IFS(C1299&lt;18.5,"Underweight",C1299&lt;25,"Normal",C1299&lt;30,"Overweight",C1299&gt;=30,"Obese")</f>
        <v>Obese</v>
      </c>
      <c r="K1299" t="str" cm="1">
        <f t="array" ref="K1299">_xlfn.IFS(G1299&lt;10000, "Low", G1299&lt;=25000, "Medium", G1299&gt;25000, "High")</f>
        <v>High</v>
      </c>
    </row>
    <row r="1300" spans="1:11" x14ac:dyDescent="0.3">
      <c r="A1300">
        <v>63</v>
      </c>
      <c r="B1300" s="1" t="s">
        <v>7</v>
      </c>
      <c r="C1300">
        <v>42.68</v>
      </c>
      <c r="D1300">
        <v>4</v>
      </c>
      <c r="E1300" t="s">
        <v>10</v>
      </c>
      <c r="F1300" t="s">
        <v>13</v>
      </c>
      <c r="G1300" s="2">
        <v>44641.197399999997</v>
      </c>
      <c r="H1300" t="str" cm="1">
        <f t="array" ref="H1300">_xlfn.IFS(A1300&lt;=30, "Youth", A1300&lt;=50, "Adult", A1300&gt;50, "Older")</f>
        <v>Older</v>
      </c>
      <c r="I1300" t="str" cm="1">
        <f t="array" ref="I1300">_xlfn.IFS(A1300&lt;=25,"18-25",A1300&lt;=35,"26-35",A1300&lt;=45,"36-45",A1300&lt;=60,"46-60",A1300&gt;60,"60+")</f>
        <v>60+</v>
      </c>
      <c r="J1300" t="str" cm="1">
        <f t="array" ref="J1300">_xlfn.IFS(C1300&lt;18.5,"Underweight",C1300&lt;25,"Normal",C1300&lt;30,"Overweight",C1300&gt;=30,"Obese")</f>
        <v>Obese</v>
      </c>
      <c r="K1300" t="str" cm="1">
        <f t="array" ref="K1300">_xlfn.IFS(G1300&lt;10000, "Low", G1300&lt;=25000, "Medium", G1300&gt;25000, "High")</f>
        <v>High</v>
      </c>
    </row>
    <row r="1301" spans="1:11" x14ac:dyDescent="0.3">
      <c r="A1301">
        <v>63</v>
      </c>
      <c r="B1301" s="1" t="s">
        <v>8</v>
      </c>
      <c r="C1301">
        <v>42.75</v>
      </c>
      <c r="D1301">
        <v>4</v>
      </c>
      <c r="E1301" t="s">
        <v>9</v>
      </c>
      <c r="F1301" t="s">
        <v>12</v>
      </c>
      <c r="G1301" s="2">
        <v>45008.955499999996</v>
      </c>
      <c r="H1301" t="str" cm="1">
        <f t="array" ref="H1301">_xlfn.IFS(A1301&lt;=30, "Youth", A1301&lt;=50, "Adult", A1301&gt;50, "Older")</f>
        <v>Older</v>
      </c>
      <c r="I1301" t="str" cm="1">
        <f t="array" ref="I1301">_xlfn.IFS(A1301&lt;=25,"18-25",A1301&lt;=35,"26-35",A1301&lt;=45,"36-45",A1301&lt;=60,"46-60",A1301&gt;60,"60+")</f>
        <v>60+</v>
      </c>
      <c r="J1301" t="str" cm="1">
        <f t="array" ref="J1301">_xlfn.IFS(C1301&lt;18.5,"Underweight",C1301&lt;25,"Normal",C1301&lt;30,"Overweight",C1301&gt;=30,"Obese")</f>
        <v>Obese</v>
      </c>
      <c r="K1301" t="str" cm="1">
        <f t="array" ref="K1301">_xlfn.IFS(G1301&lt;10000, "Low", G1301&lt;=25000, "Medium", G1301&gt;25000, "High")</f>
        <v>High</v>
      </c>
    </row>
    <row r="1302" spans="1:11" x14ac:dyDescent="0.3">
      <c r="A1302">
        <v>63</v>
      </c>
      <c r="B1302" s="1" t="s">
        <v>8</v>
      </c>
      <c r="C1302">
        <v>42.9</v>
      </c>
      <c r="D1302">
        <v>4</v>
      </c>
      <c r="E1302" t="s">
        <v>9</v>
      </c>
      <c r="F1302" t="s">
        <v>13</v>
      </c>
      <c r="G1302" s="2">
        <v>45702.022349999999</v>
      </c>
      <c r="H1302" t="str" cm="1">
        <f t="array" ref="H1302">_xlfn.IFS(A1302&lt;=30, "Youth", A1302&lt;=50, "Adult", A1302&gt;50, "Older")</f>
        <v>Older</v>
      </c>
      <c r="I1302" t="str" cm="1">
        <f t="array" ref="I1302">_xlfn.IFS(A1302&lt;=25,"18-25",A1302&lt;=35,"26-35",A1302&lt;=45,"36-45",A1302&lt;=60,"46-60",A1302&gt;60,"60+")</f>
        <v>60+</v>
      </c>
      <c r="J1302" t="str" cm="1">
        <f t="array" ref="J1302">_xlfn.IFS(C1302&lt;18.5,"Underweight",C1302&lt;25,"Normal",C1302&lt;30,"Overweight",C1302&gt;=30,"Obese")</f>
        <v>Obese</v>
      </c>
      <c r="K1302" t="str" cm="1">
        <f t="array" ref="K1302">_xlfn.IFS(G1302&lt;10000, "Low", G1302&lt;=25000, "Medium", G1302&gt;25000, "High")</f>
        <v>High</v>
      </c>
    </row>
    <row r="1303" spans="1:11" x14ac:dyDescent="0.3">
      <c r="A1303">
        <v>63</v>
      </c>
      <c r="B1303" s="1" t="s">
        <v>7</v>
      </c>
      <c r="C1303">
        <v>42.9</v>
      </c>
      <c r="D1303">
        <v>4</v>
      </c>
      <c r="E1303" t="s">
        <v>10</v>
      </c>
      <c r="F1303" t="s">
        <v>11</v>
      </c>
      <c r="G1303" s="2">
        <v>45710.207849999999</v>
      </c>
      <c r="H1303" t="str" cm="1">
        <f t="array" ref="H1303">_xlfn.IFS(A1303&lt;=30, "Youth", A1303&lt;=50, "Adult", A1303&gt;50, "Older")</f>
        <v>Older</v>
      </c>
      <c r="I1303" t="str" cm="1">
        <f t="array" ref="I1303">_xlfn.IFS(A1303&lt;=25,"18-25",A1303&lt;=35,"26-35",A1303&lt;=45,"36-45",A1303&lt;=60,"46-60",A1303&gt;60,"60+")</f>
        <v>60+</v>
      </c>
      <c r="J1303" t="str" cm="1">
        <f t="array" ref="J1303">_xlfn.IFS(C1303&lt;18.5,"Underweight",C1303&lt;25,"Normal",C1303&lt;30,"Overweight",C1303&gt;=30,"Obese")</f>
        <v>Obese</v>
      </c>
      <c r="K1303" t="str" cm="1">
        <f t="array" ref="K1303">_xlfn.IFS(G1303&lt;10000, "Low", G1303&lt;=25000, "Medium", G1303&gt;25000, "High")</f>
        <v>High</v>
      </c>
    </row>
    <row r="1304" spans="1:11" x14ac:dyDescent="0.3">
      <c r="A1304">
        <v>63</v>
      </c>
      <c r="B1304" s="1" t="s">
        <v>8</v>
      </c>
      <c r="C1304">
        <v>42.94</v>
      </c>
      <c r="D1304">
        <v>4</v>
      </c>
      <c r="E1304" t="s">
        <v>9</v>
      </c>
      <c r="F1304" t="s">
        <v>11</v>
      </c>
      <c r="G1304" s="2">
        <v>45863.205000000002</v>
      </c>
      <c r="H1304" t="str" cm="1">
        <f t="array" ref="H1304">_xlfn.IFS(A1304&lt;=30, "Youth", A1304&lt;=50, "Adult", A1304&gt;50, "Older")</f>
        <v>Older</v>
      </c>
      <c r="I1304" t="str" cm="1">
        <f t="array" ref="I1304">_xlfn.IFS(A1304&lt;=25,"18-25",A1304&lt;=35,"26-35",A1304&lt;=45,"36-45",A1304&lt;=60,"46-60",A1304&gt;60,"60+")</f>
        <v>60+</v>
      </c>
      <c r="J1304" t="str" cm="1">
        <f t="array" ref="J1304">_xlfn.IFS(C1304&lt;18.5,"Underweight",C1304&lt;25,"Normal",C1304&lt;30,"Overweight",C1304&gt;=30,"Obese")</f>
        <v>Obese</v>
      </c>
      <c r="K1304" t="str" cm="1">
        <f t="array" ref="K1304">_xlfn.IFS(G1304&lt;10000, "Low", G1304&lt;=25000, "Medium", G1304&gt;25000, "High")</f>
        <v>High</v>
      </c>
    </row>
    <row r="1305" spans="1:11" x14ac:dyDescent="0.3">
      <c r="A1305">
        <v>63</v>
      </c>
      <c r="B1305" s="1" t="s">
        <v>8</v>
      </c>
      <c r="C1305">
        <v>43.01</v>
      </c>
      <c r="D1305">
        <v>4</v>
      </c>
      <c r="E1305" t="s">
        <v>9</v>
      </c>
      <c r="F1305" t="s">
        <v>14</v>
      </c>
      <c r="G1305" s="2">
        <v>46113.510999999999</v>
      </c>
      <c r="H1305" t="str" cm="1">
        <f t="array" ref="H1305">_xlfn.IFS(A1305&lt;=30, "Youth", A1305&lt;=50, "Adult", A1305&gt;50, "Older")</f>
        <v>Older</v>
      </c>
      <c r="I1305" t="str" cm="1">
        <f t="array" ref="I1305">_xlfn.IFS(A1305&lt;=25,"18-25",A1305&lt;=35,"26-35",A1305&lt;=45,"36-45",A1305&lt;=60,"46-60",A1305&gt;60,"60+")</f>
        <v>60+</v>
      </c>
      <c r="J1305" t="str" cm="1">
        <f t="array" ref="J1305">_xlfn.IFS(C1305&lt;18.5,"Underweight",C1305&lt;25,"Normal",C1305&lt;30,"Overweight",C1305&gt;=30,"Obese")</f>
        <v>Obese</v>
      </c>
      <c r="K1305" t="str" cm="1">
        <f t="array" ref="K1305">_xlfn.IFS(G1305&lt;10000, "Low", G1305&lt;=25000, "Medium", G1305&gt;25000, "High")</f>
        <v>High</v>
      </c>
    </row>
    <row r="1306" spans="1:11" x14ac:dyDescent="0.3">
      <c r="A1306">
        <v>63</v>
      </c>
      <c r="B1306" s="1" t="s">
        <v>7</v>
      </c>
      <c r="C1306">
        <v>43.12</v>
      </c>
      <c r="D1306">
        <v>4</v>
      </c>
      <c r="E1306" t="s">
        <v>10</v>
      </c>
      <c r="F1306" t="s">
        <v>12</v>
      </c>
      <c r="G1306" s="2">
        <v>46130.5265</v>
      </c>
      <c r="H1306" t="str" cm="1">
        <f t="array" ref="H1306">_xlfn.IFS(A1306&lt;=30, "Youth", A1306&lt;=50, "Adult", A1306&gt;50, "Older")</f>
        <v>Older</v>
      </c>
      <c r="I1306" t="str" cm="1">
        <f t="array" ref="I1306">_xlfn.IFS(A1306&lt;=25,"18-25",A1306&lt;=35,"26-35",A1306&lt;=45,"36-45",A1306&lt;=60,"46-60",A1306&gt;60,"60+")</f>
        <v>60+</v>
      </c>
      <c r="J1306" t="str" cm="1">
        <f t="array" ref="J1306">_xlfn.IFS(C1306&lt;18.5,"Underweight",C1306&lt;25,"Normal",C1306&lt;30,"Overweight",C1306&gt;=30,"Obese")</f>
        <v>Obese</v>
      </c>
      <c r="K1306" t="str" cm="1">
        <f t="array" ref="K1306">_xlfn.IFS(G1306&lt;10000, "Low", G1306&lt;=25000, "Medium", G1306&gt;25000, "High")</f>
        <v>High</v>
      </c>
    </row>
    <row r="1307" spans="1:11" x14ac:dyDescent="0.3">
      <c r="A1307">
        <v>63</v>
      </c>
      <c r="B1307" s="1" t="s">
        <v>7</v>
      </c>
      <c r="C1307">
        <v>43.34</v>
      </c>
      <c r="D1307">
        <v>4</v>
      </c>
      <c r="E1307" t="s">
        <v>9</v>
      </c>
      <c r="F1307" t="s">
        <v>14</v>
      </c>
      <c r="G1307" s="2">
        <v>46151.124499999998</v>
      </c>
      <c r="H1307" t="str" cm="1">
        <f t="array" ref="H1307">_xlfn.IFS(A1307&lt;=30, "Youth", A1307&lt;=50, "Adult", A1307&gt;50, "Older")</f>
        <v>Older</v>
      </c>
      <c r="I1307" t="str" cm="1">
        <f t="array" ref="I1307">_xlfn.IFS(A1307&lt;=25,"18-25",A1307&lt;=35,"26-35",A1307&lt;=45,"36-45",A1307&lt;=60,"46-60",A1307&gt;60,"60+")</f>
        <v>60+</v>
      </c>
      <c r="J1307" t="str" cm="1">
        <f t="array" ref="J1307">_xlfn.IFS(C1307&lt;18.5,"Underweight",C1307&lt;25,"Normal",C1307&lt;30,"Overweight",C1307&gt;=30,"Obese")</f>
        <v>Obese</v>
      </c>
      <c r="K1307" t="str" cm="1">
        <f t="array" ref="K1307">_xlfn.IFS(G1307&lt;10000, "Low", G1307&lt;=25000, "Medium", G1307&gt;25000, "High")</f>
        <v>High</v>
      </c>
    </row>
    <row r="1308" spans="1:11" x14ac:dyDescent="0.3">
      <c r="A1308">
        <v>63</v>
      </c>
      <c r="B1308" s="1" t="s">
        <v>8</v>
      </c>
      <c r="C1308">
        <v>43.4</v>
      </c>
      <c r="D1308">
        <v>4</v>
      </c>
      <c r="E1308" t="s">
        <v>9</v>
      </c>
      <c r="F1308" t="s">
        <v>13</v>
      </c>
      <c r="G1308" s="2">
        <v>46200.985099999998</v>
      </c>
      <c r="H1308" t="str" cm="1">
        <f t="array" ref="H1308">_xlfn.IFS(A1308&lt;=30, "Youth", A1308&lt;=50, "Adult", A1308&gt;50, "Older")</f>
        <v>Older</v>
      </c>
      <c r="I1308" t="str" cm="1">
        <f t="array" ref="I1308">_xlfn.IFS(A1308&lt;=25,"18-25",A1308&lt;=35,"26-35",A1308&lt;=45,"36-45",A1308&lt;=60,"46-60",A1308&gt;60,"60+")</f>
        <v>60+</v>
      </c>
      <c r="J1308" t="str" cm="1">
        <f t="array" ref="J1308">_xlfn.IFS(C1308&lt;18.5,"Underweight",C1308&lt;25,"Normal",C1308&lt;30,"Overweight",C1308&gt;=30,"Obese")</f>
        <v>Obese</v>
      </c>
      <c r="K1308" t="str" cm="1">
        <f t="array" ref="K1308">_xlfn.IFS(G1308&lt;10000, "Low", G1308&lt;=25000, "Medium", G1308&gt;25000, "High")</f>
        <v>High</v>
      </c>
    </row>
    <row r="1309" spans="1:11" x14ac:dyDescent="0.3">
      <c r="A1309">
        <v>63</v>
      </c>
      <c r="B1309" s="1" t="s">
        <v>7</v>
      </c>
      <c r="C1309">
        <v>43.7</v>
      </c>
      <c r="D1309">
        <v>4</v>
      </c>
      <c r="E1309" t="s">
        <v>9</v>
      </c>
      <c r="F1309" t="s">
        <v>11</v>
      </c>
      <c r="G1309" s="2">
        <v>46255.112500000003</v>
      </c>
      <c r="H1309" t="str" cm="1">
        <f t="array" ref="H1309">_xlfn.IFS(A1309&lt;=30, "Youth", A1309&lt;=50, "Adult", A1309&gt;50, "Older")</f>
        <v>Older</v>
      </c>
      <c r="I1309" t="str" cm="1">
        <f t="array" ref="I1309">_xlfn.IFS(A1309&lt;=25,"18-25",A1309&lt;=35,"26-35",A1309&lt;=45,"36-45",A1309&lt;=60,"46-60",A1309&gt;60,"60+")</f>
        <v>60+</v>
      </c>
      <c r="J1309" t="str" cm="1">
        <f t="array" ref="J1309">_xlfn.IFS(C1309&lt;18.5,"Underweight",C1309&lt;25,"Normal",C1309&lt;30,"Overweight",C1309&gt;=30,"Obese")</f>
        <v>Obese</v>
      </c>
      <c r="K1309" t="str" cm="1">
        <f t="array" ref="K1309">_xlfn.IFS(G1309&lt;10000, "Low", G1309&lt;=25000, "Medium", G1309&gt;25000, "High")</f>
        <v>High</v>
      </c>
    </row>
    <row r="1310" spans="1:11" x14ac:dyDescent="0.3">
      <c r="A1310">
        <v>63</v>
      </c>
      <c r="B1310" s="1" t="s">
        <v>8</v>
      </c>
      <c r="C1310">
        <v>43.89</v>
      </c>
      <c r="D1310">
        <v>4</v>
      </c>
      <c r="E1310" t="s">
        <v>10</v>
      </c>
      <c r="F1310" t="s">
        <v>11</v>
      </c>
      <c r="G1310" s="2">
        <v>46599.108399999997</v>
      </c>
      <c r="H1310" t="str" cm="1">
        <f t="array" ref="H1310">_xlfn.IFS(A1310&lt;=30, "Youth", A1310&lt;=50, "Adult", A1310&gt;50, "Older")</f>
        <v>Older</v>
      </c>
      <c r="I1310" t="str" cm="1">
        <f t="array" ref="I1310">_xlfn.IFS(A1310&lt;=25,"18-25",A1310&lt;=35,"26-35",A1310&lt;=45,"36-45",A1310&lt;=60,"46-60",A1310&gt;60,"60+")</f>
        <v>60+</v>
      </c>
      <c r="J1310" t="str" cm="1">
        <f t="array" ref="J1310">_xlfn.IFS(C1310&lt;18.5,"Underweight",C1310&lt;25,"Normal",C1310&lt;30,"Overweight",C1310&gt;=30,"Obese")</f>
        <v>Obese</v>
      </c>
      <c r="K1310" t="str" cm="1">
        <f t="array" ref="K1310">_xlfn.IFS(G1310&lt;10000, "Low", G1310&lt;=25000, "Medium", G1310&gt;25000, "High")</f>
        <v>High</v>
      </c>
    </row>
    <row r="1311" spans="1:11" x14ac:dyDescent="0.3">
      <c r="A1311">
        <v>63</v>
      </c>
      <c r="B1311" s="1" t="s">
        <v>8</v>
      </c>
      <c r="C1311">
        <v>43.89</v>
      </c>
      <c r="D1311">
        <v>4</v>
      </c>
      <c r="E1311" t="s">
        <v>10</v>
      </c>
      <c r="F1311" t="s">
        <v>13</v>
      </c>
      <c r="G1311" s="2">
        <v>46661.4424</v>
      </c>
      <c r="H1311" t="str" cm="1">
        <f t="array" ref="H1311">_xlfn.IFS(A1311&lt;=30, "Youth", A1311&lt;=50, "Adult", A1311&gt;50, "Older")</f>
        <v>Older</v>
      </c>
      <c r="I1311" t="str" cm="1">
        <f t="array" ref="I1311">_xlfn.IFS(A1311&lt;=25,"18-25",A1311&lt;=35,"26-35",A1311&lt;=45,"36-45",A1311&lt;=60,"46-60",A1311&gt;60,"60+")</f>
        <v>60+</v>
      </c>
      <c r="J1311" t="str" cm="1">
        <f t="array" ref="J1311">_xlfn.IFS(C1311&lt;18.5,"Underweight",C1311&lt;25,"Normal",C1311&lt;30,"Overweight",C1311&gt;=30,"Obese")</f>
        <v>Obese</v>
      </c>
      <c r="K1311" t="str" cm="1">
        <f t="array" ref="K1311">_xlfn.IFS(G1311&lt;10000, "Low", G1311&lt;=25000, "Medium", G1311&gt;25000, "High")</f>
        <v>High</v>
      </c>
    </row>
    <row r="1312" spans="1:11" x14ac:dyDescent="0.3">
      <c r="A1312">
        <v>63</v>
      </c>
      <c r="B1312" s="1" t="s">
        <v>7</v>
      </c>
      <c r="C1312">
        <v>44</v>
      </c>
      <c r="D1312">
        <v>4</v>
      </c>
      <c r="E1312" t="s">
        <v>10</v>
      </c>
      <c r="F1312" t="s">
        <v>13</v>
      </c>
      <c r="G1312" s="2">
        <v>46718.163249999998</v>
      </c>
      <c r="H1312" t="str" cm="1">
        <f t="array" ref="H1312">_xlfn.IFS(A1312&lt;=30, "Youth", A1312&lt;=50, "Adult", A1312&gt;50, "Older")</f>
        <v>Older</v>
      </c>
      <c r="I1312" t="str" cm="1">
        <f t="array" ref="I1312">_xlfn.IFS(A1312&lt;=25,"18-25",A1312&lt;=35,"26-35",A1312&lt;=45,"36-45",A1312&lt;=60,"46-60",A1312&gt;60,"60+")</f>
        <v>60+</v>
      </c>
      <c r="J1312" t="str" cm="1">
        <f t="array" ref="J1312">_xlfn.IFS(C1312&lt;18.5,"Underweight",C1312&lt;25,"Normal",C1312&lt;30,"Overweight",C1312&gt;=30,"Obese")</f>
        <v>Obese</v>
      </c>
      <c r="K1312" t="str" cm="1">
        <f t="array" ref="K1312">_xlfn.IFS(G1312&lt;10000, "Low", G1312&lt;=25000, "Medium", G1312&gt;25000, "High")</f>
        <v>High</v>
      </c>
    </row>
    <row r="1313" spans="1:11" x14ac:dyDescent="0.3">
      <c r="A1313">
        <v>63</v>
      </c>
      <c r="B1313" s="1" t="s">
        <v>8</v>
      </c>
      <c r="C1313">
        <v>44.22</v>
      </c>
      <c r="D1313">
        <v>4</v>
      </c>
      <c r="E1313" t="s">
        <v>10</v>
      </c>
      <c r="F1313" t="s">
        <v>11</v>
      </c>
      <c r="G1313" s="2">
        <v>46889.261200000001</v>
      </c>
      <c r="H1313" t="str" cm="1">
        <f t="array" ref="H1313">_xlfn.IFS(A1313&lt;=30, "Youth", A1313&lt;=50, "Adult", A1313&gt;50, "Older")</f>
        <v>Older</v>
      </c>
      <c r="I1313" t="str" cm="1">
        <f t="array" ref="I1313">_xlfn.IFS(A1313&lt;=25,"18-25",A1313&lt;=35,"26-35",A1313&lt;=45,"36-45",A1313&lt;=60,"46-60",A1313&gt;60,"60+")</f>
        <v>60+</v>
      </c>
      <c r="J1313" t="str" cm="1">
        <f t="array" ref="J1313">_xlfn.IFS(C1313&lt;18.5,"Underweight",C1313&lt;25,"Normal",C1313&lt;30,"Overweight",C1313&gt;=30,"Obese")</f>
        <v>Obese</v>
      </c>
      <c r="K1313" t="str" cm="1">
        <f t="array" ref="K1313">_xlfn.IFS(G1313&lt;10000, "Low", G1313&lt;=25000, "Medium", G1313&gt;25000, "High")</f>
        <v>High</v>
      </c>
    </row>
    <row r="1314" spans="1:11" x14ac:dyDescent="0.3">
      <c r="A1314">
        <v>63</v>
      </c>
      <c r="B1314" s="1" t="s">
        <v>7</v>
      </c>
      <c r="C1314">
        <v>44.22</v>
      </c>
      <c r="D1314">
        <v>4</v>
      </c>
      <c r="E1314" t="s">
        <v>9</v>
      </c>
      <c r="F1314" t="s">
        <v>11</v>
      </c>
      <c r="G1314" s="2">
        <v>47055.532099999997</v>
      </c>
      <c r="H1314" t="str" cm="1">
        <f t="array" ref="H1314">_xlfn.IFS(A1314&lt;=30, "Youth", A1314&lt;=50, "Adult", A1314&gt;50, "Older")</f>
        <v>Older</v>
      </c>
      <c r="I1314" t="str" cm="1">
        <f t="array" ref="I1314">_xlfn.IFS(A1314&lt;=25,"18-25",A1314&lt;=35,"26-35",A1314&lt;=45,"36-45",A1314&lt;=60,"46-60",A1314&gt;60,"60+")</f>
        <v>60+</v>
      </c>
      <c r="J1314" t="str" cm="1">
        <f t="array" ref="J1314">_xlfn.IFS(C1314&lt;18.5,"Underweight",C1314&lt;25,"Normal",C1314&lt;30,"Overweight",C1314&gt;=30,"Obese")</f>
        <v>Obese</v>
      </c>
      <c r="K1314" t="str" cm="1">
        <f t="array" ref="K1314">_xlfn.IFS(G1314&lt;10000, "Low", G1314&lt;=25000, "Medium", G1314&gt;25000, "High")</f>
        <v>High</v>
      </c>
    </row>
    <row r="1315" spans="1:11" x14ac:dyDescent="0.3">
      <c r="A1315">
        <v>63</v>
      </c>
      <c r="B1315" s="1" t="s">
        <v>7</v>
      </c>
      <c r="C1315">
        <v>44.7</v>
      </c>
      <c r="D1315">
        <v>4</v>
      </c>
      <c r="E1315" t="s">
        <v>9</v>
      </c>
      <c r="F1315" t="s">
        <v>13</v>
      </c>
      <c r="G1315" s="2">
        <v>47269.853999999999</v>
      </c>
      <c r="H1315" t="str" cm="1">
        <f t="array" ref="H1315">_xlfn.IFS(A1315&lt;=30, "Youth", A1315&lt;=50, "Adult", A1315&gt;50, "Older")</f>
        <v>Older</v>
      </c>
      <c r="I1315" t="str" cm="1">
        <f t="array" ref="I1315">_xlfn.IFS(A1315&lt;=25,"18-25",A1315&lt;=35,"26-35",A1315&lt;=45,"36-45",A1315&lt;=60,"46-60",A1315&gt;60,"60+")</f>
        <v>60+</v>
      </c>
      <c r="J1315" t="str" cm="1">
        <f t="array" ref="J1315">_xlfn.IFS(C1315&lt;18.5,"Underweight",C1315&lt;25,"Normal",C1315&lt;30,"Overweight",C1315&gt;=30,"Obese")</f>
        <v>Obese</v>
      </c>
      <c r="K1315" t="str" cm="1">
        <f t="array" ref="K1315">_xlfn.IFS(G1315&lt;10000, "Low", G1315&lt;=25000, "Medium", G1315&gt;25000, "High")</f>
        <v>High</v>
      </c>
    </row>
    <row r="1316" spans="1:11" x14ac:dyDescent="0.3">
      <c r="A1316">
        <v>63</v>
      </c>
      <c r="B1316" s="1" t="s">
        <v>8</v>
      </c>
      <c r="C1316">
        <v>44.744999999999997</v>
      </c>
      <c r="D1316">
        <v>4</v>
      </c>
      <c r="E1316" t="s">
        <v>10</v>
      </c>
      <c r="F1316" t="s">
        <v>14</v>
      </c>
      <c r="G1316" s="2">
        <v>47291.055</v>
      </c>
      <c r="H1316" t="str" cm="1">
        <f t="array" ref="H1316">_xlfn.IFS(A1316&lt;=30, "Youth", A1316&lt;=50, "Adult", A1316&gt;50, "Older")</f>
        <v>Older</v>
      </c>
      <c r="I1316" t="str" cm="1">
        <f t="array" ref="I1316">_xlfn.IFS(A1316&lt;=25,"18-25",A1316&lt;=35,"26-35",A1316&lt;=45,"36-45",A1316&lt;=60,"46-60",A1316&gt;60,"60+")</f>
        <v>60+</v>
      </c>
      <c r="J1316" t="str" cm="1">
        <f t="array" ref="J1316">_xlfn.IFS(C1316&lt;18.5,"Underweight",C1316&lt;25,"Normal",C1316&lt;30,"Overweight",C1316&gt;=30,"Obese")</f>
        <v>Obese</v>
      </c>
      <c r="K1316" t="str" cm="1">
        <f t="array" ref="K1316">_xlfn.IFS(G1316&lt;10000, "Low", G1316&lt;=25000, "Medium", G1316&gt;25000, "High")</f>
        <v>High</v>
      </c>
    </row>
    <row r="1317" spans="1:11" x14ac:dyDescent="0.3">
      <c r="A1317">
        <v>64</v>
      </c>
      <c r="B1317" s="1" t="s">
        <v>7</v>
      </c>
      <c r="C1317">
        <v>44.77</v>
      </c>
      <c r="D1317">
        <v>4</v>
      </c>
      <c r="E1317" t="s">
        <v>10</v>
      </c>
      <c r="F1317" t="s">
        <v>11</v>
      </c>
      <c r="G1317" s="2">
        <v>47305.305</v>
      </c>
      <c r="H1317" t="str" cm="1">
        <f t="array" ref="H1317">_xlfn.IFS(A1317&lt;=30, "Youth", A1317&lt;=50, "Adult", A1317&gt;50, "Older")</f>
        <v>Older</v>
      </c>
      <c r="I1317" t="str" cm="1">
        <f t="array" ref="I1317">_xlfn.IFS(A1317&lt;=25,"18-25",A1317&lt;=35,"26-35",A1317&lt;=45,"36-45",A1317&lt;=60,"46-60",A1317&gt;60,"60+")</f>
        <v>60+</v>
      </c>
      <c r="J1317" t="str" cm="1">
        <f t="array" ref="J1317">_xlfn.IFS(C1317&lt;18.5,"Underweight",C1317&lt;25,"Normal",C1317&lt;30,"Overweight",C1317&gt;=30,"Obese")</f>
        <v>Obese</v>
      </c>
      <c r="K1317" t="str" cm="1">
        <f t="array" ref="K1317">_xlfn.IFS(G1317&lt;10000, "Low", G1317&lt;=25000, "Medium", G1317&gt;25000, "High")</f>
        <v>High</v>
      </c>
    </row>
    <row r="1318" spans="1:11" x14ac:dyDescent="0.3">
      <c r="A1318">
        <v>64</v>
      </c>
      <c r="B1318" s="1" t="s">
        <v>8</v>
      </c>
      <c r="C1318">
        <v>44.88</v>
      </c>
      <c r="D1318">
        <v>4</v>
      </c>
      <c r="E1318" t="s">
        <v>10</v>
      </c>
      <c r="F1318" t="s">
        <v>12</v>
      </c>
      <c r="G1318" s="2">
        <v>47403.88</v>
      </c>
      <c r="H1318" t="str" cm="1">
        <f t="array" ref="H1318">_xlfn.IFS(A1318&lt;=30, "Youth", A1318&lt;=50, "Adult", A1318&gt;50, "Older")</f>
        <v>Older</v>
      </c>
      <c r="I1318" t="str" cm="1">
        <f t="array" ref="I1318">_xlfn.IFS(A1318&lt;=25,"18-25",A1318&lt;=35,"26-35",A1318&lt;=45,"36-45",A1318&lt;=60,"46-60",A1318&gt;60,"60+")</f>
        <v>60+</v>
      </c>
      <c r="J1318" t="str" cm="1">
        <f t="array" ref="J1318">_xlfn.IFS(C1318&lt;18.5,"Underweight",C1318&lt;25,"Normal",C1318&lt;30,"Overweight",C1318&gt;=30,"Obese")</f>
        <v>Obese</v>
      </c>
      <c r="K1318" t="str" cm="1">
        <f t="array" ref="K1318">_xlfn.IFS(G1318&lt;10000, "Low", G1318&lt;=25000, "Medium", G1318&gt;25000, "High")</f>
        <v>High</v>
      </c>
    </row>
    <row r="1319" spans="1:11" x14ac:dyDescent="0.3">
      <c r="A1319">
        <v>64</v>
      </c>
      <c r="B1319" s="1" t="s">
        <v>8</v>
      </c>
      <c r="C1319">
        <v>45.32</v>
      </c>
      <c r="D1319">
        <v>4</v>
      </c>
      <c r="E1319" t="s">
        <v>10</v>
      </c>
      <c r="F1319" t="s">
        <v>14</v>
      </c>
      <c r="G1319" s="2">
        <v>47462.894</v>
      </c>
      <c r="H1319" t="str" cm="1">
        <f t="array" ref="H1319">_xlfn.IFS(A1319&lt;=30, "Youth", A1319&lt;=50, "Adult", A1319&gt;50, "Older")</f>
        <v>Older</v>
      </c>
      <c r="I1319" t="str" cm="1">
        <f t="array" ref="I1319">_xlfn.IFS(A1319&lt;=25,"18-25",A1319&lt;=35,"26-35",A1319&lt;=45,"36-45",A1319&lt;=60,"46-60",A1319&gt;60,"60+")</f>
        <v>60+</v>
      </c>
      <c r="J1319" t="str" cm="1">
        <f t="array" ref="J1319">_xlfn.IFS(C1319&lt;18.5,"Underweight",C1319&lt;25,"Normal",C1319&lt;30,"Overweight",C1319&gt;=30,"Obese")</f>
        <v>Obese</v>
      </c>
      <c r="K1319" t="str" cm="1">
        <f t="array" ref="K1319">_xlfn.IFS(G1319&lt;10000, "Low", G1319&lt;=25000, "Medium", G1319&gt;25000, "High")</f>
        <v>High</v>
      </c>
    </row>
    <row r="1320" spans="1:11" x14ac:dyDescent="0.3">
      <c r="A1320">
        <v>64</v>
      </c>
      <c r="B1320" s="1" t="s">
        <v>7</v>
      </c>
      <c r="C1320">
        <v>45.43</v>
      </c>
      <c r="D1320">
        <v>4</v>
      </c>
      <c r="E1320" t="s">
        <v>10</v>
      </c>
      <c r="F1320" t="s">
        <v>13</v>
      </c>
      <c r="G1320" s="2">
        <v>47496.494449999998</v>
      </c>
      <c r="H1320" t="str" cm="1">
        <f t="array" ref="H1320">_xlfn.IFS(A1320&lt;=30, "Youth", A1320&lt;=50, "Adult", A1320&gt;50, "Older")</f>
        <v>Older</v>
      </c>
      <c r="I1320" t="str" cm="1">
        <f t="array" ref="I1320">_xlfn.IFS(A1320&lt;=25,"18-25",A1320&lt;=35,"26-35",A1320&lt;=45,"36-45",A1320&lt;=60,"46-60",A1320&gt;60,"60+")</f>
        <v>60+</v>
      </c>
      <c r="J1320" t="str" cm="1">
        <f t="array" ref="J1320">_xlfn.IFS(C1320&lt;18.5,"Underweight",C1320&lt;25,"Normal",C1320&lt;30,"Overweight",C1320&gt;=30,"Obese")</f>
        <v>Obese</v>
      </c>
      <c r="K1320" t="str" cm="1">
        <f t="array" ref="K1320">_xlfn.IFS(G1320&lt;10000, "Low", G1320&lt;=25000, "Medium", G1320&gt;25000, "High")</f>
        <v>High</v>
      </c>
    </row>
    <row r="1321" spans="1:11" x14ac:dyDescent="0.3">
      <c r="A1321">
        <v>64</v>
      </c>
      <c r="B1321" s="1" t="s">
        <v>8</v>
      </c>
      <c r="C1321">
        <v>45.54</v>
      </c>
      <c r="D1321">
        <v>5</v>
      </c>
      <c r="E1321" t="s">
        <v>10</v>
      </c>
      <c r="F1321" t="s">
        <v>13</v>
      </c>
      <c r="G1321" s="2">
        <v>47896.79135</v>
      </c>
      <c r="H1321" t="str" cm="1">
        <f t="array" ref="H1321">_xlfn.IFS(A1321&lt;=30, "Youth", A1321&lt;=50, "Adult", A1321&gt;50, "Older")</f>
        <v>Older</v>
      </c>
      <c r="I1321" t="str" cm="1">
        <f t="array" ref="I1321">_xlfn.IFS(A1321&lt;=25,"18-25",A1321&lt;=35,"26-35",A1321&lt;=45,"36-45",A1321&lt;=60,"46-60",A1321&gt;60,"60+")</f>
        <v>60+</v>
      </c>
      <c r="J1321" t="str" cm="1">
        <f t="array" ref="J1321">_xlfn.IFS(C1321&lt;18.5,"Underweight",C1321&lt;25,"Normal",C1321&lt;30,"Overweight",C1321&gt;=30,"Obese")</f>
        <v>Obese</v>
      </c>
      <c r="K1321" t="str" cm="1">
        <f t="array" ref="K1321">_xlfn.IFS(G1321&lt;10000, "Low", G1321&lt;=25000, "Medium", G1321&gt;25000, "High")</f>
        <v>High</v>
      </c>
    </row>
    <row r="1322" spans="1:11" x14ac:dyDescent="0.3">
      <c r="A1322">
        <v>64</v>
      </c>
      <c r="B1322" s="1" t="s">
        <v>8</v>
      </c>
      <c r="C1322">
        <v>45.9</v>
      </c>
      <c r="D1322">
        <v>5</v>
      </c>
      <c r="E1322" t="s">
        <v>9</v>
      </c>
      <c r="F1322" t="s">
        <v>14</v>
      </c>
      <c r="G1322" s="2">
        <v>47928.03</v>
      </c>
      <c r="H1322" t="str" cm="1">
        <f t="array" ref="H1322">_xlfn.IFS(A1322&lt;=30, "Youth", A1322&lt;=50, "Adult", A1322&gt;50, "Older")</f>
        <v>Older</v>
      </c>
      <c r="I1322" t="str" cm="1">
        <f t="array" ref="I1322">_xlfn.IFS(A1322&lt;=25,"18-25",A1322&lt;=35,"26-35",A1322&lt;=45,"36-45",A1322&lt;=60,"46-60",A1322&gt;60,"60+")</f>
        <v>60+</v>
      </c>
      <c r="J1322" t="str" cm="1">
        <f t="array" ref="J1322">_xlfn.IFS(C1322&lt;18.5,"Underweight",C1322&lt;25,"Normal",C1322&lt;30,"Overweight",C1322&gt;=30,"Obese")</f>
        <v>Obese</v>
      </c>
      <c r="K1322" t="str" cm="1">
        <f t="array" ref="K1322">_xlfn.IFS(G1322&lt;10000, "Low", G1322&lt;=25000, "Medium", G1322&gt;25000, "High")</f>
        <v>High</v>
      </c>
    </row>
    <row r="1323" spans="1:11" x14ac:dyDescent="0.3">
      <c r="A1323">
        <v>64</v>
      </c>
      <c r="B1323" s="1" t="s">
        <v>8</v>
      </c>
      <c r="C1323">
        <v>46.09</v>
      </c>
      <c r="D1323">
        <v>5</v>
      </c>
      <c r="E1323" t="s">
        <v>10</v>
      </c>
      <c r="F1323" t="s">
        <v>12</v>
      </c>
      <c r="G1323" s="2">
        <v>48173.360999999997</v>
      </c>
      <c r="H1323" t="str" cm="1">
        <f t="array" ref="H1323">_xlfn.IFS(A1323&lt;=30, "Youth", A1323&lt;=50, "Adult", A1323&gt;50, "Older")</f>
        <v>Older</v>
      </c>
      <c r="I1323" t="str" cm="1">
        <f t="array" ref="I1323">_xlfn.IFS(A1323&lt;=25,"18-25",A1323&lt;=35,"26-35",A1323&lt;=45,"36-45",A1323&lt;=60,"46-60",A1323&gt;60,"60+")</f>
        <v>60+</v>
      </c>
      <c r="J1323" t="str" cm="1">
        <f t="array" ref="J1323">_xlfn.IFS(C1323&lt;18.5,"Underweight",C1323&lt;25,"Normal",C1323&lt;30,"Overweight",C1323&gt;=30,"Obese")</f>
        <v>Obese</v>
      </c>
      <c r="K1323" t="str" cm="1">
        <f t="array" ref="K1323">_xlfn.IFS(G1323&lt;10000, "Low", G1323&lt;=25000, "Medium", G1323&gt;25000, "High")</f>
        <v>High</v>
      </c>
    </row>
    <row r="1324" spans="1:11" x14ac:dyDescent="0.3">
      <c r="A1324">
        <v>64</v>
      </c>
      <c r="B1324" s="1" t="s">
        <v>7</v>
      </c>
      <c r="C1324">
        <v>46.2</v>
      </c>
      <c r="D1324">
        <v>5</v>
      </c>
      <c r="E1324" t="s">
        <v>9</v>
      </c>
      <c r="F1324" t="s">
        <v>12</v>
      </c>
      <c r="G1324" s="2">
        <v>48517.563150000002</v>
      </c>
      <c r="H1324" t="str" cm="1">
        <f t="array" ref="H1324">_xlfn.IFS(A1324&lt;=30, "Youth", A1324&lt;=50, "Adult", A1324&gt;50, "Older")</f>
        <v>Older</v>
      </c>
      <c r="I1324" t="str" cm="1">
        <f t="array" ref="I1324">_xlfn.IFS(A1324&lt;=25,"18-25",A1324&lt;=35,"26-35",A1324&lt;=45,"36-45",A1324&lt;=60,"46-60",A1324&gt;60,"60+")</f>
        <v>60+</v>
      </c>
      <c r="J1324" t="str" cm="1">
        <f t="array" ref="J1324">_xlfn.IFS(C1324&lt;18.5,"Underweight",C1324&lt;25,"Normal",C1324&lt;30,"Overweight",C1324&gt;=30,"Obese")</f>
        <v>Obese</v>
      </c>
      <c r="K1324" t="str" cm="1">
        <f t="array" ref="K1324">_xlfn.IFS(G1324&lt;10000, "Low", G1324&lt;=25000, "Medium", G1324&gt;25000, "High")</f>
        <v>High</v>
      </c>
    </row>
    <row r="1325" spans="1:11" x14ac:dyDescent="0.3">
      <c r="A1325">
        <v>64</v>
      </c>
      <c r="B1325" s="1" t="s">
        <v>8</v>
      </c>
      <c r="C1325">
        <v>46.53</v>
      </c>
      <c r="D1325">
        <v>5</v>
      </c>
      <c r="E1325" t="s">
        <v>10</v>
      </c>
      <c r="F1325" t="s">
        <v>13</v>
      </c>
      <c r="G1325" s="2">
        <v>48549.178350000002</v>
      </c>
      <c r="H1325" t="str" cm="1">
        <f t="array" ref="H1325">_xlfn.IFS(A1325&lt;=30, "Youth", A1325&lt;=50, "Adult", A1325&gt;50, "Older")</f>
        <v>Older</v>
      </c>
      <c r="I1325" t="str" cm="1">
        <f t="array" ref="I1325">_xlfn.IFS(A1325&lt;=25,"18-25",A1325&lt;=35,"26-35",A1325&lt;=45,"36-45",A1325&lt;=60,"46-60",A1325&gt;60,"60+")</f>
        <v>60+</v>
      </c>
      <c r="J1325" t="str" cm="1">
        <f t="array" ref="J1325">_xlfn.IFS(C1325&lt;18.5,"Underweight",C1325&lt;25,"Normal",C1325&lt;30,"Overweight",C1325&gt;=30,"Obese")</f>
        <v>Obese</v>
      </c>
      <c r="K1325" t="str" cm="1">
        <f t="array" ref="K1325">_xlfn.IFS(G1325&lt;10000, "Low", G1325&lt;=25000, "Medium", G1325&gt;25000, "High")</f>
        <v>High</v>
      </c>
    </row>
    <row r="1326" spans="1:11" x14ac:dyDescent="0.3">
      <c r="A1326">
        <v>64</v>
      </c>
      <c r="B1326" s="1" t="s">
        <v>8</v>
      </c>
      <c r="C1326">
        <v>46.53</v>
      </c>
      <c r="D1326">
        <v>5</v>
      </c>
      <c r="E1326" t="s">
        <v>10</v>
      </c>
      <c r="F1326" t="s">
        <v>14</v>
      </c>
      <c r="G1326" s="2">
        <v>48673.558799999999</v>
      </c>
      <c r="H1326" t="str" cm="1">
        <f t="array" ref="H1326">_xlfn.IFS(A1326&lt;=30, "Youth", A1326&lt;=50, "Adult", A1326&gt;50, "Older")</f>
        <v>Older</v>
      </c>
      <c r="I1326" t="str" cm="1">
        <f t="array" ref="I1326">_xlfn.IFS(A1326&lt;=25,"18-25",A1326&lt;=35,"26-35",A1326&lt;=45,"36-45",A1326&lt;=60,"46-60",A1326&gt;60,"60+")</f>
        <v>60+</v>
      </c>
      <c r="J1326" t="str" cm="1">
        <f t="array" ref="J1326">_xlfn.IFS(C1326&lt;18.5,"Underweight",C1326&lt;25,"Normal",C1326&lt;30,"Overweight",C1326&gt;=30,"Obese")</f>
        <v>Obese</v>
      </c>
      <c r="K1326" t="str" cm="1">
        <f t="array" ref="K1326">_xlfn.IFS(G1326&lt;10000, "Low", G1326&lt;=25000, "Medium", G1326&gt;25000, "High")</f>
        <v>High</v>
      </c>
    </row>
    <row r="1327" spans="1:11" x14ac:dyDescent="0.3">
      <c r="A1327">
        <v>64</v>
      </c>
      <c r="B1327" s="1" t="s">
        <v>7</v>
      </c>
      <c r="C1327">
        <v>46.53</v>
      </c>
      <c r="D1327">
        <v>5</v>
      </c>
      <c r="E1327" t="s">
        <v>10</v>
      </c>
      <c r="F1327" t="s">
        <v>14</v>
      </c>
      <c r="G1327" s="2">
        <v>48675.517699999997</v>
      </c>
      <c r="H1327" t="str" cm="1">
        <f t="array" ref="H1327">_xlfn.IFS(A1327&lt;=30, "Youth", A1327&lt;=50, "Adult", A1327&gt;50, "Older")</f>
        <v>Older</v>
      </c>
      <c r="I1327" t="str" cm="1">
        <f t="array" ref="I1327">_xlfn.IFS(A1327&lt;=25,"18-25",A1327&lt;=35,"26-35",A1327&lt;=45,"36-45",A1327&lt;=60,"46-60",A1327&gt;60,"60+")</f>
        <v>60+</v>
      </c>
      <c r="J1327" t="str" cm="1">
        <f t="array" ref="J1327">_xlfn.IFS(C1327&lt;18.5,"Underweight",C1327&lt;25,"Normal",C1327&lt;30,"Overweight",C1327&gt;=30,"Obese")</f>
        <v>Obese</v>
      </c>
      <c r="K1327" t="str" cm="1">
        <f t="array" ref="K1327">_xlfn.IFS(G1327&lt;10000, "Low", G1327&lt;=25000, "Medium", G1327&gt;25000, "High")</f>
        <v>High</v>
      </c>
    </row>
    <row r="1328" spans="1:11" x14ac:dyDescent="0.3">
      <c r="A1328">
        <v>64</v>
      </c>
      <c r="B1328" s="1" t="s">
        <v>8</v>
      </c>
      <c r="C1328">
        <v>46.7</v>
      </c>
      <c r="D1328">
        <v>5</v>
      </c>
      <c r="E1328" t="s">
        <v>10</v>
      </c>
      <c r="F1328" t="s">
        <v>12</v>
      </c>
      <c r="G1328" s="2">
        <v>48824.45</v>
      </c>
      <c r="H1328" t="str" cm="1">
        <f t="array" ref="H1328">_xlfn.IFS(A1328&lt;=30, "Youth", A1328&lt;=50, "Adult", A1328&gt;50, "Older")</f>
        <v>Older</v>
      </c>
      <c r="I1328" t="str" cm="1">
        <f t="array" ref="I1328">_xlfn.IFS(A1328&lt;=25,"18-25",A1328&lt;=35,"26-35",A1328&lt;=45,"36-45",A1328&lt;=60,"46-60",A1328&gt;60,"60+")</f>
        <v>60+</v>
      </c>
      <c r="J1328" t="str" cm="1">
        <f t="array" ref="J1328">_xlfn.IFS(C1328&lt;18.5,"Underweight",C1328&lt;25,"Normal",C1328&lt;30,"Overweight",C1328&gt;=30,"Obese")</f>
        <v>Obese</v>
      </c>
      <c r="K1328" t="str" cm="1">
        <f t="array" ref="K1328">_xlfn.IFS(G1328&lt;10000, "Low", G1328&lt;=25000, "Medium", G1328&gt;25000, "High")</f>
        <v>High</v>
      </c>
    </row>
    <row r="1329" spans="1:11" x14ac:dyDescent="0.3">
      <c r="A1329">
        <v>64</v>
      </c>
      <c r="B1329" s="1" t="s">
        <v>7</v>
      </c>
      <c r="C1329">
        <v>46.75</v>
      </c>
      <c r="D1329">
        <v>5</v>
      </c>
      <c r="E1329" t="s">
        <v>10</v>
      </c>
      <c r="F1329" t="s">
        <v>14</v>
      </c>
      <c r="G1329" s="2">
        <v>48885.135609999998</v>
      </c>
      <c r="H1329" t="str" cm="1">
        <f t="array" ref="H1329">_xlfn.IFS(A1329&lt;=30, "Youth", A1329&lt;=50, "Adult", A1329&gt;50, "Older")</f>
        <v>Older</v>
      </c>
      <c r="I1329" t="str" cm="1">
        <f t="array" ref="I1329">_xlfn.IFS(A1329&lt;=25,"18-25",A1329&lt;=35,"26-35",A1329&lt;=45,"36-45",A1329&lt;=60,"46-60",A1329&gt;60,"60+")</f>
        <v>60+</v>
      </c>
      <c r="J1329" t="str" cm="1">
        <f t="array" ref="J1329">_xlfn.IFS(C1329&lt;18.5,"Underweight",C1329&lt;25,"Normal",C1329&lt;30,"Overweight",C1329&gt;=30,"Obese")</f>
        <v>Obese</v>
      </c>
      <c r="K1329" t="str" cm="1">
        <f t="array" ref="K1329">_xlfn.IFS(G1329&lt;10000, "Low", G1329&lt;=25000, "Medium", G1329&gt;25000, "High")</f>
        <v>High</v>
      </c>
    </row>
    <row r="1330" spans="1:11" x14ac:dyDescent="0.3">
      <c r="A1330">
        <v>64</v>
      </c>
      <c r="B1330" s="1" t="s">
        <v>8</v>
      </c>
      <c r="C1330">
        <v>47.41</v>
      </c>
      <c r="D1330">
        <v>5</v>
      </c>
      <c r="E1330" t="s">
        <v>10</v>
      </c>
      <c r="F1330" t="s">
        <v>11</v>
      </c>
      <c r="G1330" s="2">
        <v>48970.247600000002</v>
      </c>
      <c r="H1330" t="str" cm="1">
        <f t="array" ref="H1330">_xlfn.IFS(A1330&lt;=30, "Youth", A1330&lt;=50, "Adult", A1330&gt;50, "Older")</f>
        <v>Older</v>
      </c>
      <c r="I1330" t="str" cm="1">
        <f t="array" ref="I1330">_xlfn.IFS(A1330&lt;=25,"18-25",A1330&lt;=35,"26-35",A1330&lt;=45,"36-45",A1330&lt;=60,"46-60",A1330&gt;60,"60+")</f>
        <v>60+</v>
      </c>
      <c r="J1330" t="str" cm="1">
        <f t="array" ref="J1330">_xlfn.IFS(C1330&lt;18.5,"Underweight",C1330&lt;25,"Normal",C1330&lt;30,"Overweight",C1330&gt;=30,"Obese")</f>
        <v>Obese</v>
      </c>
      <c r="K1330" t="str" cm="1">
        <f t="array" ref="K1330">_xlfn.IFS(G1330&lt;10000, "Low", G1330&lt;=25000, "Medium", G1330&gt;25000, "High")</f>
        <v>High</v>
      </c>
    </row>
    <row r="1331" spans="1:11" x14ac:dyDescent="0.3">
      <c r="A1331">
        <v>64</v>
      </c>
      <c r="B1331" s="1" t="s">
        <v>7</v>
      </c>
      <c r="C1331">
        <v>47.52</v>
      </c>
      <c r="D1331">
        <v>5</v>
      </c>
      <c r="E1331" t="s">
        <v>10</v>
      </c>
      <c r="F1331" t="s">
        <v>12</v>
      </c>
      <c r="G1331" s="2">
        <v>49577.662400000001</v>
      </c>
      <c r="H1331" t="str" cm="1">
        <f t="array" ref="H1331">_xlfn.IFS(A1331&lt;=30, "Youth", A1331&lt;=50, "Adult", A1331&gt;50, "Older")</f>
        <v>Older</v>
      </c>
      <c r="I1331" t="str" cm="1">
        <f t="array" ref="I1331">_xlfn.IFS(A1331&lt;=25,"18-25",A1331&lt;=35,"26-35",A1331&lt;=45,"36-45",A1331&lt;=60,"46-60",A1331&gt;60,"60+")</f>
        <v>60+</v>
      </c>
      <c r="J1331" t="str" cm="1">
        <f t="array" ref="J1331">_xlfn.IFS(C1331&lt;18.5,"Underweight",C1331&lt;25,"Normal",C1331&lt;30,"Overweight",C1331&gt;=30,"Obese")</f>
        <v>Obese</v>
      </c>
      <c r="K1331" t="str" cm="1">
        <f t="array" ref="K1331">_xlfn.IFS(G1331&lt;10000, "Low", G1331&lt;=25000, "Medium", G1331&gt;25000, "High")</f>
        <v>High</v>
      </c>
    </row>
    <row r="1332" spans="1:11" x14ac:dyDescent="0.3">
      <c r="A1332">
        <v>64</v>
      </c>
      <c r="B1332" s="1" t="s">
        <v>7</v>
      </c>
      <c r="C1332">
        <v>47.6</v>
      </c>
      <c r="D1332">
        <v>5</v>
      </c>
      <c r="E1332" t="s">
        <v>10</v>
      </c>
      <c r="F1332" t="s">
        <v>11</v>
      </c>
      <c r="G1332" s="2">
        <v>51194.559139999998</v>
      </c>
      <c r="H1332" t="str" cm="1">
        <f t="array" ref="H1332">_xlfn.IFS(A1332&lt;=30, "Youth", A1332&lt;=50, "Adult", A1332&gt;50, "Older")</f>
        <v>Older</v>
      </c>
      <c r="I1332" t="str" cm="1">
        <f t="array" ref="I1332">_xlfn.IFS(A1332&lt;=25,"18-25",A1332&lt;=35,"26-35",A1332&lt;=45,"36-45",A1332&lt;=60,"46-60",A1332&gt;60,"60+")</f>
        <v>60+</v>
      </c>
      <c r="J1332" t="str" cm="1">
        <f t="array" ref="J1332">_xlfn.IFS(C1332&lt;18.5,"Underweight",C1332&lt;25,"Normal",C1332&lt;30,"Overweight",C1332&gt;=30,"Obese")</f>
        <v>Obese</v>
      </c>
      <c r="K1332" t="str" cm="1">
        <f t="array" ref="K1332">_xlfn.IFS(G1332&lt;10000, "Low", G1332&lt;=25000, "Medium", G1332&gt;25000, "High")</f>
        <v>High</v>
      </c>
    </row>
    <row r="1333" spans="1:11" x14ac:dyDescent="0.3">
      <c r="A1333">
        <v>64</v>
      </c>
      <c r="B1333" s="1" t="s">
        <v>7</v>
      </c>
      <c r="C1333">
        <v>47.74</v>
      </c>
      <c r="D1333">
        <v>5</v>
      </c>
      <c r="E1333" t="s">
        <v>10</v>
      </c>
      <c r="F1333" t="s">
        <v>11</v>
      </c>
      <c r="G1333" s="2">
        <v>52590.829389999999</v>
      </c>
      <c r="H1333" t="str" cm="1">
        <f t="array" ref="H1333">_xlfn.IFS(A1333&lt;=30, "Youth", A1333&lt;=50, "Adult", A1333&gt;50, "Older")</f>
        <v>Older</v>
      </c>
      <c r="I1333" t="str" cm="1">
        <f t="array" ref="I1333">_xlfn.IFS(A1333&lt;=25,"18-25",A1333&lt;=35,"26-35",A1333&lt;=45,"36-45",A1333&lt;=60,"46-60",A1333&gt;60,"60+")</f>
        <v>60+</v>
      </c>
      <c r="J1333" t="str" cm="1">
        <f t="array" ref="J1333">_xlfn.IFS(C1333&lt;18.5,"Underweight",C1333&lt;25,"Normal",C1333&lt;30,"Overweight",C1333&gt;=30,"Obese")</f>
        <v>Obese</v>
      </c>
      <c r="K1333" t="str" cm="1">
        <f t="array" ref="K1333">_xlfn.IFS(G1333&lt;10000, "Low", G1333&lt;=25000, "Medium", G1333&gt;25000, "High")</f>
        <v>High</v>
      </c>
    </row>
    <row r="1334" spans="1:11" x14ac:dyDescent="0.3">
      <c r="A1334">
        <v>64</v>
      </c>
      <c r="B1334" s="1" t="s">
        <v>8</v>
      </c>
      <c r="C1334">
        <v>48.07</v>
      </c>
      <c r="D1334">
        <v>5</v>
      </c>
      <c r="E1334" t="s">
        <v>10</v>
      </c>
      <c r="F1334" t="s">
        <v>13</v>
      </c>
      <c r="G1334" s="2">
        <v>55135.402090000003</v>
      </c>
      <c r="H1334" t="str" cm="1">
        <f t="array" ref="H1334">_xlfn.IFS(A1334&lt;=30, "Youth", A1334&lt;=50, "Adult", A1334&gt;50, "Older")</f>
        <v>Older</v>
      </c>
      <c r="I1334" t="str" cm="1">
        <f t="array" ref="I1334">_xlfn.IFS(A1334&lt;=25,"18-25",A1334&lt;=35,"26-35",A1334&lt;=45,"36-45",A1334&lt;=60,"46-60",A1334&gt;60,"60+")</f>
        <v>60+</v>
      </c>
      <c r="J1334" t="str" cm="1">
        <f t="array" ref="J1334">_xlfn.IFS(C1334&lt;18.5,"Underweight",C1334&lt;25,"Normal",C1334&lt;30,"Overweight",C1334&gt;=30,"Obese")</f>
        <v>Obese</v>
      </c>
      <c r="K1334" t="str" cm="1">
        <f t="array" ref="K1334">_xlfn.IFS(G1334&lt;10000, "Low", G1334&lt;=25000, "Medium", G1334&gt;25000, "High")</f>
        <v>High</v>
      </c>
    </row>
    <row r="1335" spans="1:11" x14ac:dyDescent="0.3">
      <c r="A1335">
        <v>64</v>
      </c>
      <c r="B1335" s="1" t="s">
        <v>7</v>
      </c>
      <c r="C1335">
        <v>49.06</v>
      </c>
      <c r="D1335">
        <v>5</v>
      </c>
      <c r="E1335" t="s">
        <v>10</v>
      </c>
      <c r="F1335" t="s">
        <v>14</v>
      </c>
      <c r="G1335" s="2">
        <v>58571.074480000003</v>
      </c>
      <c r="H1335" t="str" cm="1">
        <f t="array" ref="H1335">_xlfn.IFS(A1335&lt;=30, "Youth", A1335&lt;=50, "Adult", A1335&gt;50, "Older")</f>
        <v>Older</v>
      </c>
      <c r="I1335" t="str" cm="1">
        <f t="array" ref="I1335">_xlfn.IFS(A1335&lt;=25,"18-25",A1335&lt;=35,"26-35",A1335&lt;=45,"36-45",A1335&lt;=60,"46-60",A1335&gt;60,"60+")</f>
        <v>60+</v>
      </c>
      <c r="J1335" t="str" cm="1">
        <f t="array" ref="J1335">_xlfn.IFS(C1335&lt;18.5,"Underweight",C1335&lt;25,"Normal",C1335&lt;30,"Overweight",C1335&gt;=30,"Obese")</f>
        <v>Obese</v>
      </c>
      <c r="K1335" t="str" cm="1">
        <f t="array" ref="K1335">_xlfn.IFS(G1335&lt;10000, "Low", G1335&lt;=25000, "Medium", G1335&gt;25000, "High")</f>
        <v>High</v>
      </c>
    </row>
    <row r="1336" spans="1:11" x14ac:dyDescent="0.3">
      <c r="A1336">
        <v>64</v>
      </c>
      <c r="B1336" s="1" t="s">
        <v>7</v>
      </c>
      <c r="C1336">
        <v>50.38</v>
      </c>
      <c r="D1336">
        <v>5</v>
      </c>
      <c r="E1336" t="s">
        <v>10</v>
      </c>
      <c r="F1336" t="s">
        <v>12</v>
      </c>
      <c r="G1336" s="2">
        <v>60021.398970000002</v>
      </c>
      <c r="H1336" t="str" cm="1">
        <f t="array" ref="H1336">_xlfn.IFS(A1336&lt;=30, "Youth", A1336&lt;=50, "Adult", A1336&gt;50, "Older")</f>
        <v>Older</v>
      </c>
      <c r="I1336" t="str" cm="1">
        <f t="array" ref="I1336">_xlfn.IFS(A1336&lt;=25,"18-25",A1336&lt;=35,"26-35",A1336&lt;=45,"36-45",A1336&lt;=60,"46-60",A1336&gt;60,"60+")</f>
        <v>60+</v>
      </c>
      <c r="J1336" t="str" cm="1">
        <f t="array" ref="J1336">_xlfn.IFS(C1336&lt;18.5,"Underweight",C1336&lt;25,"Normal",C1336&lt;30,"Overweight",C1336&gt;=30,"Obese")</f>
        <v>Obese</v>
      </c>
      <c r="K1336" t="str" cm="1">
        <f t="array" ref="K1336">_xlfn.IFS(G1336&lt;10000, "Low", G1336&lt;=25000, "Medium", G1336&gt;25000, "High")</f>
        <v>High</v>
      </c>
    </row>
    <row r="1337" spans="1:11" x14ac:dyDescent="0.3">
      <c r="A1337">
        <v>64</v>
      </c>
      <c r="B1337" s="1" t="s">
        <v>7</v>
      </c>
      <c r="C1337">
        <v>52.58</v>
      </c>
      <c r="D1337">
        <v>5</v>
      </c>
      <c r="E1337" t="s">
        <v>10</v>
      </c>
      <c r="F1337" t="s">
        <v>11</v>
      </c>
      <c r="G1337" s="2">
        <v>62592.873090000001</v>
      </c>
      <c r="H1337" t="str" cm="1">
        <f t="array" ref="H1337">_xlfn.IFS(A1337&lt;=30, "Youth", A1337&lt;=50, "Adult", A1337&gt;50, "Older")</f>
        <v>Older</v>
      </c>
      <c r="I1337" t="str" cm="1">
        <f t="array" ref="I1337">_xlfn.IFS(A1337&lt;=25,"18-25",A1337&lt;=35,"26-35",A1337&lt;=45,"36-45",A1337&lt;=60,"46-60",A1337&gt;60,"60+")</f>
        <v>60+</v>
      </c>
      <c r="J1337" t="str" cm="1">
        <f t="array" ref="J1337">_xlfn.IFS(C1337&lt;18.5,"Underweight",C1337&lt;25,"Normal",C1337&lt;30,"Overweight",C1337&gt;=30,"Obese")</f>
        <v>Obese</v>
      </c>
      <c r="K1337" t="str" cm="1">
        <f t="array" ref="K1337">_xlfn.IFS(G1337&lt;10000, "Low", G1337&lt;=25000, "Medium", G1337&gt;25000, "High")</f>
        <v>High</v>
      </c>
    </row>
    <row r="1338" spans="1:11" x14ac:dyDescent="0.3">
      <c r="A1338">
        <v>64</v>
      </c>
      <c r="B1338" s="1" t="s">
        <v>7</v>
      </c>
      <c r="C1338">
        <v>53.13</v>
      </c>
      <c r="D1338">
        <v>5</v>
      </c>
      <c r="E1338" t="s">
        <v>9</v>
      </c>
      <c r="F1338" t="s">
        <v>13</v>
      </c>
      <c r="G1338" s="2">
        <v>63770.428010000003</v>
      </c>
      <c r="H1338" t="str" cm="1">
        <f t="array" ref="H1338">_xlfn.IFS(A1338&lt;=30, "Youth", A1338&lt;=50, "Adult", A1338&gt;50, "Older")</f>
        <v>Older</v>
      </c>
      <c r="I1338" t="str" cm="1">
        <f t="array" ref="I1338">_xlfn.IFS(A1338&lt;=25,"18-25",A1338&lt;=35,"26-35",A1338&lt;=45,"36-45",A1338&lt;=60,"46-60",A1338&gt;60,"60+")</f>
        <v>60+</v>
      </c>
      <c r="J1338" t="str" cm="1">
        <f t="array" ref="J1338">_xlfn.IFS(C1338&lt;18.5,"Underweight",C1338&lt;25,"Normal",C1338&lt;30,"Overweight",C1338&gt;=30,"Obese")</f>
        <v>Obese</v>
      </c>
      <c r="K1338" t="str" cm="1">
        <f t="array" ref="K1338">_xlfn.IFS(G1338&lt;10000, "Low", G1338&lt;=25000, "Medium", G1338&gt;25000, "High")</f>
        <v>High</v>
      </c>
    </row>
  </sheetData>
  <sortState xmlns:xlrd2="http://schemas.microsoft.com/office/spreadsheetml/2017/richdata2" ref="G2:G1342">
    <sortCondition ref="G1:G1342"/>
  </sortState>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05D23-2E4C-4866-BCC8-291DDCD99326}">
  <dimension ref="A1:E28"/>
  <sheetViews>
    <sheetView workbookViewId="0">
      <selection activeCell="B3" sqref="B3"/>
    </sheetView>
  </sheetViews>
  <sheetFormatPr defaultRowHeight="14.4" x14ac:dyDescent="0.3"/>
  <cols>
    <col min="1" max="1" width="10.5546875" bestFit="1" customWidth="1"/>
    <col min="2" max="2" width="16.33203125" bestFit="1" customWidth="1"/>
    <col min="4" max="4" width="10.5546875" bestFit="1" customWidth="1"/>
    <col min="5" max="5" width="17.44140625" bestFit="1" customWidth="1"/>
    <col min="11" max="11" width="16.33203125" bestFit="1" customWidth="1"/>
  </cols>
  <sheetData>
    <row r="1" spans="1:5" x14ac:dyDescent="0.3">
      <c r="A1" s="3" t="s">
        <v>19</v>
      </c>
      <c r="D1" s="5" t="s">
        <v>56</v>
      </c>
      <c r="E1" s="2" t="s">
        <v>32</v>
      </c>
    </row>
    <row r="2" spans="1:5" x14ac:dyDescent="0.3">
      <c r="A2" s="3" t="s">
        <v>20</v>
      </c>
      <c r="B2" s="3" t="s">
        <v>33</v>
      </c>
      <c r="D2" s="6" t="s">
        <v>51</v>
      </c>
      <c r="E2" s="2">
        <v>10134.49066984944</v>
      </c>
    </row>
    <row r="3" spans="1:5" x14ac:dyDescent="0.3">
      <c r="A3" t="s">
        <v>21</v>
      </c>
      <c r="B3">
        <f>COUNTA(insurance!G2:G1338)</f>
        <v>1337</v>
      </c>
      <c r="D3" s="6" t="s">
        <v>52</v>
      </c>
      <c r="E3" s="2">
        <v>30213.015216657284</v>
      </c>
    </row>
    <row r="4" spans="1:5" x14ac:dyDescent="0.3">
      <c r="A4" t="s">
        <v>22</v>
      </c>
      <c r="B4" s="2">
        <f>AVERAGE(insurance!G2:G1338)</f>
        <v>13279.121486655953</v>
      </c>
      <c r="D4" s="6" t="s">
        <v>53</v>
      </c>
      <c r="E4" s="2">
        <v>3489.8330251692996</v>
      </c>
    </row>
    <row r="5" spans="1:5" x14ac:dyDescent="0.3">
      <c r="A5" t="s">
        <v>23</v>
      </c>
      <c r="B5" s="2">
        <f>MEDIAN(insurance!G2:G1338)</f>
        <v>9386.1612999999998</v>
      </c>
      <c r="D5" s="6" t="s">
        <v>71</v>
      </c>
      <c r="E5" s="2"/>
    </row>
    <row r="6" spans="1:5" x14ac:dyDescent="0.3">
      <c r="A6" t="s">
        <v>24</v>
      </c>
      <c r="B6" s="4">
        <f>COUNTIF(insurance!E2:E1338, "Yes")/COUNTA(insurance!E2:E1338)</f>
        <v>0.20493642483171279</v>
      </c>
      <c r="D6" s="6" t="s">
        <v>31</v>
      </c>
      <c r="E6" s="2">
        <v>13279.121486655942</v>
      </c>
    </row>
    <row r="7" spans="1:5" x14ac:dyDescent="0.3">
      <c r="A7" t="s">
        <v>25</v>
      </c>
      <c r="B7" s="2">
        <f>AVERAGEIF(insurance!E2:E1338, "Yes", insurance!G2:G1338)</f>
        <v>13861.700042773724</v>
      </c>
    </row>
    <row r="8" spans="1:5" x14ac:dyDescent="0.3">
      <c r="A8" t="s">
        <v>26</v>
      </c>
      <c r="B8" s="2">
        <f>AVERAGEIF(insurance!E2:E1338, "No", insurance!G2:G1338)</f>
        <v>13128.955424213547</v>
      </c>
      <c r="D8" s="5" t="s">
        <v>57</v>
      </c>
      <c r="E8" s="2" t="s">
        <v>32</v>
      </c>
    </row>
    <row r="9" spans="1:5" x14ac:dyDescent="0.3">
      <c r="A9" t="s">
        <v>27</v>
      </c>
      <c r="B9" s="2">
        <f>MIN(insurance!G2:G1338)</f>
        <v>1121.8739</v>
      </c>
      <c r="D9" s="6" t="s">
        <v>7</v>
      </c>
      <c r="E9" s="2">
        <v>13379.529066055889</v>
      </c>
    </row>
    <row r="10" spans="1:5" x14ac:dyDescent="0.3">
      <c r="A10" t="s">
        <v>28</v>
      </c>
      <c r="B10" s="2">
        <f>MAX(insurance!G2:G1338)</f>
        <v>63770.428010000003</v>
      </c>
      <c r="D10" s="6" t="s">
        <v>8</v>
      </c>
      <c r="E10" s="2">
        <v>13180.647682859262</v>
      </c>
    </row>
    <row r="11" spans="1:5" x14ac:dyDescent="0.3">
      <c r="A11" t="s">
        <v>29</v>
      </c>
      <c r="B11">
        <f>AVERAGE(insurance!C2:C1338)</f>
        <v>30.663451757666415</v>
      </c>
      <c r="D11" s="6" t="s">
        <v>71</v>
      </c>
      <c r="E11" s="2"/>
    </row>
    <row r="12" spans="1:5" x14ac:dyDescent="0.3">
      <c r="A12" t="s">
        <v>30</v>
      </c>
      <c r="B12" s="2">
        <v>13279.121486655944</v>
      </c>
      <c r="D12" s="6" t="s">
        <v>31</v>
      </c>
      <c r="E12" s="2">
        <v>13279.121486655955</v>
      </c>
    </row>
    <row r="14" spans="1:5" x14ac:dyDescent="0.3">
      <c r="A14" s="5" t="s">
        <v>54</v>
      </c>
      <c r="B14" t="s">
        <v>32</v>
      </c>
      <c r="D14" s="5" t="s">
        <v>58</v>
      </c>
      <c r="E14" s="2" t="s">
        <v>32</v>
      </c>
    </row>
    <row r="15" spans="1:5" x14ac:dyDescent="0.3">
      <c r="A15" s="6" t="s">
        <v>13</v>
      </c>
      <c r="B15" s="7">
        <v>13866.552775648152</v>
      </c>
      <c r="D15" s="6">
        <v>0</v>
      </c>
      <c r="E15" s="2">
        <v>4302.3583318830715</v>
      </c>
    </row>
    <row r="16" spans="1:5" x14ac:dyDescent="0.3">
      <c r="A16" s="6" t="s">
        <v>11</v>
      </c>
      <c r="B16" s="7">
        <v>13468.227644643073</v>
      </c>
      <c r="D16" s="6">
        <v>1</v>
      </c>
      <c r="E16" s="2">
        <v>10406.181269598757</v>
      </c>
    </row>
    <row r="17" spans="1:5" x14ac:dyDescent="0.3">
      <c r="A17" s="6" t="s">
        <v>14</v>
      </c>
      <c r="B17" s="7">
        <v>13109.351141481478</v>
      </c>
      <c r="D17" s="6">
        <v>2</v>
      </c>
      <c r="E17" s="2">
        <v>17823.686049875003</v>
      </c>
    </row>
    <row r="18" spans="1:5" x14ac:dyDescent="0.3">
      <c r="A18" s="6" t="s">
        <v>12</v>
      </c>
      <c r="B18" s="7">
        <v>12738.512565934067</v>
      </c>
      <c r="D18" s="6">
        <v>3</v>
      </c>
      <c r="E18" s="2">
        <v>35332.851962229288</v>
      </c>
    </row>
    <row r="19" spans="1:5" x14ac:dyDescent="0.3">
      <c r="A19" s="6" t="s">
        <v>71</v>
      </c>
      <c r="B19" s="7"/>
      <c r="D19" s="6">
        <v>4</v>
      </c>
      <c r="E19" s="2">
        <v>46153.63603880001</v>
      </c>
    </row>
    <row r="20" spans="1:5" x14ac:dyDescent="0.3">
      <c r="A20" s="6" t="s">
        <v>31</v>
      </c>
      <c r="B20" s="7">
        <v>13279.121486655944</v>
      </c>
      <c r="D20" s="6">
        <v>5</v>
      </c>
      <c r="E20" s="2">
        <v>52141.558951666666</v>
      </c>
    </row>
    <row r="21" spans="1:5" x14ac:dyDescent="0.3">
      <c r="A21" s="5" t="s">
        <v>55</v>
      </c>
      <c r="B21" s="2" t="s">
        <v>32</v>
      </c>
      <c r="D21" s="6" t="s">
        <v>31</v>
      </c>
      <c r="E21" s="2">
        <v>13279.121486655953</v>
      </c>
    </row>
    <row r="22" spans="1:5" x14ac:dyDescent="0.3">
      <c r="A22" s="6" t="s">
        <v>10</v>
      </c>
      <c r="B22" s="2">
        <v>13128.955424213547</v>
      </c>
    </row>
    <row r="23" spans="1:5" x14ac:dyDescent="0.3">
      <c r="A23" s="6" t="s">
        <v>9</v>
      </c>
      <c r="B23" s="2">
        <v>13861.700042773724</v>
      </c>
      <c r="D23" s="5" t="s">
        <v>63</v>
      </c>
      <c r="E23" s="2" t="s">
        <v>32</v>
      </c>
    </row>
    <row r="24" spans="1:5" x14ac:dyDescent="0.3">
      <c r="A24" s="6" t="s">
        <v>71</v>
      </c>
      <c r="B24" s="2"/>
      <c r="D24" s="6" t="s">
        <v>59</v>
      </c>
      <c r="E24" s="2">
        <v>20964.187893541082</v>
      </c>
    </row>
    <row r="25" spans="1:5" x14ac:dyDescent="0.3">
      <c r="A25" s="6" t="s">
        <v>31</v>
      </c>
      <c r="B25" s="2">
        <v>13279.121486655933</v>
      </c>
      <c r="D25" s="6" t="s">
        <v>61</v>
      </c>
      <c r="E25" s="2">
        <v>6162.731749919687</v>
      </c>
    </row>
    <row r="26" spans="1:5" x14ac:dyDescent="0.3">
      <c r="D26" s="6" t="s">
        <v>60</v>
      </c>
      <c r="E26" s="2">
        <v>2447.0473602222219</v>
      </c>
    </row>
    <row r="27" spans="1:5" x14ac:dyDescent="0.3">
      <c r="D27" s="6" t="s">
        <v>62</v>
      </c>
      <c r="E27" s="2">
        <v>1203.4331649999999</v>
      </c>
    </row>
    <row r="28" spans="1:5" x14ac:dyDescent="0.3">
      <c r="D28" s="6" t="s">
        <v>31</v>
      </c>
      <c r="E28" s="2">
        <v>13279.121486655937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98197-2D79-49D2-9999-C2A950DA09B7}">
  <dimension ref="A1:C8"/>
  <sheetViews>
    <sheetView workbookViewId="0">
      <selection activeCell="C11" sqref="C11"/>
    </sheetView>
  </sheetViews>
  <sheetFormatPr defaultRowHeight="14.4" x14ac:dyDescent="0.3"/>
  <cols>
    <col min="1" max="1" width="15.5546875" customWidth="1"/>
    <col min="2" max="2" width="20.6640625" bestFit="1" customWidth="1"/>
    <col min="3" max="3" width="50" customWidth="1"/>
  </cols>
  <sheetData>
    <row r="1" spans="1:3" x14ac:dyDescent="0.3">
      <c r="A1" s="3" t="s">
        <v>34</v>
      </c>
      <c r="B1" s="3" t="s">
        <v>35</v>
      </c>
      <c r="C1" s="3" t="s">
        <v>36</v>
      </c>
    </row>
    <row r="2" spans="1:3" ht="21.6" customHeight="1" x14ac:dyDescent="0.3">
      <c r="A2" t="s">
        <v>37</v>
      </c>
      <c r="B2" t="s">
        <v>38</v>
      </c>
      <c r="C2" s="8" t="s">
        <v>39</v>
      </c>
    </row>
    <row r="3" spans="1:3" x14ac:dyDescent="0.3">
      <c r="A3" s="8" t="s">
        <v>4</v>
      </c>
      <c r="B3" s="8" t="s">
        <v>40</v>
      </c>
      <c r="C3" s="8" t="s">
        <v>41</v>
      </c>
    </row>
    <row r="4" spans="1:3" x14ac:dyDescent="0.3">
      <c r="A4" t="s">
        <v>1</v>
      </c>
      <c r="B4" t="s">
        <v>42</v>
      </c>
      <c r="C4" t="s">
        <v>43</v>
      </c>
    </row>
    <row r="5" spans="1:3" x14ac:dyDescent="0.3">
      <c r="A5" t="s">
        <v>0</v>
      </c>
      <c r="B5" t="s">
        <v>44</v>
      </c>
      <c r="C5" t="s">
        <v>45</v>
      </c>
    </row>
    <row r="6" spans="1:3" x14ac:dyDescent="0.3">
      <c r="A6" t="s">
        <v>2</v>
      </c>
      <c r="B6" t="s">
        <v>44</v>
      </c>
      <c r="C6" t="s">
        <v>46</v>
      </c>
    </row>
    <row r="7" spans="1:3" x14ac:dyDescent="0.3">
      <c r="A7" t="s">
        <v>3</v>
      </c>
      <c r="B7" t="s">
        <v>47</v>
      </c>
      <c r="C7" t="s">
        <v>48</v>
      </c>
    </row>
    <row r="8" spans="1:3" x14ac:dyDescent="0.3">
      <c r="A8" t="s">
        <v>6</v>
      </c>
      <c r="B8" t="s">
        <v>49</v>
      </c>
      <c r="C8" t="s">
        <v>50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F6105-78E5-4F6B-AEFC-515542AC2047}">
  <sheetPr>
    <pageSetUpPr fitToPage="1"/>
  </sheetPr>
  <dimension ref="A1:J168"/>
  <sheetViews>
    <sheetView showGridLines="0" tabSelected="1" zoomScale="70" zoomScaleNormal="70" workbookViewId="0">
      <selection activeCell="L13" sqref="L13"/>
    </sheetView>
  </sheetViews>
  <sheetFormatPr defaultRowHeight="14.4" x14ac:dyDescent="0.3"/>
  <cols>
    <col min="1" max="1" width="7.5546875" customWidth="1"/>
    <col min="2" max="2" width="38.109375" customWidth="1"/>
    <col min="4" max="4" width="33.21875" customWidth="1"/>
    <col min="5" max="5" width="6.6640625" customWidth="1"/>
    <col min="6" max="6" width="35.6640625" customWidth="1"/>
    <col min="7" max="7" width="8.88671875" customWidth="1"/>
    <col min="8" max="8" width="37.21875" customWidth="1"/>
    <col min="9" max="9" width="32" customWidth="1"/>
  </cols>
  <sheetData>
    <row r="1" spans="1:10" ht="31.8" customHeight="1" x14ac:dyDescent="0.65">
      <c r="A1" s="10"/>
      <c r="B1" s="20" t="s">
        <v>70</v>
      </c>
      <c r="C1" s="21"/>
      <c r="D1" s="21"/>
      <c r="E1" s="21"/>
      <c r="F1" s="21"/>
      <c r="G1" s="21"/>
      <c r="H1" s="21"/>
      <c r="I1" s="21"/>
      <c r="J1" s="10"/>
    </row>
    <row r="2" spans="1:10" ht="1.8" customHeight="1" x14ac:dyDescent="0.3">
      <c r="A2" s="10"/>
      <c r="B2" s="10"/>
      <c r="C2" s="10"/>
      <c r="D2" s="10"/>
      <c r="E2" s="10"/>
      <c r="F2" s="10"/>
      <c r="G2" s="10"/>
      <c r="H2" s="10"/>
      <c r="I2" s="10"/>
      <c r="J2" s="10"/>
    </row>
    <row r="3" spans="1:10" ht="3" hidden="1" customHeight="1" x14ac:dyDescent="0.3">
      <c r="A3" s="10"/>
      <c r="B3" s="10"/>
      <c r="C3" s="10"/>
      <c r="D3" s="10"/>
      <c r="E3" s="10"/>
      <c r="F3" s="10"/>
      <c r="G3" s="10"/>
      <c r="H3" s="10"/>
      <c r="I3" s="10"/>
      <c r="J3" s="10"/>
    </row>
    <row r="4" spans="1:10" ht="34.799999999999997" customHeight="1" x14ac:dyDescent="0.3">
      <c r="A4" s="10"/>
      <c r="B4" s="11" t="s">
        <v>67</v>
      </c>
      <c r="C4" s="10"/>
      <c r="D4" s="11" t="s">
        <v>68</v>
      </c>
      <c r="E4" s="10"/>
      <c r="F4" s="19" t="s">
        <v>72</v>
      </c>
      <c r="G4" s="10"/>
      <c r="H4" s="12" t="s">
        <v>69</v>
      </c>
      <c r="I4" s="10"/>
      <c r="J4" s="10"/>
    </row>
    <row r="5" spans="1:10" ht="28.8" customHeight="1" x14ac:dyDescent="0.4">
      <c r="A5" s="10"/>
      <c r="B5" s="13">
        <f>'KPI and Pivot'!B3</f>
        <v>1337</v>
      </c>
      <c r="C5" s="10"/>
      <c r="D5" s="14">
        <f>'KPI and Pivot'!B12</f>
        <v>13279.121486655944</v>
      </c>
      <c r="E5" s="10"/>
      <c r="F5" s="14">
        <f>'KPI and Pivot'!B5</f>
        <v>9386.1612999999998</v>
      </c>
      <c r="G5" s="10"/>
      <c r="H5" s="15">
        <f>'KPI and Pivot'!B6</f>
        <v>0.20493642483171279</v>
      </c>
      <c r="I5" s="10"/>
      <c r="J5" s="10"/>
    </row>
    <row r="6" spans="1:10" x14ac:dyDescent="0.3">
      <c r="A6" s="10"/>
      <c r="B6" s="10"/>
      <c r="C6" s="10"/>
      <c r="D6" s="10"/>
      <c r="E6" s="10"/>
      <c r="F6" s="10"/>
      <c r="G6" s="10"/>
      <c r="H6" s="10"/>
      <c r="I6" s="10"/>
      <c r="J6" s="10"/>
    </row>
    <row r="7" spans="1:10" x14ac:dyDescent="0.3">
      <c r="A7" s="10"/>
      <c r="B7" s="16"/>
      <c r="C7" s="10"/>
      <c r="D7" s="17"/>
      <c r="E7" s="10"/>
      <c r="F7" s="17"/>
      <c r="G7" s="10"/>
      <c r="H7" s="18"/>
      <c r="I7" s="10"/>
      <c r="J7" s="10"/>
    </row>
    <row r="8" spans="1:10" x14ac:dyDescent="0.3">
      <c r="A8" s="10"/>
      <c r="B8" s="10"/>
      <c r="C8" s="10"/>
      <c r="D8" s="10"/>
      <c r="E8" s="10"/>
      <c r="F8" s="10"/>
      <c r="G8" s="10"/>
      <c r="H8" s="10"/>
      <c r="I8" s="10"/>
      <c r="J8" s="10"/>
    </row>
    <row r="9" spans="1:10" x14ac:dyDescent="0.3">
      <c r="A9" s="10"/>
      <c r="B9" s="10"/>
      <c r="C9" s="10"/>
      <c r="D9" s="10"/>
      <c r="E9" s="10"/>
      <c r="F9" s="10"/>
      <c r="G9" s="10"/>
      <c r="H9" s="10"/>
      <c r="I9" s="10"/>
      <c r="J9" s="10"/>
    </row>
    <row r="10" spans="1:10" x14ac:dyDescent="0.3">
      <c r="A10" s="10"/>
      <c r="B10" s="10"/>
      <c r="C10" s="10"/>
      <c r="D10" s="17"/>
      <c r="E10" s="10"/>
      <c r="F10" s="10"/>
      <c r="G10" s="10"/>
      <c r="H10" s="10"/>
      <c r="I10" s="10"/>
      <c r="J10" s="10"/>
    </row>
    <row r="11" spans="1:10" x14ac:dyDescent="0.3">
      <c r="A11" s="10"/>
      <c r="B11" s="10"/>
      <c r="C11" s="10"/>
      <c r="D11" s="10"/>
      <c r="E11" s="10"/>
      <c r="F11" s="10"/>
      <c r="G11" s="10"/>
      <c r="H11" s="10"/>
      <c r="I11" s="10"/>
      <c r="J11" s="10"/>
    </row>
    <row r="12" spans="1:10" x14ac:dyDescent="0.3">
      <c r="A12" s="10"/>
      <c r="B12" s="10"/>
      <c r="C12" s="10"/>
      <c r="D12" s="10"/>
      <c r="E12" s="10"/>
      <c r="F12" s="10"/>
      <c r="G12" s="10"/>
      <c r="H12" s="10"/>
      <c r="I12" s="10"/>
      <c r="J12" s="10"/>
    </row>
    <row r="13" spans="1:10" x14ac:dyDescent="0.3">
      <c r="A13" s="10"/>
      <c r="B13" s="10"/>
      <c r="C13" s="10"/>
      <c r="D13" s="10"/>
      <c r="E13" s="10"/>
      <c r="F13" s="10"/>
      <c r="G13" s="10"/>
      <c r="H13" s="10"/>
      <c r="I13" s="10"/>
      <c r="J13" s="10"/>
    </row>
    <row r="14" spans="1:10" x14ac:dyDescent="0.3">
      <c r="A14" s="10"/>
      <c r="B14" s="10"/>
      <c r="C14" s="10"/>
      <c r="D14" s="10"/>
      <c r="E14" s="10"/>
      <c r="F14" s="10"/>
      <c r="G14" s="10"/>
      <c r="H14" s="10"/>
      <c r="I14" s="10"/>
      <c r="J14" s="10"/>
    </row>
    <row r="15" spans="1:10" x14ac:dyDescent="0.3">
      <c r="A15" s="10"/>
      <c r="B15" s="10"/>
      <c r="C15" s="10"/>
      <c r="D15" s="10"/>
      <c r="E15" s="10"/>
      <c r="F15" s="10"/>
      <c r="G15" s="10"/>
      <c r="H15" s="10"/>
      <c r="I15" s="10"/>
      <c r="J15" s="10"/>
    </row>
    <row r="16" spans="1:10" x14ac:dyDescent="0.3">
      <c r="A16" s="10"/>
      <c r="B16" s="10"/>
      <c r="C16" s="10"/>
      <c r="D16" s="10"/>
      <c r="E16" s="10"/>
      <c r="F16" s="10"/>
      <c r="G16" s="10"/>
      <c r="H16" s="10"/>
      <c r="I16" s="10"/>
      <c r="J16" s="10"/>
    </row>
    <row r="17" spans="1:10" x14ac:dyDescent="0.3">
      <c r="A17" s="10"/>
      <c r="B17" s="10"/>
      <c r="C17" s="10"/>
      <c r="D17" s="10"/>
      <c r="E17" s="10"/>
      <c r="F17" s="10"/>
      <c r="G17" s="10"/>
      <c r="H17" s="10"/>
      <c r="I17" s="10"/>
      <c r="J17" s="10"/>
    </row>
    <row r="18" spans="1:10" x14ac:dyDescent="0.3">
      <c r="A18" s="10"/>
      <c r="B18" s="10"/>
      <c r="C18" s="10"/>
      <c r="D18" s="10"/>
      <c r="E18" s="10"/>
      <c r="F18" s="10"/>
      <c r="G18" s="10"/>
      <c r="H18" s="10"/>
      <c r="I18" s="10"/>
      <c r="J18" s="10"/>
    </row>
    <row r="19" spans="1:10" x14ac:dyDescent="0.3">
      <c r="A19" s="10"/>
      <c r="B19" s="10"/>
      <c r="C19" s="10"/>
      <c r="D19" s="10"/>
      <c r="E19" s="10"/>
      <c r="F19" s="10"/>
      <c r="G19" s="10"/>
      <c r="H19" s="10"/>
      <c r="I19" s="10"/>
      <c r="J19" s="10"/>
    </row>
    <row r="20" spans="1:10" x14ac:dyDescent="0.3">
      <c r="A20" s="10"/>
      <c r="B20" s="10"/>
      <c r="C20" s="10"/>
      <c r="D20" s="10"/>
      <c r="E20" s="10"/>
      <c r="F20" s="10"/>
      <c r="G20" s="10"/>
      <c r="H20" s="10"/>
      <c r="I20" s="10"/>
      <c r="J20" s="10"/>
    </row>
    <row r="21" spans="1:10" x14ac:dyDescent="0.3">
      <c r="A21" s="10"/>
      <c r="B21" s="10"/>
      <c r="C21" s="10"/>
      <c r="D21" s="10"/>
      <c r="E21" s="10"/>
      <c r="F21" s="10"/>
      <c r="G21" s="10"/>
      <c r="H21" s="10"/>
      <c r="I21" s="10"/>
      <c r="J21" s="10"/>
    </row>
    <row r="22" spans="1:10" x14ac:dyDescent="0.3">
      <c r="A22" s="10"/>
      <c r="B22" s="10"/>
      <c r="C22" s="10"/>
      <c r="D22" s="10"/>
      <c r="E22" s="10"/>
      <c r="F22" s="10"/>
      <c r="G22" s="10"/>
      <c r="H22" s="10"/>
      <c r="I22" s="10"/>
      <c r="J22" s="10"/>
    </row>
    <row r="23" spans="1:10" ht="100.05" customHeight="1" x14ac:dyDescent="0.3">
      <c r="A23" s="10"/>
      <c r="B23" s="10"/>
      <c r="C23" s="10"/>
      <c r="D23" s="10"/>
      <c r="E23" s="10"/>
      <c r="F23" s="10"/>
      <c r="G23" s="10"/>
      <c r="H23" s="10"/>
      <c r="I23" s="10"/>
      <c r="J23" s="10"/>
    </row>
    <row r="24" spans="1:10" ht="100.05" customHeight="1" x14ac:dyDescent="0.3">
      <c r="A24" s="10"/>
      <c r="B24" s="10"/>
      <c r="C24" s="10"/>
      <c r="D24" s="10"/>
      <c r="E24" s="10"/>
      <c r="F24" s="10"/>
      <c r="G24" s="10"/>
      <c r="H24" s="10"/>
      <c r="I24" s="10"/>
      <c r="J24" s="10"/>
    </row>
    <row r="25" spans="1:10" ht="124.8" customHeight="1" x14ac:dyDescent="0.3">
      <c r="A25" s="10"/>
      <c r="B25" s="9"/>
      <c r="C25" s="9"/>
      <c r="D25" s="9"/>
      <c r="E25" s="9"/>
      <c r="F25" s="9"/>
      <c r="G25" s="9"/>
      <c r="H25" s="9"/>
      <c r="I25" s="10"/>
      <c r="J25" s="10"/>
    </row>
    <row r="26" spans="1:10" ht="100.05" customHeight="1" x14ac:dyDescent="0.3">
      <c r="B26" s="9"/>
      <c r="C26" s="9"/>
      <c r="D26" s="9"/>
      <c r="E26" s="9"/>
      <c r="F26" s="9"/>
      <c r="G26" s="9"/>
      <c r="H26" s="9"/>
    </row>
    <row r="27" spans="1:10" ht="100.05" customHeight="1" x14ac:dyDescent="0.3">
      <c r="B27" s="10"/>
      <c r="C27" s="10"/>
      <c r="D27" s="10"/>
      <c r="E27" s="10"/>
      <c r="F27" s="10"/>
      <c r="G27" s="10"/>
      <c r="H27" s="10"/>
    </row>
    <row r="28" spans="1:10" ht="100.05" customHeight="1" x14ac:dyDescent="0.3"/>
    <row r="29" spans="1:10" ht="100.05" customHeight="1" x14ac:dyDescent="0.3"/>
    <row r="30" spans="1:10" ht="100.05" customHeight="1" x14ac:dyDescent="0.3"/>
    <row r="31" spans="1:10" ht="100.05" customHeight="1" x14ac:dyDescent="0.3"/>
    <row r="32" spans="1:10" ht="100.05" customHeight="1" x14ac:dyDescent="0.3"/>
    <row r="33" ht="100.05" customHeight="1" x14ac:dyDescent="0.3"/>
    <row r="34" ht="100.05" customHeight="1" x14ac:dyDescent="0.3"/>
    <row r="35" ht="100.05" customHeight="1" x14ac:dyDescent="0.3"/>
    <row r="36" ht="100.05" customHeight="1" x14ac:dyDescent="0.3"/>
    <row r="37" ht="100.05" customHeight="1" x14ac:dyDescent="0.3"/>
    <row r="38" ht="100.05" customHeight="1" x14ac:dyDescent="0.3"/>
    <row r="39" ht="100.05" customHeight="1" x14ac:dyDescent="0.3"/>
    <row r="40" ht="100.05" customHeight="1" x14ac:dyDescent="0.3"/>
    <row r="41" ht="100.05" customHeight="1" x14ac:dyDescent="0.3"/>
    <row r="42" ht="100.05" customHeight="1" x14ac:dyDescent="0.3"/>
    <row r="43" ht="100.05" customHeight="1" x14ac:dyDescent="0.3"/>
    <row r="44" ht="100.05" customHeight="1" x14ac:dyDescent="0.3"/>
    <row r="45" ht="100.05" customHeight="1" x14ac:dyDescent="0.3"/>
    <row r="46" ht="100.05" customHeight="1" x14ac:dyDescent="0.3"/>
    <row r="47" ht="100.05" customHeight="1" x14ac:dyDescent="0.3"/>
    <row r="48" ht="100.05" customHeight="1" x14ac:dyDescent="0.3"/>
    <row r="49" ht="100.05" customHeight="1" x14ac:dyDescent="0.3"/>
    <row r="50" ht="100.05" customHeight="1" x14ac:dyDescent="0.3"/>
    <row r="51" ht="100.05" customHeight="1" x14ac:dyDescent="0.3"/>
    <row r="52" ht="100.05" customHeight="1" x14ac:dyDescent="0.3"/>
    <row r="53" ht="100.05" customHeight="1" x14ac:dyDescent="0.3"/>
    <row r="54" ht="100.05" customHeight="1" x14ac:dyDescent="0.3"/>
    <row r="55" ht="100.05" customHeight="1" x14ac:dyDescent="0.3"/>
    <row r="56" ht="100.05" customHeight="1" x14ac:dyDescent="0.3"/>
    <row r="57" ht="100.05" customHeight="1" x14ac:dyDescent="0.3"/>
    <row r="58" ht="100.05" customHeight="1" x14ac:dyDescent="0.3"/>
    <row r="59" ht="100.05" customHeight="1" x14ac:dyDescent="0.3"/>
    <row r="60" ht="100.05" customHeight="1" x14ac:dyDescent="0.3"/>
    <row r="61" ht="100.05" customHeight="1" x14ac:dyDescent="0.3"/>
    <row r="62" ht="100.05" customHeight="1" x14ac:dyDescent="0.3"/>
    <row r="63" ht="100.05" customHeight="1" x14ac:dyDescent="0.3"/>
    <row r="64" ht="100.05" customHeight="1" x14ac:dyDescent="0.3"/>
    <row r="65" ht="100.05" customHeight="1" x14ac:dyDescent="0.3"/>
    <row r="66" ht="100.05" customHeight="1" x14ac:dyDescent="0.3"/>
    <row r="67" ht="100.05" customHeight="1" x14ac:dyDescent="0.3"/>
    <row r="68" ht="100.05" customHeight="1" x14ac:dyDescent="0.3"/>
    <row r="69" ht="100.05" customHeight="1" x14ac:dyDescent="0.3"/>
    <row r="70" ht="100.05" customHeight="1" x14ac:dyDescent="0.3"/>
    <row r="71" ht="100.05" customHeight="1" x14ac:dyDescent="0.3"/>
    <row r="72" ht="100.05" customHeight="1" x14ac:dyDescent="0.3"/>
    <row r="73" ht="100.05" customHeight="1" x14ac:dyDescent="0.3"/>
    <row r="74" ht="100.05" customHeight="1" x14ac:dyDescent="0.3"/>
    <row r="75" ht="100.05" customHeight="1" x14ac:dyDescent="0.3"/>
    <row r="76" ht="100.05" customHeight="1" x14ac:dyDescent="0.3"/>
    <row r="77" ht="100.05" customHeight="1" x14ac:dyDescent="0.3"/>
    <row r="78" ht="100.05" customHeight="1" x14ac:dyDescent="0.3"/>
    <row r="79" ht="100.05" customHeight="1" x14ac:dyDescent="0.3"/>
    <row r="80" ht="100.05" customHeight="1" x14ac:dyDescent="0.3"/>
    <row r="81" ht="100.05" customHeight="1" x14ac:dyDescent="0.3"/>
    <row r="82" ht="100.05" customHeight="1" x14ac:dyDescent="0.3"/>
    <row r="83" ht="100.05" customHeight="1" x14ac:dyDescent="0.3"/>
    <row r="84" ht="100.05" customHeight="1" x14ac:dyDescent="0.3"/>
    <row r="85" ht="100.05" customHeight="1" x14ac:dyDescent="0.3"/>
    <row r="86" ht="100.05" customHeight="1" x14ac:dyDescent="0.3"/>
    <row r="87" ht="100.05" customHeight="1" x14ac:dyDescent="0.3"/>
    <row r="88" ht="100.05" customHeight="1" x14ac:dyDescent="0.3"/>
    <row r="89" ht="100.05" customHeight="1" x14ac:dyDescent="0.3"/>
    <row r="90" ht="100.05" customHeight="1" x14ac:dyDescent="0.3"/>
    <row r="91" ht="100.05" customHeight="1" x14ac:dyDescent="0.3"/>
    <row r="92" ht="100.05" customHeight="1" x14ac:dyDescent="0.3"/>
    <row r="93" ht="100.05" customHeight="1" x14ac:dyDescent="0.3"/>
    <row r="94" ht="100.05" customHeight="1" x14ac:dyDescent="0.3"/>
    <row r="95" ht="100.05" customHeight="1" x14ac:dyDescent="0.3"/>
    <row r="96" ht="100.05" customHeight="1" x14ac:dyDescent="0.3"/>
    <row r="97" ht="100.05" customHeight="1" x14ac:dyDescent="0.3"/>
    <row r="98" ht="100.05" customHeight="1" x14ac:dyDescent="0.3"/>
    <row r="99" ht="100.05" customHeight="1" x14ac:dyDescent="0.3"/>
    <row r="100" ht="100.05" customHeight="1" x14ac:dyDescent="0.3"/>
    <row r="101" ht="100.05" customHeight="1" x14ac:dyDescent="0.3"/>
    <row r="102" ht="100.05" customHeight="1" x14ac:dyDescent="0.3"/>
    <row r="103" ht="100.05" customHeight="1" x14ac:dyDescent="0.3"/>
    <row r="104" ht="100.05" customHeight="1" x14ac:dyDescent="0.3"/>
    <row r="105" ht="100.05" customHeight="1" x14ac:dyDescent="0.3"/>
    <row r="106" ht="100.05" customHeight="1" x14ac:dyDescent="0.3"/>
    <row r="107" ht="100.05" customHeight="1" x14ac:dyDescent="0.3"/>
    <row r="108" ht="100.05" customHeight="1" x14ac:dyDescent="0.3"/>
    <row r="109" ht="100.05" customHeight="1" x14ac:dyDescent="0.3"/>
    <row r="110" ht="100.05" customHeight="1" x14ac:dyDescent="0.3"/>
    <row r="111" ht="100.05" customHeight="1" x14ac:dyDescent="0.3"/>
    <row r="112" ht="100.05" customHeight="1" x14ac:dyDescent="0.3"/>
    <row r="113" ht="100.05" customHeight="1" x14ac:dyDescent="0.3"/>
    <row r="114" ht="100.05" customHeight="1" x14ac:dyDescent="0.3"/>
    <row r="115" ht="100.05" customHeight="1" x14ac:dyDescent="0.3"/>
    <row r="116" ht="100.05" customHeight="1" x14ac:dyDescent="0.3"/>
    <row r="117" ht="100.05" customHeight="1" x14ac:dyDescent="0.3"/>
    <row r="118" ht="100.05" customHeight="1" x14ac:dyDescent="0.3"/>
    <row r="119" ht="100.05" customHeight="1" x14ac:dyDescent="0.3"/>
    <row r="120" ht="100.05" customHeight="1" x14ac:dyDescent="0.3"/>
    <row r="121" ht="100.05" customHeight="1" x14ac:dyDescent="0.3"/>
    <row r="122" ht="100.05" customHeight="1" x14ac:dyDescent="0.3"/>
    <row r="123" ht="100.05" customHeight="1" x14ac:dyDescent="0.3"/>
    <row r="124" ht="100.05" customHeight="1" x14ac:dyDescent="0.3"/>
    <row r="125" ht="100.05" customHeight="1" x14ac:dyDescent="0.3"/>
    <row r="126" ht="100.05" customHeight="1" x14ac:dyDescent="0.3"/>
    <row r="127" ht="100.05" customHeight="1" x14ac:dyDescent="0.3"/>
    <row r="128" ht="100.05" customHeight="1" x14ac:dyDescent="0.3"/>
    <row r="129" ht="100.05" customHeight="1" x14ac:dyDescent="0.3"/>
    <row r="130" ht="100.05" customHeight="1" x14ac:dyDescent="0.3"/>
    <row r="131" ht="100.05" customHeight="1" x14ac:dyDescent="0.3"/>
    <row r="132" ht="100.05" customHeight="1" x14ac:dyDescent="0.3"/>
    <row r="133" ht="100.05" customHeight="1" x14ac:dyDescent="0.3"/>
    <row r="134" ht="100.05" customHeight="1" x14ac:dyDescent="0.3"/>
    <row r="135" ht="100.05" customHeight="1" x14ac:dyDescent="0.3"/>
    <row r="136" ht="100.05" customHeight="1" x14ac:dyDescent="0.3"/>
    <row r="137" ht="100.05" customHeight="1" x14ac:dyDescent="0.3"/>
    <row r="138" ht="100.05" customHeight="1" x14ac:dyDescent="0.3"/>
    <row r="139" ht="100.05" customHeight="1" x14ac:dyDescent="0.3"/>
    <row r="140" ht="100.05" customHeight="1" x14ac:dyDescent="0.3"/>
    <row r="141" ht="100.05" customHeight="1" x14ac:dyDescent="0.3"/>
    <row r="142" ht="100.05" customHeight="1" x14ac:dyDescent="0.3"/>
    <row r="143" ht="100.05" customHeight="1" x14ac:dyDescent="0.3"/>
    <row r="144" ht="100.05" customHeight="1" x14ac:dyDescent="0.3"/>
    <row r="145" ht="100.05" customHeight="1" x14ac:dyDescent="0.3"/>
    <row r="146" ht="100.05" customHeight="1" x14ac:dyDescent="0.3"/>
    <row r="147" ht="100.05" customHeight="1" x14ac:dyDescent="0.3"/>
    <row r="148" ht="100.05" customHeight="1" x14ac:dyDescent="0.3"/>
    <row r="149" ht="100.05" customHeight="1" x14ac:dyDescent="0.3"/>
    <row r="150" ht="100.05" customHeight="1" x14ac:dyDescent="0.3"/>
    <row r="151" ht="100.05" customHeight="1" x14ac:dyDescent="0.3"/>
    <row r="152" ht="100.05" customHeight="1" x14ac:dyDescent="0.3"/>
    <row r="153" ht="100.05" customHeight="1" x14ac:dyDescent="0.3"/>
    <row r="154" ht="100.05" customHeight="1" x14ac:dyDescent="0.3"/>
    <row r="155" ht="100.05" customHeight="1" x14ac:dyDescent="0.3"/>
    <row r="156" ht="100.05" customHeight="1" x14ac:dyDescent="0.3"/>
    <row r="157" ht="100.05" customHeight="1" x14ac:dyDescent="0.3"/>
    <row r="158" ht="100.05" customHeight="1" x14ac:dyDescent="0.3"/>
    <row r="159" ht="100.05" customHeight="1" x14ac:dyDescent="0.3"/>
    <row r="160" ht="100.05" customHeight="1" x14ac:dyDescent="0.3"/>
    <row r="161" ht="100.05" customHeight="1" x14ac:dyDescent="0.3"/>
    <row r="162" ht="100.05" customHeight="1" x14ac:dyDescent="0.3"/>
    <row r="163" ht="100.05" customHeight="1" x14ac:dyDescent="0.3"/>
    <row r="164" ht="100.05" customHeight="1" x14ac:dyDescent="0.3"/>
    <row r="165" ht="100.05" customHeight="1" x14ac:dyDescent="0.3"/>
    <row r="166" ht="100.05" customHeight="1" x14ac:dyDescent="0.3"/>
    <row r="167" ht="100.05" customHeight="1" x14ac:dyDescent="0.3"/>
    <row r="168" ht="100.05" customHeight="1" x14ac:dyDescent="0.3"/>
  </sheetData>
  <mergeCells count="1">
    <mergeCell ref="B1:I1"/>
  </mergeCells>
  <pageMargins left="0.25" right="0.25" top="0.75" bottom="0.75" header="0.3" footer="0.3"/>
  <pageSetup paperSize="9" scale="65" orientation="landscape" r:id="rId1"/>
  <colBreaks count="1" manualBreakCount="1">
    <brk id="9" max="1048575" man="1"/>
  </colBreaks>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Sheet9</vt:lpstr>
      <vt:lpstr>Detail1</vt:lpstr>
      <vt:lpstr>Sheet17</vt:lpstr>
      <vt:lpstr>Sheet16</vt:lpstr>
      <vt:lpstr>insurance</vt:lpstr>
      <vt:lpstr>KPI and Pivot</vt:lpstr>
      <vt:lpstr>Data Cleaning log</vt:lpstr>
      <vt:lpstr>Data visualiation</vt:lpstr>
      <vt:lpstr>'Data visualiation'!Print_Area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Nikhila</dc:creator>
  <cp:lastModifiedBy>Nikhila Chandupatla</cp:lastModifiedBy>
  <cp:lastPrinted>2026-06-15T01:01:53Z</cp:lastPrinted>
  <dcterms:created xsi:type="dcterms:W3CDTF">2026-05-18T15:27:02Z</dcterms:created>
  <dcterms:modified xsi:type="dcterms:W3CDTF">2026-06-15T01:12:07Z</dcterms:modified>
</cp:coreProperties>
</file>